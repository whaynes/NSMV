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workbookPr codeName="ThisWorkbook"/>
  <mc:AlternateContent xmlns:mc="http://schemas.openxmlformats.org/markup-compatibility/2006">
    <mc:Choice Requires="x15">
      <x15ac:absPath xmlns:x15ac="http://schemas.microsoft.com/office/spreadsheetml/2010/11/ac" url="/Users/whaynes/ptx/NSMV/References/"/>
    </mc:Choice>
  </mc:AlternateContent>
  <xr:revisionPtr revIDLastSave="0" documentId="13_ncr:1_{5E406D69-7637-7942-836C-AEBA27104910}" xr6:coauthVersionLast="47" xr6:coauthVersionMax="47" xr10:uidLastSave="{00000000-0000-0000-0000-000000000000}"/>
  <bookViews>
    <workbookView xWindow="0" yWindow="500" windowWidth="44800" windowHeight="24700" activeTab="2" xr2:uid="{00000000-000D-0000-FFFF-FFFF00000000}"/>
  </bookViews>
  <sheets>
    <sheet name="FrontPage" sheetId="22" r:id="rId1"/>
    <sheet name="DFN Log" sheetId="36" r:id="rId2"/>
    <sheet name="Document Map" sheetId="7" r:id="rId3"/>
    <sheet name="(SV1) Drawing List" sheetId="9" r:id="rId4"/>
    <sheet name="ModRecord" sheetId="23" r:id="rId5"/>
  </sheets>
  <externalReferences>
    <externalReference r:id="rId6"/>
    <externalReference r:id="rId7"/>
  </externalReferences>
  <definedNames>
    <definedName name="_xlnm._FilterDatabase" localSheetId="1" hidden="1">'DFN Log'!$B$2:$F$327</definedName>
    <definedName name="AContents">#REF!</definedName>
    <definedName name="BkTitlesTable" localSheetId="0">FrontPage!$A$6</definedName>
    <definedName name="CContents">#REF!</definedName>
    <definedName name="Classes" localSheetId="0">#REF!</definedName>
    <definedName name="Classes" localSheetId="4">#REF!</definedName>
    <definedName name="Classes">[1]Footer!#REF!</definedName>
    <definedName name="DesignOffices" localSheetId="0">#REF!</definedName>
    <definedName name="DesignOffices" localSheetId="4">#REF!</definedName>
    <definedName name="DesignOffices">[1]Footer!$H$1:$H$11</definedName>
    <definedName name="_xlnm.Print_Area" localSheetId="3">'(SV1) Drawing List'!$A$1:$T$1203</definedName>
    <definedName name="_xlnm.Print_Area" localSheetId="1">'DFN Log'!$A$1:$F$1119</definedName>
    <definedName name="_xlnm.Print_Area" localSheetId="2">'Document Map'!$B$2:$S$1438</definedName>
    <definedName name="_xlnm.Print_Titles" localSheetId="3">'(SV1) Drawing List'!$2:$2</definedName>
    <definedName name="_xlnm.Print_Titles" localSheetId="1">'DFN Log'!$1:$2</definedName>
    <definedName name="_xlnm.Print_Titles" localSheetId="2">'Document Map'!$2:$2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0" i="22" l="1"/>
  <c r="D17" i="22"/>
  <c r="B16" i="22"/>
  <c r="A7" i="22"/>
  <c r="A9" i="22"/>
  <c r="B11" i="22"/>
  <c r="A19" i="22"/>
  <c r="A8" i="22"/>
  <c r="C17" i="22"/>
  <c r="B17" i="22"/>
  <c r="A6" i="22"/>
</calcChain>
</file>

<file path=xl/sharedStrings.xml><?xml version="1.0" encoding="utf-8"?>
<sst xmlns="http://schemas.openxmlformats.org/spreadsheetml/2006/main" count="17525" uniqueCount="4282">
  <si>
    <t>Author:</t>
  </si>
  <si>
    <t>Halitsky, Craig</t>
  </si>
  <si>
    <t>Revision:</t>
  </si>
  <si>
    <t>000</t>
  </si>
  <si>
    <t>Revision Date:</t>
  </si>
  <si>
    <t>Reason for new issue:</t>
  </si>
  <si>
    <t>Initial Issue</t>
  </si>
  <si>
    <t>(see last page for modification record)</t>
  </si>
  <si>
    <t>Document Export Control, Source of Original Technology:</t>
  </si>
  <si>
    <t>Document Export Control Tag:</t>
  </si>
  <si>
    <t>Volume</t>
  </si>
  <si>
    <t>Part</t>
  </si>
  <si>
    <t>Chapter</t>
  </si>
  <si>
    <t>Subscript</t>
  </si>
  <si>
    <t>Document Name</t>
  </si>
  <si>
    <t>Revision</t>
  </si>
  <si>
    <t>Contractor Document Ref:</t>
  </si>
  <si>
    <t>Transmittal Number</t>
  </si>
  <si>
    <t>Issue To Customer</t>
  </si>
  <si>
    <t>Issued Date</t>
  </si>
  <si>
    <t>Issue To Class</t>
  </si>
  <si>
    <t>Comment</t>
  </si>
  <si>
    <t>V00</t>
  </si>
  <si>
    <t>Project Control</t>
  </si>
  <si>
    <t>P01</t>
  </si>
  <si>
    <t>Documentation</t>
  </si>
  <si>
    <t>Y/N</t>
  </si>
  <si>
    <t>C01</t>
  </si>
  <si>
    <t>Document Map</t>
  </si>
  <si>
    <t>C02</t>
  </si>
  <si>
    <t>Technical Query List</t>
  </si>
  <si>
    <t>P02</t>
  </si>
  <si>
    <t>Project Definition</t>
  </si>
  <si>
    <t>P03</t>
  </si>
  <si>
    <t>Quality Assurance</t>
  </si>
  <si>
    <t>C03</t>
  </si>
  <si>
    <t>C04</t>
  </si>
  <si>
    <t>Software Quality Plan</t>
  </si>
  <si>
    <t>C05</t>
  </si>
  <si>
    <t>Materials Declaration (MD)</t>
  </si>
  <si>
    <t>C06</t>
  </si>
  <si>
    <t>Suppliers Declaration of Conformity (SDoC)</t>
  </si>
  <si>
    <t>P05</t>
  </si>
  <si>
    <t>Document Submission Trackers</t>
  </si>
  <si>
    <t>Customer Record of Submissions</t>
  </si>
  <si>
    <t>N/A</t>
  </si>
  <si>
    <t>ABS Record of Submissions</t>
  </si>
  <si>
    <t>V01</t>
  </si>
  <si>
    <t>Project System Design Overview</t>
  </si>
  <si>
    <t>Power System Overview</t>
  </si>
  <si>
    <t>-</t>
  </si>
  <si>
    <t>See Customer Requirements</t>
  </si>
  <si>
    <t>P04</t>
  </si>
  <si>
    <t>Propulsion System Overview</t>
  </si>
  <si>
    <t>Automation System Overview</t>
  </si>
  <si>
    <t>P06</t>
  </si>
  <si>
    <t>DP System Overview</t>
  </si>
  <si>
    <t>P07</t>
  </si>
  <si>
    <t>Earthing &amp; Cabling Requirements</t>
  </si>
  <si>
    <t>Recommended Cable Type</t>
  </si>
  <si>
    <t>Cable List</t>
  </si>
  <si>
    <t>CEG</t>
  </si>
  <si>
    <t>Cabling &amp; Earthing Guidelines</t>
  </si>
  <si>
    <t>CEG1</t>
  </si>
  <si>
    <t>General Details</t>
  </si>
  <si>
    <t>CEG2</t>
  </si>
  <si>
    <t>Control Circuits</t>
  </si>
  <si>
    <t>CEG3</t>
  </si>
  <si>
    <t>Power Circuits</t>
  </si>
  <si>
    <t>CEG4</t>
  </si>
  <si>
    <t>Installation</t>
  </si>
  <si>
    <t>CEG5</t>
  </si>
  <si>
    <t>Earthing</t>
  </si>
  <si>
    <t>CEG6</t>
  </si>
  <si>
    <t>Testing</t>
  </si>
  <si>
    <t>Automation Systems:</t>
  </si>
  <si>
    <t>AV1</t>
  </si>
  <si>
    <t>Functional Design Specifications</t>
  </si>
  <si>
    <t>System Overview</t>
  </si>
  <si>
    <t>Power Management System (PMS)</t>
  </si>
  <si>
    <t>Propulsion</t>
  </si>
  <si>
    <t>Remote Control System (PCS)</t>
  </si>
  <si>
    <t>AV2</t>
  </si>
  <si>
    <t>Signals and Interfaces</t>
  </si>
  <si>
    <t>I/O Schedule</t>
  </si>
  <si>
    <t>Remote Propulsion Control System (PCS)</t>
  </si>
  <si>
    <t>AV3</t>
  </si>
  <si>
    <t>Installation &amp; Hardware Specifications</t>
  </si>
  <si>
    <t>System Installation</t>
  </si>
  <si>
    <t>AV4</t>
  </si>
  <si>
    <t>Testing &amp; Commissioning</t>
  </si>
  <si>
    <t>Site Acceptance Tests</t>
  </si>
  <si>
    <t>AV5</t>
  </si>
  <si>
    <t>Application Design Support</t>
  </si>
  <si>
    <t>Classification Society</t>
  </si>
  <si>
    <t>Power &amp; Propulsion System:</t>
  </si>
  <si>
    <t>PV1</t>
  </si>
  <si>
    <t>Design Specifications</t>
  </si>
  <si>
    <t>PV2</t>
  </si>
  <si>
    <t>Contract Specific Engineering Specifications (ESS)</t>
  </si>
  <si>
    <t>Equipment Summary</t>
  </si>
  <si>
    <t>Power &amp; Propulsion Equipment Specification Summary</t>
  </si>
  <si>
    <t>Generators</t>
  </si>
  <si>
    <t>Alternators ESS</t>
  </si>
  <si>
    <t>Automatic Voltage Regulator (AVR) ESS</t>
  </si>
  <si>
    <t>Motors</t>
  </si>
  <si>
    <t>Induction Motors ESS</t>
  </si>
  <si>
    <t>Transformers</t>
  </si>
  <si>
    <t>C07</t>
  </si>
  <si>
    <t>Converters</t>
  </si>
  <si>
    <t>Propulsion Converter ESS's</t>
  </si>
  <si>
    <t>Dynamic Braking Resistors ESS</t>
  </si>
  <si>
    <t>HV Switchboards</t>
  </si>
  <si>
    <t>HV Switchboards ESS</t>
  </si>
  <si>
    <t>Battery Charger ESS</t>
  </si>
  <si>
    <t>Harmonic Filters</t>
  </si>
  <si>
    <t>Harmonic Filters ESS</t>
  </si>
  <si>
    <t>P08</t>
  </si>
  <si>
    <t>LV Switchgear</t>
  </si>
  <si>
    <t>P09</t>
  </si>
  <si>
    <t>Mechanical</t>
  </si>
  <si>
    <t>Diesel Engines ESS</t>
  </si>
  <si>
    <t>PV3</t>
  </si>
  <si>
    <t>System Design Studies &amp; Technical Reports</t>
  </si>
  <si>
    <t>Design Studies</t>
  </si>
  <si>
    <t>Load Flow Studies/Load Analysis</t>
  </si>
  <si>
    <t>Fault Level Studies/Short Circuit</t>
  </si>
  <si>
    <t>Harmonic Studies</t>
  </si>
  <si>
    <t>Protection Coordination Report</t>
  </si>
  <si>
    <t>C08</t>
  </si>
  <si>
    <t>Technical Notes</t>
  </si>
  <si>
    <t>PV4</t>
  </si>
  <si>
    <t xml:space="preserve">Testing and Commissioning </t>
  </si>
  <si>
    <t>System Test Instructions</t>
  </si>
  <si>
    <t>C09</t>
  </si>
  <si>
    <t>C10</t>
  </si>
  <si>
    <t>Commissioning Instructions</t>
  </si>
  <si>
    <t>System Integration Tests</t>
  </si>
  <si>
    <t>PV5</t>
  </si>
  <si>
    <t xml:space="preserve">Design Support </t>
  </si>
  <si>
    <t>System Information Sheets</t>
  </si>
  <si>
    <t>Diesel Engines</t>
  </si>
  <si>
    <t xml:space="preserve">Generators </t>
  </si>
  <si>
    <t>AVR</t>
  </si>
  <si>
    <t>HV Switchboard</t>
  </si>
  <si>
    <t>Propulsion Variable Speed Drive</t>
  </si>
  <si>
    <t>MV7306 Datasheet</t>
  </si>
  <si>
    <t>Propulsion Motors</t>
  </si>
  <si>
    <t>P10</t>
  </si>
  <si>
    <t>P11</t>
  </si>
  <si>
    <t>P12</t>
  </si>
  <si>
    <t>P13</t>
  </si>
  <si>
    <t>PV9</t>
  </si>
  <si>
    <t xml:space="preserve">Standard Purchase Technical Specifications </t>
  </si>
  <si>
    <t>System/Project</t>
  </si>
  <si>
    <t>HV Switchboards (6.6kV)</t>
  </si>
  <si>
    <t xml:space="preserve">Converters </t>
  </si>
  <si>
    <t>Dynamic Braking Resistor (DBR)</t>
  </si>
  <si>
    <t>DBR</t>
  </si>
  <si>
    <t xml:space="preserve">Motors </t>
  </si>
  <si>
    <t xml:space="preserve">LV Switchgear </t>
  </si>
  <si>
    <t>Drawings:</t>
  </si>
  <si>
    <t>SV1</t>
  </si>
  <si>
    <t>Drawing List (Go to SV1 Tab)</t>
  </si>
  <si>
    <t>Volume
(SVx)</t>
  </si>
  <si>
    <t>Part
(Pxx)</t>
  </si>
  <si>
    <t>Chapter
(Cxx)</t>
  </si>
  <si>
    <t>Superscript
(Sxx)</t>
  </si>
  <si>
    <t>Estimated Issue Date</t>
  </si>
  <si>
    <t>Complete Document Name</t>
  </si>
  <si>
    <t>Drawing List</t>
  </si>
  <si>
    <t>System Drawings</t>
  </si>
  <si>
    <t>System Block Diagram</t>
  </si>
  <si>
    <t>System Wiring Diagram</t>
  </si>
  <si>
    <t>GENSET General Arrangement</t>
  </si>
  <si>
    <t>General Arrangement</t>
  </si>
  <si>
    <t>S00</t>
  </si>
  <si>
    <t>S01</t>
  </si>
  <si>
    <t>Electrical Schematics</t>
  </si>
  <si>
    <t>Generator</t>
  </si>
  <si>
    <t>Rotor</t>
  </si>
  <si>
    <t>S02</t>
  </si>
  <si>
    <t>HV Terminal Box</t>
  </si>
  <si>
    <t>S03</t>
  </si>
  <si>
    <t>S04</t>
  </si>
  <si>
    <t>Field Station</t>
  </si>
  <si>
    <t>Propulsion Drive (MV7306)</t>
  </si>
  <si>
    <t>Propulsion Motor</t>
  </si>
  <si>
    <t>P14</t>
  </si>
  <si>
    <t>MODIFICATION RECORD</t>
  </si>
  <si>
    <t>Date</t>
  </si>
  <si>
    <t>Author</t>
  </si>
  <si>
    <t>Details</t>
  </si>
  <si>
    <t xml:space="preserve">Technical Datasheet </t>
  </si>
  <si>
    <t>Termination List</t>
  </si>
  <si>
    <t>Thermal damage curve</t>
  </si>
  <si>
    <t>Decrement curve</t>
  </si>
  <si>
    <t>Negative sequence curve</t>
  </si>
  <si>
    <t>Lubrication Operation Principle</t>
  </si>
  <si>
    <t>Operation &amp; Maintenance Procedure</t>
  </si>
  <si>
    <t xml:space="preserve">FMEA </t>
  </si>
  <si>
    <t>Installation Recommendation Doc</t>
  </si>
  <si>
    <t>FAT Procedure</t>
  </si>
  <si>
    <t>FAT Test Results &amp; Punch clearance report</t>
  </si>
  <si>
    <t>C11</t>
  </si>
  <si>
    <t>C12</t>
  </si>
  <si>
    <t>C13</t>
  </si>
  <si>
    <t>C14</t>
  </si>
  <si>
    <t>C15</t>
  </si>
  <si>
    <t>C16</t>
  </si>
  <si>
    <t>C17</t>
  </si>
  <si>
    <t>1 year Spare part list</t>
  </si>
  <si>
    <t>Wiring Diagram</t>
  </si>
  <si>
    <t>Aux Terminal Box</t>
  </si>
  <si>
    <t>AVR Drawing</t>
  </si>
  <si>
    <t>Lubrication Unit</t>
  </si>
  <si>
    <t>AVR Schematic</t>
  </si>
  <si>
    <t>System Diagram</t>
  </si>
  <si>
    <t>Droop Curve</t>
  </si>
  <si>
    <t>AVR Operation Manual</t>
  </si>
  <si>
    <t>Technical datasheet</t>
  </si>
  <si>
    <t>Operation &amp; maintenance procedure</t>
  </si>
  <si>
    <t>FMEA</t>
  </si>
  <si>
    <t>110VDC Battery Changer and Battery</t>
  </si>
  <si>
    <t>LV Switchboards</t>
  </si>
  <si>
    <t>LGSP &amp; Distribution Boards</t>
  </si>
  <si>
    <t>Wiring Diagrams</t>
  </si>
  <si>
    <t>LGSP &amp; Distribution Switchboards</t>
  </si>
  <si>
    <t>Arc flash calculation report</t>
  </si>
  <si>
    <t xml:space="preserve">IED User Manual </t>
  </si>
  <si>
    <t>FAT Test Results  &amp; Punch clearance report</t>
  </si>
  <si>
    <t>Propulsion Transformers</t>
  </si>
  <si>
    <t>Installation Operation Maintenance Manual</t>
  </si>
  <si>
    <t>Inrush Current</t>
  </si>
  <si>
    <t>Main Service - 3500kVA</t>
  </si>
  <si>
    <t>LV Service</t>
  </si>
  <si>
    <t>LV Service Transformer - E/R, LCP, Em'cy</t>
  </si>
  <si>
    <t xml:space="preserve">FAT Procedure  </t>
  </si>
  <si>
    <t>Installation Instruction CRT with Air Water Cooler</t>
  </si>
  <si>
    <t>User Manual Air-water Cooler</t>
  </si>
  <si>
    <t>Vector Group Diagram</t>
  </si>
  <si>
    <t>Maintenance Weight Propulsion Transformer</t>
  </si>
  <si>
    <t>Auxiliary Termination Box</t>
  </si>
  <si>
    <t>Propulsion Interlocking Procedure</t>
  </si>
  <si>
    <t>User Manual Section 1 - 6</t>
  </si>
  <si>
    <t>Operation Instruction</t>
  </si>
  <si>
    <t>Process Cubicle - Propulsion Converter</t>
  </si>
  <si>
    <t>Material List</t>
  </si>
  <si>
    <t>Maintenance Procedure</t>
  </si>
  <si>
    <t>Process Cubicle</t>
  </si>
  <si>
    <t>General Characteristics / Datasheet</t>
  </si>
  <si>
    <t>Braking Resistor Installation &amp; Maintenance Manual</t>
  </si>
  <si>
    <t>User Manual Klima</t>
  </si>
  <si>
    <t>Emergency Cooling Procedure</t>
  </si>
  <si>
    <t>Motor Datasheet</t>
  </si>
  <si>
    <t>Manual for Safety Installation and Maintenance</t>
  </si>
  <si>
    <t>Heat Dissipation</t>
  </si>
  <si>
    <t>Connection Diagram</t>
  </si>
  <si>
    <t>Bearing</t>
  </si>
  <si>
    <t>Auxiliary and LV Terminal Box</t>
  </si>
  <si>
    <t>Pulse Generator TB</t>
  </si>
  <si>
    <t xml:space="preserve">UPS Power Module </t>
  </si>
  <si>
    <t>P15</t>
  </si>
  <si>
    <t>UPS</t>
  </si>
  <si>
    <t>Workstation</t>
  </si>
  <si>
    <t>Field Station RIO</t>
  </si>
  <si>
    <t>Circuit Diagram</t>
  </si>
  <si>
    <t>Interconnection Diagram</t>
  </si>
  <si>
    <t>PMS</t>
  </si>
  <si>
    <t xml:space="preserve">PMS </t>
  </si>
  <si>
    <t>Architecture Overview</t>
  </si>
  <si>
    <t>PMS Functional Description</t>
  </si>
  <si>
    <t>Alarm &amp; Monitoring &amp; HMI System Configuration</t>
  </si>
  <si>
    <t>HMI Display Functionality</t>
  </si>
  <si>
    <t>Alarm &amp; Monitoring System</t>
  </si>
  <si>
    <t>Circuit Breaker (CB)</t>
  </si>
  <si>
    <t>Bustie (BUSTIE)</t>
  </si>
  <si>
    <t>Bus Section (BUS)</t>
  </si>
  <si>
    <t>Generator (GEN)</t>
  </si>
  <si>
    <t>Power Management (PMS)</t>
  </si>
  <si>
    <t>Loadshed</t>
  </si>
  <si>
    <t>Analogue Signal (AANAL)</t>
  </si>
  <si>
    <t>Digital Signal (ADIG)</t>
  </si>
  <si>
    <t>Analogue Input Processing (ANAL)</t>
  </si>
  <si>
    <t>Digital Input Processing (DIG)</t>
  </si>
  <si>
    <t xml:space="preserve">Engine Monitoring </t>
  </si>
  <si>
    <t>Analogue Output (ANALOP)</t>
  </si>
  <si>
    <t>Digital Output (DIGOP)</t>
  </si>
  <si>
    <t>Controller Monitoring (CONT)</t>
  </si>
  <si>
    <t>C18</t>
  </si>
  <si>
    <t>C19</t>
  </si>
  <si>
    <t>C20</t>
  </si>
  <si>
    <t>C21</t>
  </si>
  <si>
    <t>C22</t>
  </si>
  <si>
    <t>VCS Software Loading &amp; Monitoring Instructions</t>
  </si>
  <si>
    <t>VCS Maintenance Guideline</t>
  </si>
  <si>
    <t>VCS Interface Details</t>
  </si>
  <si>
    <t>External Links Definition</t>
  </si>
  <si>
    <t>Installation Specification</t>
  </si>
  <si>
    <t>Architecture &amp; HMI Test Procedure</t>
  </si>
  <si>
    <t>Power Management System Test Procedure</t>
  </si>
  <si>
    <t>Power System Checks</t>
  </si>
  <si>
    <t>Electrical Propulsion System</t>
  </si>
  <si>
    <t>IP Addresses</t>
  </si>
  <si>
    <t>Faults and Effects Matrix</t>
  </si>
  <si>
    <t>Automation (remote) Single Line Diagram</t>
  </si>
  <si>
    <t>EPS Single Line Diagram</t>
  </si>
  <si>
    <t>Remote Control Description</t>
  </si>
  <si>
    <t>Remote Control Material List with Dimensions</t>
  </si>
  <si>
    <t>Auxiliary Supply List for EPS</t>
  </si>
  <si>
    <t>EPS Heat Dissipations and Cooling Requirements</t>
  </si>
  <si>
    <t>Spare Part List</t>
  </si>
  <si>
    <t>Torque Pulsating Calculation and Torsional Analysis</t>
  </si>
  <si>
    <t>Actual Issue Date</t>
  </si>
  <si>
    <t>Actual Issued Date</t>
  </si>
  <si>
    <t>All Design Inputs + 8 Weeks</t>
  </si>
  <si>
    <t>Coil Disassembly</t>
  </si>
  <si>
    <t>EPS Hardwire Interface List with CAMS</t>
  </si>
  <si>
    <t>Network Interface with CAMS</t>
  </si>
  <si>
    <t>Em'cy Cooling Procedure</t>
  </si>
  <si>
    <t>I/O Racks Motor</t>
  </si>
  <si>
    <t>I/O Racks PLS</t>
  </si>
  <si>
    <t>I/O Racks MCC</t>
  </si>
  <si>
    <t>P16</t>
  </si>
  <si>
    <t>N</t>
  </si>
  <si>
    <t>Internal Information for Suppliers Only</t>
  </si>
  <si>
    <t>Y</t>
  </si>
  <si>
    <t>Equipment Inspection Check Lists</t>
  </si>
  <si>
    <t>Diesel Engines - Please reference the Cummins Document Submittal List</t>
  </si>
  <si>
    <t>Estimated date based on 2 months prior to FAT</t>
  </si>
  <si>
    <t>Preliminary</t>
  </si>
  <si>
    <t>DWG Tag</t>
  </si>
  <si>
    <t>For Approval</t>
  </si>
  <si>
    <t>For Information</t>
  </si>
  <si>
    <t>3H-003369</t>
  </si>
  <si>
    <t>Emailed</t>
  </si>
  <si>
    <t>P20019806</t>
  </si>
  <si>
    <t>SIM19-101-DW-GA-001</t>
  </si>
  <si>
    <t>SID19-056_Rev 4</t>
  </si>
  <si>
    <t>SIM19-101-DW-GA-002</t>
  </si>
  <si>
    <t>D MC 18 12 023</t>
  </si>
  <si>
    <t>E95D891171R1I1A2</t>
  </si>
  <si>
    <t>Preliminary_R05</t>
  </si>
  <si>
    <t>Preliminary_R06</t>
  </si>
  <si>
    <t>Spreadsheet</t>
  </si>
  <si>
    <t>Table</t>
  </si>
  <si>
    <t>Doc Tag</t>
  </si>
  <si>
    <t>1907345-07</t>
  </si>
  <si>
    <t>E MC 18 12 023</t>
  </si>
  <si>
    <t xml:space="preserve"> - </t>
  </si>
  <si>
    <t>HV Cable List was sent.</t>
  </si>
  <si>
    <t>DFN-002</t>
  </si>
  <si>
    <t>DFN-003</t>
  </si>
  <si>
    <t>AV1P03C00S01_007</t>
  </si>
  <si>
    <t>V1P07CEG7_000</t>
  </si>
  <si>
    <t>V0P03C04S03_000</t>
  </si>
  <si>
    <t>AV1P03C00S02_007</t>
  </si>
  <si>
    <t>AV1P01C01_000</t>
  </si>
  <si>
    <t>AV1P03C01S03_004</t>
  </si>
  <si>
    <t>AV1P03C01S02_003</t>
  </si>
  <si>
    <t>AV1P03C01S01_002</t>
  </si>
  <si>
    <t>AV1P03C02S01_004</t>
  </si>
  <si>
    <t>AV1P03C01S04_005</t>
  </si>
  <si>
    <t>AV1P03C01S06_004</t>
  </si>
  <si>
    <t>AV1P03C01S07_004</t>
  </si>
  <si>
    <t>AV1P03C02S02_004</t>
  </si>
  <si>
    <t>AV1P03C02S03_003</t>
  </si>
  <si>
    <t>AV1P03C02S04_003</t>
  </si>
  <si>
    <t>AV1P03C02S05_005</t>
  </si>
  <si>
    <t>AV1P03C05S01_004</t>
  </si>
  <si>
    <t>AV1P03C05S02_004</t>
  </si>
  <si>
    <t>AV1P03C05S05_002</t>
  </si>
  <si>
    <t>AV3P01C01_000</t>
  </si>
  <si>
    <t>AV2P03C11_000</t>
  </si>
  <si>
    <t>AV2P03C05_000</t>
  </si>
  <si>
    <t>AV2P03C03_000</t>
  </si>
  <si>
    <t>AV2P03C02_000</t>
  </si>
  <si>
    <t>APP-20RAH078_Rev 0</t>
  </si>
  <si>
    <t>Unit Selection Help Page</t>
  </si>
  <si>
    <t>AV1P03C00S03_004</t>
  </si>
  <si>
    <t>440V Main &amp; Em'cy Load Center Panel (LCP)</t>
  </si>
  <si>
    <t>DFN-004_Rev 002</t>
  </si>
  <si>
    <t>Emergency Switchboard</t>
  </si>
  <si>
    <t>Battery Charger and Discharger Board</t>
  </si>
  <si>
    <t>Remote Push Button Box</t>
  </si>
  <si>
    <t>Test Panel</t>
  </si>
  <si>
    <t>S05</t>
  </si>
  <si>
    <t>Distribution Boards</t>
  </si>
  <si>
    <t>KT-19527 (2020-08-25)</t>
  </si>
  <si>
    <t>KT-19529 (2020-08-26)</t>
  </si>
  <si>
    <t>KT-19530 (2020-08-26)</t>
  </si>
  <si>
    <t>S20020383_002</t>
  </si>
  <si>
    <t>DOC0026304_000</t>
  </si>
  <si>
    <t>DFN-006</t>
  </si>
  <si>
    <t>S20021378_000</t>
  </si>
  <si>
    <t>DOC0073080_000</t>
  </si>
  <si>
    <t>SIM19-101</t>
  </si>
  <si>
    <t>DOC0073102_000</t>
  </si>
  <si>
    <t>DOC0073097_000</t>
  </si>
  <si>
    <t>P20021396_000</t>
  </si>
  <si>
    <t>DFN-008</t>
  </si>
  <si>
    <t>Propulsion Motor (AFT)</t>
  </si>
  <si>
    <t>Propulsion Motor (FWD)</t>
  </si>
  <si>
    <t>E95S20A041A</t>
  </si>
  <si>
    <t>E95S20A042A</t>
  </si>
  <si>
    <t>DFN-010</t>
  </si>
  <si>
    <t>E91S20A041A</t>
  </si>
  <si>
    <t>E95S20A042D</t>
  </si>
  <si>
    <t>18 12 023_03</t>
  </si>
  <si>
    <t>DFN-007</t>
  </si>
  <si>
    <t>DFN Number</t>
  </si>
  <si>
    <t>Date Submitted</t>
  </si>
  <si>
    <t>Title</t>
  </si>
  <si>
    <t>Drawing Number</t>
  </si>
  <si>
    <t>Drawing Name</t>
  </si>
  <si>
    <t>Diesel Engine</t>
  </si>
  <si>
    <t>84A241135CR</t>
  </si>
  <si>
    <t>Calibration Request Form (For Information)</t>
  </si>
  <si>
    <t>84A241135LC</t>
  </si>
  <si>
    <t>Electrical Load Consumption Sheet</t>
  </si>
  <si>
    <t>84A241135LL</t>
  </si>
  <si>
    <t>Instrument Interface List (For Information)</t>
  </si>
  <si>
    <t>84A241135WL</t>
  </si>
  <si>
    <t>Wire List</t>
  </si>
  <si>
    <t>84B560080</t>
  </si>
  <si>
    <t>Integrated Electrical Schematics</t>
  </si>
  <si>
    <t>84E904314AK</t>
  </si>
  <si>
    <t>Engine Outline Drawing (For Information)</t>
  </si>
  <si>
    <t>84A241497K</t>
  </si>
  <si>
    <t>Engine 3D Model</t>
  </si>
  <si>
    <t>Alternator</t>
  </si>
  <si>
    <t>Technical Specification for Three Phase Synchronous Generator</t>
  </si>
  <si>
    <t>Failure Modes and Effects Analysis for the Generator</t>
  </si>
  <si>
    <t>Capability Curve</t>
  </si>
  <si>
    <t>Decrement Curve</t>
  </si>
  <si>
    <t>Negative Sequence Current Withstand Curve</t>
  </si>
  <si>
    <t>Thermal Capability Curve</t>
  </si>
  <si>
    <t>Alarm Monitoring System</t>
  </si>
  <si>
    <t>Circuit Breaker</t>
  </si>
  <si>
    <t>Bustie</t>
  </si>
  <si>
    <t>Bus Section</t>
  </si>
  <si>
    <t>Load Shed</t>
  </si>
  <si>
    <t>Analogue Signal Processing (ANAL)</t>
  </si>
  <si>
    <t>Engine Monitoring</t>
  </si>
  <si>
    <t>Controller (CONT)</t>
  </si>
  <si>
    <t>Cable Interconnections</t>
  </si>
  <si>
    <t>Controller Cabinet</t>
  </si>
  <si>
    <t>FS-020 RIO Field station</t>
  </si>
  <si>
    <t>Interface Details</t>
  </si>
  <si>
    <t>Cabling &amp; Earthing Guidelines DP &amp; VCS Only</t>
  </si>
  <si>
    <t>4_Rev 002</t>
  </si>
  <si>
    <t>KT - 19529</t>
  </si>
  <si>
    <t>Battery Charger &amp; Discharger Board (2020-08-26)</t>
  </si>
  <si>
    <t>KT - 19527</t>
  </si>
  <si>
    <t>Remote Push Button Box (2020-08-25)</t>
  </si>
  <si>
    <t>KY - 19530</t>
  </si>
  <si>
    <t>Test Panel (2020-08-26)</t>
  </si>
  <si>
    <t>84A233947AB</t>
  </si>
  <si>
    <t>Engine Data Sheet</t>
  </si>
  <si>
    <t>84A236145</t>
  </si>
  <si>
    <t>Engine Fuel Curve</t>
  </si>
  <si>
    <t>53804_A</t>
  </si>
  <si>
    <t>Torsional Vibration Analysis</t>
  </si>
  <si>
    <t>2014500_0</t>
  </si>
  <si>
    <t>GENSET GA</t>
  </si>
  <si>
    <t>GENSET GA (DWG File)</t>
  </si>
  <si>
    <t>EPS</t>
  </si>
  <si>
    <t>EPS SLD</t>
  </si>
  <si>
    <t>MV7306 GA</t>
  </si>
  <si>
    <t>MV7306_Datasheet</t>
  </si>
  <si>
    <t>Remote Control Material List</t>
  </si>
  <si>
    <t>SYDD_Propulsion</t>
  </si>
  <si>
    <t>SIM19-101_Rev 13</t>
  </si>
  <si>
    <t>Propulsion Transformer</t>
  </si>
  <si>
    <t>KT-19527</t>
  </si>
  <si>
    <t>Local Motor Control Centers and Starters (For Information)</t>
  </si>
  <si>
    <t>Propulsion - CAMS Interface</t>
  </si>
  <si>
    <t>DBR Technical Specification</t>
  </si>
  <si>
    <t>2014502_Rev 1</t>
  </si>
  <si>
    <t>Piping &amp; Instrumentation Diagrams (P&amp;ID)</t>
  </si>
  <si>
    <t>Motor Outline Drawing (FWD)</t>
  </si>
  <si>
    <t>Motor Outline Drawing (AFT)</t>
  </si>
  <si>
    <t>Motor Data Sheet</t>
  </si>
  <si>
    <t>2014520_0</t>
  </si>
  <si>
    <t>Alarm Monitoring &amp; Safety Interface Schematics</t>
  </si>
  <si>
    <t>GENSET (.stp File)</t>
  </si>
  <si>
    <t>CEG7</t>
  </si>
  <si>
    <t>DP &amp; VCS Only</t>
  </si>
  <si>
    <t>V1P07CEG1_000</t>
  </si>
  <si>
    <t>V1P07CEG2_000</t>
  </si>
  <si>
    <t>V1P07CEG3_000</t>
  </si>
  <si>
    <t>V1P07CEG4_000</t>
  </si>
  <si>
    <t>V1P07CEG5_000</t>
  </si>
  <si>
    <t>V1P07CEG6_000</t>
  </si>
  <si>
    <t>DFN-013</t>
  </si>
  <si>
    <t>DFN-014</t>
  </si>
  <si>
    <t>E41S20A041A
E41S20A042A</t>
  </si>
  <si>
    <t>E81S20A041D_000</t>
  </si>
  <si>
    <t>E41S20A041A_000</t>
  </si>
  <si>
    <t>Propulsion Motor Rotating Parts-Load Repartition</t>
  </si>
  <si>
    <t>E41S20A042A_000</t>
  </si>
  <si>
    <t>Pulse Generator Terminal Box</t>
  </si>
  <si>
    <t>XPE891171R2i1A2</t>
  </si>
  <si>
    <t>EPS Functional Description (SYDD)</t>
  </si>
  <si>
    <t>Ship Service Switchboard ESS</t>
  </si>
  <si>
    <t>Ship Service Emergency Switchboard ESS</t>
  </si>
  <si>
    <t>440V &amp; 220V Distribution Boards ESS</t>
  </si>
  <si>
    <t>Local Motor Control Centers and Starters ESS</t>
  </si>
  <si>
    <t>Test Panel ESS</t>
  </si>
  <si>
    <t>Battery Switchboard ESS</t>
  </si>
  <si>
    <t>Remote Pushbutton Box ESS</t>
  </si>
  <si>
    <t>HV Main Ship Service Transformers ESS</t>
  </si>
  <si>
    <t>001</t>
  </si>
  <si>
    <t>LV Main Ship Service Transformers ESS</t>
  </si>
  <si>
    <t>LCP Ship Service Transformers ESS</t>
  </si>
  <si>
    <t>Emergency Ship Service Transformers ESS</t>
  </si>
  <si>
    <t>No. 1 Laundry Ship Service Transformers ESS</t>
  </si>
  <si>
    <t>No. 2 LaundryShip Service Transformers ESS</t>
  </si>
  <si>
    <t>EQ0005562</t>
  </si>
  <si>
    <t>E81S20A042B_000</t>
  </si>
  <si>
    <t>E81S20A042A_000</t>
  </si>
  <si>
    <t>DFN-017</t>
  </si>
  <si>
    <t>O MC 20 09 004_001</t>
  </si>
  <si>
    <t>O MC 20 09 004_000</t>
  </si>
  <si>
    <t xml:space="preserve"> -</t>
  </si>
  <si>
    <t>DFN-015</t>
  </si>
  <si>
    <t>DOC0073188_000</t>
  </si>
  <si>
    <t>DOC0073194_000</t>
  </si>
  <si>
    <t>System Model</t>
  </si>
  <si>
    <t>Motor 1_Remote I/O</t>
  </si>
  <si>
    <t>Motor 2_Remote I/O</t>
  </si>
  <si>
    <t>Diesel Engine, Prop Motor, DBR</t>
  </si>
  <si>
    <t>16_Rev 001</t>
  </si>
  <si>
    <t>2014521_0</t>
  </si>
  <si>
    <t>Customer Hose Connections</t>
  </si>
  <si>
    <t>Customer Hose Connections (DWG File)</t>
  </si>
  <si>
    <t>2014502_Rev 2</t>
  </si>
  <si>
    <t>2014500_1</t>
  </si>
  <si>
    <t>GENSET GA (.STP File) - Included in Rev 001</t>
  </si>
  <si>
    <t>E95S20A042A_rev_08-09-2020</t>
  </si>
  <si>
    <t>Propulsion Motor GA (.igs)</t>
  </si>
  <si>
    <t>C MC 20 09 004 - 1 # 0</t>
  </si>
  <si>
    <t>DBR GA (DWG file)</t>
  </si>
  <si>
    <t>Auxiliary Terminal Box</t>
  </si>
  <si>
    <t>Motor Datasheet (FWD)</t>
  </si>
  <si>
    <t>Motor Datasheet (AFT)</t>
  </si>
  <si>
    <t>DFN-018</t>
  </si>
  <si>
    <t>E95S20A041A_A</t>
  </si>
  <si>
    <t>E95S20A042A_A</t>
  </si>
  <si>
    <t>Space Heater Junction Box</t>
  </si>
  <si>
    <t>E81S20A042C_000</t>
  </si>
  <si>
    <t>Electrical Function &amp; Operating Philosophy</t>
  </si>
  <si>
    <t>SIM19101-2-DW-GA-001</t>
  </si>
  <si>
    <t>DFN-019</t>
  </si>
  <si>
    <t>E95S20A041D</t>
  </si>
  <si>
    <t>Motor Data Sheet (FWD)</t>
  </si>
  <si>
    <t>E95S20A042D_A</t>
  </si>
  <si>
    <t>Motor Data Sheet (AFT)</t>
  </si>
  <si>
    <t>Transformer GA Drawing</t>
  </si>
  <si>
    <t>Transformer GA Drawing (AutoCAD)</t>
  </si>
  <si>
    <t>DFN-005</t>
  </si>
  <si>
    <t>DFN-016</t>
  </si>
  <si>
    <t>Customer Approval Date</t>
  </si>
  <si>
    <t>Power and Propulsion Interconnection Diagram</t>
  </si>
  <si>
    <t>MCC Remote I/O Port (DUS2)</t>
  </si>
  <si>
    <t>DOC0076865</t>
  </si>
  <si>
    <t>DOC0076866</t>
  </si>
  <si>
    <t>DFN 023</t>
  </si>
  <si>
    <t>DOC0073195</t>
  </si>
  <si>
    <t>DOC0073189</t>
  </si>
  <si>
    <t>MCC Remote I/O Starboard (DUS1)</t>
  </si>
  <si>
    <t>PLS Remote I/O Port (DUP2)</t>
  </si>
  <si>
    <t>PLS Remote I/O Starboard (DUP1)</t>
  </si>
  <si>
    <t>DOC0073190</t>
  </si>
  <si>
    <t>DOC0073196</t>
  </si>
  <si>
    <t>DOC0076863</t>
  </si>
  <si>
    <t>DOC0076864</t>
  </si>
  <si>
    <t>Motor 2 Remote I/O Port (DUM2)</t>
  </si>
  <si>
    <t>Motor 1 Remote I/O STBD (DUM1)</t>
  </si>
  <si>
    <t>DOC0073188_001</t>
  </si>
  <si>
    <t>DOC0073194_001</t>
  </si>
  <si>
    <t>DOC0075487</t>
  </si>
  <si>
    <t>DOC0076862</t>
  </si>
  <si>
    <t>DOC0073097_001</t>
  </si>
  <si>
    <t>DFN-023</t>
  </si>
  <si>
    <t>Propulsion Drive CCU (MV7306)</t>
  </si>
  <si>
    <t>DOC0073100</t>
  </si>
  <si>
    <t>DOC0073101</t>
  </si>
  <si>
    <t>Terminal Box</t>
  </si>
  <si>
    <t>E81S20A042A_A</t>
  </si>
  <si>
    <t>Rotor Dismantling (FWD)</t>
  </si>
  <si>
    <t>Rotor Dismantling (AFT)</t>
  </si>
  <si>
    <t>E91S20A041C</t>
  </si>
  <si>
    <t>E91S20A042C</t>
  </si>
  <si>
    <t>SIM19101-2-DW-VG-001</t>
  </si>
  <si>
    <t>SIM19101-MA-001</t>
  </si>
  <si>
    <t>SIM19101-2-DA-001</t>
  </si>
  <si>
    <t>EPS (Motor and DBR)</t>
  </si>
  <si>
    <t>E41S20A041A_Rev A</t>
  </si>
  <si>
    <t>Rotating Parts_Motor 1 (FWD)</t>
  </si>
  <si>
    <t>E41S20A042A_Rev A</t>
  </si>
  <si>
    <t>Rotating Parts_Motor 2 (AFT)</t>
  </si>
  <si>
    <t>C MC 20 09 004 - 1 # 1</t>
  </si>
  <si>
    <t>Diesel Engine &amp; Prop Motor</t>
  </si>
  <si>
    <t>2014502_Rev 3</t>
  </si>
  <si>
    <t>53806A</t>
  </si>
  <si>
    <t>GENSET 6DOF 10xT140-24</t>
  </si>
  <si>
    <t>E95S20A041A_Rev A</t>
  </si>
  <si>
    <t>Propulsion Motor GA  13_10_2020 (3D)</t>
  </si>
  <si>
    <t>Outline of Generator (AutoCAD)</t>
  </si>
  <si>
    <t>DOC0073080_001</t>
  </si>
  <si>
    <t>Single Line Diagram (SLD)</t>
  </si>
  <si>
    <t>P20021396_001</t>
  </si>
  <si>
    <t>PROPULSION - CAMS Interface</t>
  </si>
  <si>
    <t>S20021378_001</t>
  </si>
  <si>
    <t>SYDD_PROPULSION</t>
  </si>
  <si>
    <t>DOC0073189_000</t>
  </si>
  <si>
    <t>MCC IO Rack Schematic_STBD (DUS1)</t>
  </si>
  <si>
    <t>DOC0073195_000</t>
  </si>
  <si>
    <t>MCC IO Rack Schematic_Port (DUS2)</t>
  </si>
  <si>
    <t>DOC0076865_000</t>
  </si>
  <si>
    <t>MCC IO Rack GA_STBD (DUS1)</t>
  </si>
  <si>
    <t>DOC0076866_000</t>
  </si>
  <si>
    <t>MCC IO Rack GA_Port (DUS2)</t>
  </si>
  <si>
    <t>Motor IO Rack Schematic_STBD (DUM1)</t>
  </si>
  <si>
    <t>Motor IO Rack Schematic_Port (DUM2)</t>
  </si>
  <si>
    <t>DOC0075487_001</t>
  </si>
  <si>
    <t>Motor IO Rack GA_ STBD (DUM1)</t>
  </si>
  <si>
    <t>DOC0076862_000</t>
  </si>
  <si>
    <t>Motor IO Rack GA_Port (DUM2)</t>
  </si>
  <si>
    <t>DOC0073190_000</t>
  </si>
  <si>
    <t>PLS IO Rack Schematic_Port (DUP2)</t>
  </si>
  <si>
    <t>DOC0073196_000</t>
  </si>
  <si>
    <t>PLS IO Rack Schematic_STBD (DUP1)</t>
  </si>
  <si>
    <t>DOC0076863_000</t>
  </si>
  <si>
    <t>PLS IO Rack GA_Port (DUP2)</t>
  </si>
  <si>
    <t>DOC0076864_000</t>
  </si>
  <si>
    <t>PLS IO Rack GA_STBD (DUP1)</t>
  </si>
  <si>
    <t>DOC0073100_000</t>
  </si>
  <si>
    <t>MV7306 Circuit Diagram</t>
  </si>
  <si>
    <t>DOC0073101_000</t>
  </si>
  <si>
    <t>MV7306 Cooling Unit Circuit Diagram</t>
  </si>
  <si>
    <t>MV7306 GA_AutoCAD</t>
  </si>
  <si>
    <t>SIM19101-2-DW-VG-001_000</t>
  </si>
  <si>
    <t>SIM19101-MA-001_000</t>
  </si>
  <si>
    <t>Operational Manual</t>
  </si>
  <si>
    <t>SIM19101-2-DA-001_000</t>
  </si>
  <si>
    <t>Technical Datasheet for Transformer</t>
  </si>
  <si>
    <t>APP-20RAH078_Rev 2</t>
  </si>
  <si>
    <t>DFN-027</t>
  </si>
  <si>
    <t>0</t>
  </si>
  <si>
    <t>2</t>
  </si>
  <si>
    <t>20A041 &amp; 042</t>
  </si>
  <si>
    <t>DFN-028</t>
  </si>
  <si>
    <t>002</t>
  </si>
  <si>
    <t>PV3P01C03</t>
  </si>
  <si>
    <t>DFN-029</t>
  </si>
  <si>
    <t>Motor Outline Drawing (FWD)_AutoCAD</t>
  </si>
  <si>
    <t>Motor Outline Drawing (AFT)_AutoCAD</t>
  </si>
  <si>
    <t>2014502_4</t>
  </si>
  <si>
    <t>2014520_1</t>
  </si>
  <si>
    <t>2014500_2</t>
  </si>
  <si>
    <t>GENSET GA (DWG)</t>
  </si>
  <si>
    <t>GENSET GA (.STP)</t>
  </si>
  <si>
    <t>APP-20RAH078-Rev.2</t>
  </si>
  <si>
    <t>20A041-20A042_000</t>
  </si>
  <si>
    <t>Harmonic Analysis</t>
  </si>
  <si>
    <t>PV3P01C03_002</t>
  </si>
  <si>
    <t>MV7K Propulsion Harmonic Study</t>
  </si>
  <si>
    <t>KT-19518</t>
  </si>
  <si>
    <t>KT-19512</t>
  </si>
  <si>
    <t>KT-19517</t>
  </si>
  <si>
    <t>KT-19520
KT-19521</t>
  </si>
  <si>
    <t>KT-19525</t>
  </si>
  <si>
    <t>KT-19524</t>
  </si>
  <si>
    <t>KT-19452</t>
  </si>
  <si>
    <t>KT-19529</t>
  </si>
  <si>
    <t>KT-19530</t>
  </si>
  <si>
    <t>DOC0073153
DOC0073154</t>
  </si>
  <si>
    <t>DFN-031</t>
  </si>
  <si>
    <t>000
000</t>
  </si>
  <si>
    <t>Process Cubicle, Drive 1 &amp; 2</t>
  </si>
  <si>
    <t>20A041-042_000</t>
  </si>
  <si>
    <t>2014500_3</t>
  </si>
  <si>
    <t>2014521_1</t>
  </si>
  <si>
    <t>Switchboard</t>
  </si>
  <si>
    <t>Distribution Board_Preliminary</t>
  </si>
  <si>
    <t>KT-19498</t>
  </si>
  <si>
    <t>HM1 ASSEMBLY DRAWING_Preliminary</t>
  </si>
  <si>
    <t>KT-19499</t>
  </si>
  <si>
    <t>HM1 SINGLE LINE DIAGRAM_Preliminary</t>
  </si>
  <si>
    <t>KT-19505</t>
  </si>
  <si>
    <t>HM2 ASSEMBLY DRAWING_Preliminary</t>
  </si>
  <si>
    <t>KT-19506</t>
  </si>
  <si>
    <t>HM2 SINGLE LINE DIAGRAM_Preliminary</t>
  </si>
  <si>
    <t>AMP, ASSEMBLY DRAWING_Preliminary</t>
  </si>
  <si>
    <t>AMP, SINGLE LINE DIAGRAM_Preliminary</t>
  </si>
  <si>
    <t>DC110V UPS_Preliminary</t>
  </si>
  <si>
    <t>KT-19520</t>
  </si>
  <si>
    <t>No.1 LV Main SWBD_Preliminary</t>
  </si>
  <si>
    <t>KT-19521</t>
  </si>
  <si>
    <t>No.2 LV Main SWBD_Preliminary</t>
  </si>
  <si>
    <t>Emergency SWBD_Preliminary</t>
  </si>
  <si>
    <t>Main &amp; Emergency Load Center Panel_Preliminary</t>
  </si>
  <si>
    <t>Local Group Starter_Preliminary</t>
  </si>
  <si>
    <t>Battery Charger &amp; Discharger Board_Preliminary</t>
  </si>
  <si>
    <t>Test Panel_Preliminary</t>
  </si>
  <si>
    <t>DOC0073153-000</t>
  </si>
  <si>
    <t>Process Unit, Drive 1</t>
  </si>
  <si>
    <t>DOC0073154-000</t>
  </si>
  <si>
    <t>Process Unit, Drive 2</t>
  </si>
  <si>
    <t>Safety, Installation and Maintenance Manual</t>
  </si>
  <si>
    <t>DFN-032</t>
  </si>
  <si>
    <t>Main Service - 4100kVA</t>
  </si>
  <si>
    <t>SIM19101-1</t>
  </si>
  <si>
    <t>DFN-034</t>
  </si>
  <si>
    <t>2014520_2</t>
  </si>
  <si>
    <t>Specification for Transformer_4100kVA</t>
  </si>
  <si>
    <t>AV1P02C01_000</t>
  </si>
  <si>
    <t>AV1P02C05_000</t>
  </si>
  <si>
    <t>DFN-035</t>
  </si>
  <si>
    <t>Transient Stability Study</t>
  </si>
  <si>
    <t>Power System Control Philosophy</t>
  </si>
  <si>
    <t>PV01P01C01</t>
  </si>
  <si>
    <t>DFN-038</t>
  </si>
  <si>
    <t>6.6kV Switchboard Functional Design Specification</t>
  </si>
  <si>
    <t>PV01P01C03</t>
  </si>
  <si>
    <t>Internal</t>
  </si>
  <si>
    <t>Power and Propulsion SLD</t>
  </si>
  <si>
    <t>003</t>
  </si>
  <si>
    <t>004</t>
  </si>
  <si>
    <t>DFN-026</t>
  </si>
  <si>
    <t>DFN-030</t>
  </si>
  <si>
    <t>DFN-036</t>
  </si>
  <si>
    <t>AV2P03C11_002</t>
  </si>
  <si>
    <t>AV2P03C03_002</t>
  </si>
  <si>
    <t>AV2P03C05_001</t>
  </si>
  <si>
    <t>Diesel Engine &amp; EPS</t>
  </si>
  <si>
    <t>2014500_4</t>
  </si>
  <si>
    <t>DOC0073157-000</t>
  </si>
  <si>
    <t>FC1PRC_Material List</t>
  </si>
  <si>
    <t>DOC0073158-000</t>
  </si>
  <si>
    <t>FC2PRC_Material List</t>
  </si>
  <si>
    <t>DBR Technical Specification (DWG)</t>
  </si>
  <si>
    <t>53806B</t>
  </si>
  <si>
    <t>Power Control Documents</t>
  </si>
  <si>
    <t>PV1P01C03_000</t>
  </si>
  <si>
    <t>6.6kV Switchboard FDS</t>
  </si>
  <si>
    <t>PMS Controller Cabinet</t>
  </si>
  <si>
    <t>FS-020 RIO Fieldstation</t>
  </si>
  <si>
    <t xml:space="preserve">LV Service </t>
  </si>
  <si>
    <t>Local Group Starter Panels</t>
  </si>
  <si>
    <t>No1. &amp; No.2 LV Main Switchboard</t>
  </si>
  <si>
    <t>SID19-056_Rev 5</t>
  </si>
  <si>
    <t>HV Main Service Transformer</t>
  </si>
  <si>
    <t>DFN-039</t>
  </si>
  <si>
    <t>DOC0073089_000</t>
  </si>
  <si>
    <t>DFN-041</t>
  </si>
  <si>
    <t>A0</t>
  </si>
  <si>
    <t>AMP Assembly</t>
  </si>
  <si>
    <t>AMP Single Line</t>
  </si>
  <si>
    <t>Sectional Drawing</t>
  </si>
  <si>
    <t>E91S20A041B
E91S20A042B</t>
  </si>
  <si>
    <t>E95S20A042A_B</t>
  </si>
  <si>
    <t>E95S20A041A_B</t>
  </si>
  <si>
    <t>DFN-042</t>
  </si>
  <si>
    <t>V00P01C01</t>
  </si>
  <si>
    <t>Document Map_2020-12-10</t>
  </si>
  <si>
    <t>HV Switchboard &amp; EPS</t>
  </si>
  <si>
    <t>1033 AMP ASSEMBLY DRAWING_A0_2020-12-10</t>
  </si>
  <si>
    <t>1033 AMP SINGLE LINE DIAGRAM_A0_2020-12-10</t>
  </si>
  <si>
    <t>1033 DC110V UPS_A0_2020-12-10</t>
  </si>
  <si>
    <t>1033 HM1 DRAWING_A0_2020-12-10</t>
  </si>
  <si>
    <t>1033 HM2 DRAWING_A0_2020-12-10</t>
  </si>
  <si>
    <t>Auxiliary Power Supplies List</t>
  </si>
  <si>
    <t>E91S20A041B_000</t>
  </si>
  <si>
    <t>Propulsion Motor Sectional Drawing</t>
  </si>
  <si>
    <t>E91S20A042B_000</t>
  </si>
  <si>
    <t>E95S20A041D_001</t>
  </si>
  <si>
    <t>E95S20A042D_002</t>
  </si>
  <si>
    <t>SIM19101-2-DW-GA-001_003</t>
  </si>
  <si>
    <t>Generator Manual</t>
  </si>
  <si>
    <t>Annex 2 AVR Manual (HDEC2000 Manual(Eng-D))</t>
  </si>
  <si>
    <t>Annex 1 BEARING Manual</t>
  </si>
  <si>
    <t>Bearings Lubrication Operation principles_ 5066.2kVA_Rev.1</t>
  </si>
  <si>
    <t>DFN-043</t>
  </si>
  <si>
    <t>DFN-044</t>
  </si>
  <si>
    <t>AV3P02C02_000</t>
  </si>
  <si>
    <t>AV3P02C03_000</t>
  </si>
  <si>
    <t>PV3P01C06</t>
  </si>
  <si>
    <t>DFN-049</t>
  </si>
  <si>
    <t>Technical Data Sheet for Transformer_120kVA</t>
  </si>
  <si>
    <t>Technical Data Sheet for Transformer_185kVA</t>
  </si>
  <si>
    <t>Technical Data Sheet for Transformer_210kVA</t>
  </si>
  <si>
    <t>Technical Data Sheet for Transformer_175kVA</t>
  </si>
  <si>
    <t>Technical Data Sheet for Transformer_160kVA</t>
  </si>
  <si>
    <t>Technical Data Sheet for Transformer_130kVA</t>
  </si>
  <si>
    <t>SID19-056-5-DA-001</t>
  </si>
  <si>
    <t>SID19-056-6-DA-001</t>
  </si>
  <si>
    <t>SID19-056-7-DA-001</t>
  </si>
  <si>
    <t>SID19-056-8-DA-001</t>
  </si>
  <si>
    <t>SID19-056-9-DA-001</t>
  </si>
  <si>
    <t>SID19-056-10-DA-001</t>
  </si>
  <si>
    <t>DFN-051</t>
  </si>
  <si>
    <t>59612_ZG</t>
  </si>
  <si>
    <t>DFN-050</t>
  </si>
  <si>
    <t>SIM19101-2-MA-002</t>
  </si>
  <si>
    <t>01</t>
  </si>
  <si>
    <t>02</t>
  </si>
  <si>
    <t>03</t>
  </si>
  <si>
    <t>04</t>
  </si>
  <si>
    <t>05</t>
  </si>
  <si>
    <t>DOC073088_002</t>
  </si>
  <si>
    <t>DFN-052</t>
  </si>
  <si>
    <t>Transformer Ships Service</t>
  </si>
  <si>
    <t>Alarm, Monitoring &amp; HMI</t>
  </si>
  <si>
    <t>PMS Serial Links Definition</t>
  </si>
  <si>
    <t>P20021396_002</t>
  </si>
  <si>
    <t>Fault Current Analysis</t>
  </si>
  <si>
    <t>PV3P01C02_001</t>
  </si>
  <si>
    <t>Fault Current Analysis Document</t>
  </si>
  <si>
    <t>ETAP report-Scenario 1_Rev 001</t>
  </si>
  <si>
    <t>ETAP report-Scenario 2_Rev 001</t>
  </si>
  <si>
    <t>ETAP report-Scenario 3_Rev 001</t>
  </si>
  <si>
    <t>SID19056-1</t>
  </si>
  <si>
    <t>Specification for Transformer_170kVA</t>
  </si>
  <si>
    <t>SID19056-2</t>
  </si>
  <si>
    <t>Specification for Transformer_200kVA</t>
  </si>
  <si>
    <t>SID19056-3</t>
  </si>
  <si>
    <t>Specification for Transformer_45kVA</t>
  </si>
  <si>
    <t>SID19056-4</t>
  </si>
  <si>
    <t>Specification for Transformer_20kVA</t>
  </si>
  <si>
    <t>48_Rev 02</t>
  </si>
  <si>
    <t>2014521_2</t>
  </si>
  <si>
    <t>2014500_5</t>
  </si>
  <si>
    <t>GENSET GA (pdf)</t>
  </si>
  <si>
    <t>GENSET GA (.stp)</t>
  </si>
  <si>
    <t>Ground Fault Calculation</t>
  </si>
  <si>
    <t>PV3P01C06_002</t>
  </si>
  <si>
    <t>Equipment Heat Dissipation List</t>
  </si>
  <si>
    <t>20A041-20A042_001</t>
  </si>
  <si>
    <t>Motor Emergency Cooling Procedure</t>
  </si>
  <si>
    <t>SIM19101-2-MA-002_000</t>
  </si>
  <si>
    <t>Battery Ventilation</t>
  </si>
  <si>
    <t>2014520_3</t>
  </si>
  <si>
    <t>DOC0073089_001</t>
  </si>
  <si>
    <t>DFN-054</t>
  </si>
  <si>
    <t>DFN-055</t>
  </si>
  <si>
    <t>DFN-056</t>
  </si>
  <si>
    <t>SV1P01C01S02_000</t>
  </si>
  <si>
    <t>DFN-057</t>
  </si>
  <si>
    <t>Physical I/O List</t>
  </si>
  <si>
    <t>DFN-047</t>
  </si>
  <si>
    <t>DFN-058</t>
  </si>
  <si>
    <t>DOC0073089_002</t>
  </si>
  <si>
    <t>DFN-059</t>
  </si>
  <si>
    <t>DOC0026304_002</t>
  </si>
  <si>
    <t>20A041-042_001</t>
  </si>
  <si>
    <t>O OM 20 09 004</t>
  </si>
  <si>
    <t>DOC0073095_000</t>
  </si>
  <si>
    <t>DOC0073099_00</t>
  </si>
  <si>
    <t>Propulsion Interlocking Diagram Principal</t>
  </si>
  <si>
    <t>DOC0073160_000</t>
  </si>
  <si>
    <t>Multiple</t>
  </si>
  <si>
    <t>I/O Racks</t>
  </si>
  <si>
    <t>Motor</t>
  </si>
  <si>
    <t>MCC</t>
  </si>
  <si>
    <t>PLS</t>
  </si>
  <si>
    <t>Name Plate</t>
  </si>
  <si>
    <t>E02S20A041A
E02S20A042A</t>
  </si>
  <si>
    <t>Rev A</t>
  </si>
  <si>
    <t>Rev B</t>
  </si>
  <si>
    <t>1033_No.1 LV SWBD_2020-12-23</t>
  </si>
  <si>
    <t>1033_No.2 LV SWBD_2020-12-23</t>
  </si>
  <si>
    <t>Main &amp; EMCY Load Center Panel</t>
  </si>
  <si>
    <t>Starter &amp; Remote Push Button</t>
  </si>
  <si>
    <t>Distribution Board</t>
  </si>
  <si>
    <t>TC 66895</t>
  </si>
  <si>
    <t>Transformer Air-To-Water Cooler User Manual</t>
  </si>
  <si>
    <t>DBR Installation &amp; Maintenance Manual</t>
  </si>
  <si>
    <t>DBR Cooler User Manuel</t>
  </si>
  <si>
    <t>4FKO1503_001</t>
  </si>
  <si>
    <t>MV7000 Unified User Manual Section 1_Introduction</t>
  </si>
  <si>
    <t>4FKO1504_001</t>
  </si>
  <si>
    <t>MV7000_Unified_User_Manual_Section_2_Technical_Data</t>
  </si>
  <si>
    <t>4FKO1505_001</t>
  </si>
  <si>
    <t>MV7000_Unified_User_Manual_Section_3_Installation</t>
  </si>
  <si>
    <t>4FKO1506_002</t>
  </si>
  <si>
    <t>MV7000_Unified_User_Manual_Section_4_Operating_Instruction</t>
  </si>
  <si>
    <t>4FKO1507_001</t>
  </si>
  <si>
    <t>MV7000_Unified_User_Manual_Section_5_Protection_and_Diagnostics</t>
  </si>
  <si>
    <t>4FKO1508_002</t>
  </si>
  <si>
    <t>MV7000_Unified_User_Manual_Section_6_Maintenance_and_safety</t>
  </si>
  <si>
    <t>Interlocking Procedure</t>
  </si>
  <si>
    <t>DOC0073099_000</t>
  </si>
  <si>
    <t>Interlocking Diagram Principal</t>
  </si>
  <si>
    <t>Maintenance Procedure Process Cubicle</t>
  </si>
  <si>
    <t>DOC0073184_000</t>
  </si>
  <si>
    <t>Maintenance Procedure IO Rack Motor</t>
  </si>
  <si>
    <t>DOC0073185_000</t>
  </si>
  <si>
    <t>Maintenance Procedure IO Rack MCC</t>
  </si>
  <si>
    <t>DOC0073186_000</t>
  </si>
  <si>
    <t>Maintenance Procedure IO Rack PLS</t>
  </si>
  <si>
    <t>E02S20A041A</t>
  </si>
  <si>
    <t>Motor Nameplate</t>
  </si>
  <si>
    <t>E02S20A042A</t>
  </si>
  <si>
    <t>E41S20A041A_B</t>
  </si>
  <si>
    <t>E41S20A042A_B</t>
  </si>
  <si>
    <t>Motor OMM</t>
  </si>
  <si>
    <t>Earthing Diagram</t>
  </si>
  <si>
    <t>PV3P01C01</t>
  </si>
  <si>
    <t>DFN-060</t>
  </si>
  <si>
    <t>Load Flow Analysis</t>
  </si>
  <si>
    <t>PV3P01C01_000</t>
  </si>
  <si>
    <t>APP-20RAH078_Rev 3</t>
  </si>
  <si>
    <t>DFN-062</t>
  </si>
  <si>
    <t>3</t>
  </si>
  <si>
    <t>006</t>
  </si>
  <si>
    <t>DFN-061</t>
  </si>
  <si>
    <t>2014500_6</t>
  </si>
  <si>
    <t>APP-20RAH078-Rev.3</t>
  </si>
  <si>
    <t xml:space="preserve">2014521_3 </t>
  </si>
  <si>
    <t>P25-LA12B-2 Rev A11</t>
  </si>
  <si>
    <t>DFN-064</t>
  </si>
  <si>
    <t>PV3P01C02</t>
  </si>
  <si>
    <t>DFN-046</t>
  </si>
  <si>
    <t>PV3P01C01_001</t>
  </si>
  <si>
    <t xml:space="preserve">E41S20A041B </t>
  </si>
  <si>
    <t>Torsional Analysis</t>
  </si>
  <si>
    <t>DFN-065</t>
  </si>
  <si>
    <t>O MC 20 09 004_003</t>
  </si>
  <si>
    <t>O MC 20 09 004_004</t>
  </si>
  <si>
    <t>DFN-066</t>
  </si>
  <si>
    <t>O MC 20 09 004 - 1 # 3</t>
  </si>
  <si>
    <t>O MC 20 09 004 - 4</t>
  </si>
  <si>
    <t>S06</t>
  </si>
  <si>
    <t>Shore Connection Box Drawing</t>
  </si>
  <si>
    <t>Shore Connection Receptacle Datasheet</t>
  </si>
  <si>
    <t>KT-19531</t>
  </si>
  <si>
    <t>DFN-067</t>
  </si>
  <si>
    <t>3PX5</t>
  </si>
  <si>
    <t>1033_Shore Connection Box_2021-01-15</t>
  </si>
  <si>
    <t>53806C</t>
  </si>
  <si>
    <t>GENSET 6DOF 10xT140-22</t>
  </si>
  <si>
    <t>1/26/021</t>
  </si>
  <si>
    <t>Marad_rec000(1)</t>
  </si>
  <si>
    <t>DFN-069</t>
  </si>
  <si>
    <t>C MC 20 09 004 - 1 # 3</t>
  </si>
  <si>
    <t>Project Control Documents</t>
  </si>
  <si>
    <t xml:space="preserve">Marad_rev00 (1) </t>
  </si>
  <si>
    <t>66_Rev 01</t>
  </si>
  <si>
    <t>C MC 20 09 004 - 1 # 4</t>
  </si>
  <si>
    <t>DBR Layout Drawing (DWG)</t>
  </si>
  <si>
    <t>JPEG File</t>
  </si>
  <si>
    <t>Hotstart Cable Entry</t>
  </si>
  <si>
    <t>201421 Rev.4</t>
  </si>
  <si>
    <t>NSMV, CUSTOMER HOSE CONNECTIONS, GE 16V250 GENERATOR-pdf</t>
  </si>
  <si>
    <t>2014500 Rev. 7</t>
  </si>
  <si>
    <t>NSMV, GE 16V250 WITH HYUNDAI HSJ9 913-08P GENERATOR-pdf</t>
  </si>
  <si>
    <t>NSMV, GE 16V250 WITH HYUNDAI HSJ9 913-08P GENERATOR- STP file</t>
  </si>
  <si>
    <t>NSMV, GE 16V250 WITH HYUNDAI HSJ9 913-08P GENERATOR- dwg</t>
  </si>
  <si>
    <t>E41S20A041B Rev. A</t>
  </si>
  <si>
    <t xml:space="preserve">E98S20A042A-41A </t>
  </si>
  <si>
    <t xml:space="preserve"> H.P. Unit </t>
  </si>
  <si>
    <t>C MC 20 09 004-1 #4</t>
  </si>
  <si>
    <t>DFN-066 Rev 01</t>
  </si>
  <si>
    <t>H.P. Unit</t>
  </si>
  <si>
    <t>DFN-071</t>
  </si>
  <si>
    <t>V00P03C03 Rev.002</t>
  </si>
  <si>
    <t>Project Quaility Plan</t>
  </si>
  <si>
    <t>Project Quality Plan</t>
  </si>
  <si>
    <t>DFN-072</t>
  </si>
  <si>
    <t>Network Interface with VDR</t>
  </si>
  <si>
    <t>S21024105_000_</t>
  </si>
  <si>
    <t>PropulsionNetworkInterfaceWithVDR</t>
  </si>
  <si>
    <t>DFN-073</t>
  </si>
  <si>
    <t>DFN-045</t>
  </si>
  <si>
    <t>DFN-074</t>
  </si>
  <si>
    <t>P20021396-003</t>
  </si>
  <si>
    <t>NSMV-PROPULSION - CAMS Interface</t>
  </si>
  <si>
    <t>DFN-075</t>
  </si>
  <si>
    <t>User Manual Section 4</t>
  </si>
  <si>
    <t>PV01P01C01_002</t>
  </si>
  <si>
    <t>PV01P01C01_000</t>
  </si>
  <si>
    <t>DOC0076867 Rev. 00</t>
  </si>
  <si>
    <t>WHEELHOUSE REMOTE CONTROL GA</t>
  </si>
  <si>
    <t>DOC0077603 Rev. 00</t>
  </si>
  <si>
    <t>LOCAL CUBICLE 1 &amp; 2 REMOTE CONTROL GA</t>
  </si>
  <si>
    <t>DOC0078063 Rev. 00</t>
  </si>
  <si>
    <t>ECR 1 &amp; 2 REMOTE CONTROL GA</t>
  </si>
  <si>
    <t>DOC0078131 Rev. 00</t>
  </si>
  <si>
    <t>ECR1 SUPERVISION MONITORING HMIWS1 GA</t>
  </si>
  <si>
    <t>DOC0078132 Rev. 00</t>
  </si>
  <si>
    <t>ECR2 SUPERVISION MONITORING HMIWS1 GA</t>
  </si>
  <si>
    <t>DOC0078142 Rev. 00</t>
  </si>
  <si>
    <t>TRAINING BRIDGE REMOTE CONTROL GA</t>
  </si>
  <si>
    <t>DOC0078164 Rev. 00</t>
  </si>
  <si>
    <t>PORT &amp; STBD WING REMOTE CONTROL GA</t>
  </si>
  <si>
    <t>DOC0073171 Rev. 00</t>
  </si>
  <si>
    <t>WHEELHOUSE REMOTE CONTROL MATERIAL LIST</t>
  </si>
  <si>
    <t>DOC0073172 Rev. 00</t>
  </si>
  <si>
    <t>PORT WING REMOTE CONTROL MATERIAL LIST</t>
  </si>
  <si>
    <t>DOC0073173 Rev. 00</t>
  </si>
  <si>
    <t>STBD WING REMOTE CONTROL MATERIAL LIST</t>
  </si>
  <si>
    <t>DOC0073174 Rev. 00</t>
  </si>
  <si>
    <t>ECR1 REMOTE CONTROL MATERIAL LIST</t>
  </si>
  <si>
    <t>DOC0073175 Rev. 00</t>
  </si>
  <si>
    <t>LOCAL CUBICLE1 REMOTE CONTROL MATERIAL LIST</t>
  </si>
  <si>
    <t>DOC0077602 Rev. 00</t>
  </si>
  <si>
    <t>LOCAL CUBICLE2 REMOTE CONTROL MATERIAL LIST</t>
  </si>
  <si>
    <t>DOC0078129 Rev. 00</t>
  </si>
  <si>
    <t>ECR1 SUPERVISION MONITORING HMIWS1 MATERIAL LIST</t>
  </si>
  <si>
    <t>DOC0078130 Rev. 00</t>
  </si>
  <si>
    <t>ECR2 SUPERVISION MONITORING HMIWS1 MATERIAL LIST</t>
  </si>
  <si>
    <t>DOC0078141 Rev. 00</t>
  </si>
  <si>
    <t>TRAINING BRIDGE REMOTE CONTROL MATERIAL LIST</t>
  </si>
  <si>
    <t>DOC0078163 Rev. 00</t>
  </si>
  <si>
    <t>ECR2 REMOTE CONTROL MATERIAL LIST</t>
  </si>
  <si>
    <t>DOC0073166 Rev. 00</t>
  </si>
  <si>
    <t>WHEELHOUSE REMOTE CONTROL SCHEMATIC</t>
  </si>
  <si>
    <t>DOC0073167 Rev. 00</t>
  </si>
  <si>
    <t>PORT WING REMOTE CONTROL SCHEMATIC</t>
  </si>
  <si>
    <t>DOC0073168 Rev. 00</t>
  </si>
  <si>
    <t>STBD WING REMOTE CONTROL SCHEMATIC</t>
  </si>
  <si>
    <t>DOC0073169 Rev. 00</t>
  </si>
  <si>
    <t>ECR1 REMOTE CONTROL SCHEMATIC</t>
  </si>
  <si>
    <t>DOC0073170 Rev. 00</t>
  </si>
  <si>
    <t>LOCAL CUBICLE 1 REMOTE CONTROL SCHEMATIC</t>
  </si>
  <si>
    <t>DOC0077455 Rev. 00</t>
  </si>
  <si>
    <t>TRAINING BRIDGE REMOTE CONTROL SCHEMATIC</t>
  </si>
  <si>
    <t>DOC0077456 Rev. 00</t>
  </si>
  <si>
    <t>LOCAL CUBICLE 2 REMOTE CONTROL SCHEMATIC</t>
  </si>
  <si>
    <t>DOC0078121 Rev. 00</t>
  </si>
  <si>
    <t>ECR1 SUPERVISION MONITORING HMIWS1 SCHEMATIC</t>
  </si>
  <si>
    <t>DOC0078122 Rev. 00</t>
  </si>
  <si>
    <t>ECR2 SUPERVISION MONITORING HMIWS1 SCHEMATIC</t>
  </si>
  <si>
    <t>DOC0078134 Rev. 00</t>
  </si>
  <si>
    <t>ECR2 REMOTE CONTROL SCHEMATIC</t>
  </si>
  <si>
    <t>20A041 Rev. 0</t>
  </si>
  <si>
    <t>Testing Procedure</t>
  </si>
  <si>
    <t>20A042 Rev. 0</t>
  </si>
  <si>
    <t>Motor Cooling System</t>
  </si>
  <si>
    <t xml:space="preserve">E95S20A041D_002 </t>
  </si>
  <si>
    <t xml:space="preserve">E95S20A042D_003 </t>
  </si>
  <si>
    <t xml:space="preserve">E61S20A042B </t>
  </si>
  <si>
    <t>DFN-078</t>
  </si>
  <si>
    <t>P17</t>
  </si>
  <si>
    <t>PCS Remote Control</t>
  </si>
  <si>
    <t>DOC0076867</t>
  </si>
  <si>
    <t>DOC0077603</t>
  </si>
  <si>
    <t>DOC0078063</t>
  </si>
  <si>
    <t>DOC0078131</t>
  </si>
  <si>
    <t>DOC0078132</t>
  </si>
  <si>
    <t>DOC0078142</t>
  </si>
  <si>
    <t>DOC0078164</t>
  </si>
  <si>
    <t>DFN-076</t>
  </si>
  <si>
    <t>DOC0073166</t>
  </si>
  <si>
    <t>DOC0073167</t>
  </si>
  <si>
    <t>S07</t>
  </si>
  <si>
    <t>S08</t>
  </si>
  <si>
    <t>S09</t>
  </si>
  <si>
    <t>DOC0073168</t>
  </si>
  <si>
    <t>DOC0073169</t>
  </si>
  <si>
    <t xml:space="preserve">DOC0073170 </t>
  </si>
  <si>
    <t>DOC0077455</t>
  </si>
  <si>
    <t>DOC0077456</t>
  </si>
  <si>
    <t>DOC0078121</t>
  </si>
  <si>
    <t>DOC0078122</t>
  </si>
  <si>
    <t>DOC0078134</t>
  </si>
  <si>
    <t xml:space="preserve">PCS Remote Control </t>
  </si>
  <si>
    <t>DOC0073171</t>
  </si>
  <si>
    <t>DOC0073172</t>
  </si>
  <si>
    <t>DOC0073173</t>
  </si>
  <si>
    <t>DOC0073174</t>
  </si>
  <si>
    <t>DOC0073175</t>
  </si>
  <si>
    <t>DOC0077602</t>
  </si>
  <si>
    <t>DOC0078129</t>
  </si>
  <si>
    <t>DOC0078130</t>
  </si>
  <si>
    <t>DOC0078141</t>
  </si>
  <si>
    <t>DOC0078163</t>
  </si>
  <si>
    <t>Testing Procedure (FWD)</t>
  </si>
  <si>
    <t>Testing Procedure (AFT)</t>
  </si>
  <si>
    <t>20A041</t>
  </si>
  <si>
    <t xml:space="preserve">20A042 </t>
  </si>
  <si>
    <t>DFN-077</t>
  </si>
  <si>
    <t>E61S20A042B</t>
  </si>
  <si>
    <t>PV01P01C01_003</t>
  </si>
  <si>
    <t>DFN-079</t>
  </si>
  <si>
    <t>APP-20RAH078-Rev.4</t>
  </si>
  <si>
    <t>SIM19101-2-DA-001_005</t>
  </si>
  <si>
    <t>DOC0073153-001</t>
  </si>
  <si>
    <t>DOC0073154-001</t>
  </si>
  <si>
    <t>Delivered with approval Drawings</t>
  </si>
  <si>
    <t>DOC0073085-000</t>
  </si>
  <si>
    <t>DFN-083</t>
  </si>
  <si>
    <t>MAB01300_Prelub User Manual_03212006</t>
  </si>
  <si>
    <t>Marine Calibration Request Form L/V250MDC Engines</t>
  </si>
  <si>
    <t>2014520_4</t>
  </si>
  <si>
    <t xml:space="preserve"> Interface Schematics</t>
  </si>
  <si>
    <t>EPS FMEA Report</t>
  </si>
  <si>
    <t>DFN-084</t>
  </si>
  <si>
    <t>06</t>
  </si>
  <si>
    <t>07</t>
  </si>
  <si>
    <t>08</t>
  </si>
  <si>
    <t>09</t>
  </si>
  <si>
    <t>10</t>
  </si>
  <si>
    <t>11</t>
  </si>
  <si>
    <t>12</t>
  </si>
  <si>
    <t>HVMSBs Cable Interconnection</t>
  </si>
  <si>
    <t>LVMSB &amp; 120V ER SWBD Cable Interconnection</t>
  </si>
  <si>
    <t>440V LCP Cable Interconnection</t>
  </si>
  <si>
    <t>ESBD Cable Interconnection</t>
  </si>
  <si>
    <t>Emergency LCP Cable Interconnection</t>
  </si>
  <si>
    <t>AC240V DB Cable Interconnection</t>
  </si>
  <si>
    <t>Receptacle DBs Cable Interconnection</t>
  </si>
  <si>
    <t>PDs Cable Interconnection</t>
  </si>
  <si>
    <t>RPD Cable Interconnection</t>
  </si>
  <si>
    <t>LPD Cable Interconnection</t>
  </si>
  <si>
    <t>LGSP Cable Interconnection</t>
  </si>
  <si>
    <t>Battery SWBD Cable Interconnection</t>
  </si>
  <si>
    <t>SV1P01C02S0001</t>
  </si>
  <si>
    <t>SV1P01C02S0002</t>
  </si>
  <si>
    <t>SV1P01C02S0003</t>
  </si>
  <si>
    <t>SV1P01C02S0004</t>
  </si>
  <si>
    <t>SV1P01C02S0005</t>
  </si>
  <si>
    <t>SV1P01C02S0006</t>
  </si>
  <si>
    <t>SV1P01C02S0007</t>
  </si>
  <si>
    <t>SV1P01C02S0008</t>
  </si>
  <si>
    <t>SV1P01C02S0009</t>
  </si>
  <si>
    <t>SV1P01C02S0010</t>
  </si>
  <si>
    <t>SV1P01C02S0011</t>
  </si>
  <si>
    <t>SV1P01C02S0012</t>
  </si>
  <si>
    <t>DFN-085</t>
  </si>
  <si>
    <t>SV1P01C02S0001_001</t>
  </si>
  <si>
    <t>SV1P01C02S0002_001</t>
  </si>
  <si>
    <t>VMSB &amp; 120V ER SWBD Cable Interconnection</t>
  </si>
  <si>
    <t>SV1P01C02S0003_001</t>
  </si>
  <si>
    <t>SV1P01C02S0004_001</t>
  </si>
  <si>
    <t>SV1P01C02S0005_001</t>
  </si>
  <si>
    <t>SV1P01C02S0006_001</t>
  </si>
  <si>
    <t>SV1P01C02S0007_001</t>
  </si>
  <si>
    <t>SV1P01C02S0008_001</t>
  </si>
  <si>
    <t>SV1P01C02S0009_001</t>
  </si>
  <si>
    <t>SV1P01C02S0010_001</t>
  </si>
  <si>
    <t>SV1P01C02S0011_001</t>
  </si>
  <si>
    <t>SV1P01C02S0012_001</t>
  </si>
  <si>
    <t>KT-19512/19514/19515/19517</t>
  </si>
  <si>
    <t>1033 AMP Assembly &amp; SLD Drawing_A1_2021-02-26</t>
  </si>
  <si>
    <t>1033 HM1 Drawing_A1_2021-02-26</t>
  </si>
  <si>
    <t>1033 HM2 Drawing_A1_2021-02-26</t>
  </si>
  <si>
    <t>E41S20A041A Rev. C</t>
  </si>
  <si>
    <t>E41S20A042A Rev. C</t>
  </si>
  <si>
    <t>Rotating Parts_Motor 1 (AFT)</t>
  </si>
  <si>
    <t>APP-20RAH078_Rev 4</t>
  </si>
  <si>
    <t>DFN-080</t>
  </si>
  <si>
    <t>4</t>
  </si>
  <si>
    <t>E81S20A042B_B</t>
  </si>
  <si>
    <t xml:space="preserve"> Motor Auxiliary Terminal Box</t>
  </si>
  <si>
    <t xml:space="preserve">E95S20A041A_C </t>
  </si>
  <si>
    <t xml:space="preserve"> Motor Outline Drawing</t>
  </si>
  <si>
    <t xml:space="preserve">E95S20A042A_C </t>
  </si>
  <si>
    <t>005</t>
  </si>
  <si>
    <t>DFN-081</t>
  </si>
  <si>
    <t>001
001</t>
  </si>
  <si>
    <t>A1</t>
  </si>
  <si>
    <t>DFN-086</t>
  </si>
  <si>
    <t>Rev C</t>
  </si>
  <si>
    <t>DFN-087</t>
  </si>
  <si>
    <t>DFN-088</t>
  </si>
  <si>
    <t>DOC0026304_003</t>
  </si>
  <si>
    <t>AV4P02C05_000</t>
  </si>
  <si>
    <t>PMS_Test_Procedure</t>
  </si>
  <si>
    <t>AV4P02C04_000</t>
  </si>
  <si>
    <t>Arch_&amp;_HMI_Test_Procedure</t>
  </si>
  <si>
    <t>AV4P02C03_000</t>
  </si>
  <si>
    <t>Alarm_System_Test_Procedure</t>
  </si>
  <si>
    <t>AV4P02C02_000</t>
  </si>
  <si>
    <t>Serial Link Test Procedure</t>
  </si>
  <si>
    <t>AV4P02C01_000</t>
  </si>
  <si>
    <t>IO Schedule Test Procedure</t>
  </si>
  <si>
    <t>AV4P01C01_000</t>
  </si>
  <si>
    <t>PMS_Installation_Spec</t>
  </si>
  <si>
    <t>NSMV CSS 16V250MDC Test Plan</t>
  </si>
  <si>
    <t>84A241135ES</t>
  </si>
  <si>
    <t>DFN-089</t>
  </si>
  <si>
    <t>DFN-090</t>
  </si>
  <si>
    <t>DFN-091</t>
  </si>
  <si>
    <t>I/O Schedule Test Procedure</t>
  </si>
  <si>
    <t xml:space="preserve"> Dynamic Braking Resistor (DBR)</t>
  </si>
  <si>
    <t>P21024813_000</t>
  </si>
  <si>
    <t>DFN-093</t>
  </si>
  <si>
    <t>PV01P01C03_002</t>
  </si>
  <si>
    <t>MARAD IP ADDRESS</t>
  </si>
  <si>
    <t>3/0/2021</t>
  </si>
  <si>
    <t>LV Switchboard</t>
  </si>
  <si>
    <t>1033_Battery Charger &amp; Discharger Board_A</t>
  </si>
  <si>
    <t>1033_Distribution Board_A</t>
  </si>
  <si>
    <t>1033_Emergency SWBD_A</t>
  </si>
  <si>
    <t xml:space="preserve"> 1033_Main &amp; EMCY Load Center Panel_A</t>
  </si>
  <si>
    <t xml:space="preserve"> 1033_No.1 LV SWBD_A</t>
  </si>
  <si>
    <t>1033_No. 2 LV SWBD_A</t>
  </si>
  <si>
    <t>1033_RPB(LPB) &amp; EMCY Stop &amp; Protection Box_A</t>
  </si>
  <si>
    <t xml:space="preserve"> 1033_Shore Connection Box_A</t>
  </si>
  <si>
    <t xml:space="preserve"> 1033_Starter_A </t>
  </si>
  <si>
    <t xml:space="preserve"> 1033_Storage Battery_A</t>
  </si>
  <si>
    <t>1033_Test Panel_A</t>
  </si>
  <si>
    <t>2014500_8</t>
  </si>
  <si>
    <t>GENSET (DWG)</t>
  </si>
  <si>
    <t xml:space="preserve">2014500_8 </t>
  </si>
  <si>
    <t>GENSET (.stp)</t>
  </si>
  <si>
    <t>2014522_0</t>
  </si>
  <si>
    <t>GENSET (pdf)</t>
  </si>
  <si>
    <t>Protection &amp; Coordination Study</t>
  </si>
  <si>
    <t>PV3P01C04_000</t>
  </si>
  <si>
    <t>PV3P01C04</t>
  </si>
  <si>
    <t>DFN-096</t>
  </si>
  <si>
    <t>A</t>
  </si>
  <si>
    <t>DFN-094</t>
  </si>
  <si>
    <t>KT-19528</t>
  </si>
  <si>
    <t>Remote Push Button Box &amp; Starter</t>
  </si>
  <si>
    <t>E41S20A041B</t>
  </si>
  <si>
    <t>007</t>
  </si>
  <si>
    <t>DOC0073088_002</t>
  </si>
  <si>
    <t>Rotor Loads Repartition / Rotating Parts</t>
  </si>
  <si>
    <t>Rev D</t>
  </si>
  <si>
    <t>DFN-097</t>
  </si>
  <si>
    <t>E41S20A041A Rev. D</t>
  </si>
  <si>
    <t>E41S20A042A Rev. D</t>
  </si>
  <si>
    <t>E95S20A042A_D</t>
  </si>
  <si>
    <t>Motor Outline Drawing</t>
  </si>
  <si>
    <t>B</t>
  </si>
  <si>
    <t>C</t>
  </si>
  <si>
    <t>D</t>
  </si>
  <si>
    <t>001
002</t>
  </si>
  <si>
    <t>002
003</t>
  </si>
  <si>
    <t>DFN-070</t>
  </si>
  <si>
    <t>2014500
2014522</t>
  </si>
  <si>
    <t>008
000</t>
  </si>
  <si>
    <t>DFN-095</t>
  </si>
  <si>
    <t>DFN-098</t>
  </si>
  <si>
    <t>General Updates</t>
  </si>
  <si>
    <t>DOC0073100_001</t>
  </si>
  <si>
    <t>VSD Circuit Diagram</t>
  </si>
  <si>
    <t>E91S20A041A_Rev B</t>
  </si>
  <si>
    <t>DFN-099</t>
  </si>
  <si>
    <t>V00P01C01_001</t>
  </si>
  <si>
    <t>Document Map (Excel)</t>
  </si>
  <si>
    <t>KT-19518_Rev A</t>
  </si>
  <si>
    <t>DC110V UPS System</t>
  </si>
  <si>
    <t>DFN-100</t>
  </si>
  <si>
    <t>AV1P01C01_001</t>
  </si>
  <si>
    <t>PMS_Architecture_Overview</t>
  </si>
  <si>
    <t>AV1P02C01_002</t>
  </si>
  <si>
    <t>AV1P02C05_001</t>
  </si>
  <si>
    <t>Alarm_Mon_&amp;_HMI_Config</t>
  </si>
  <si>
    <t>AV2P03C02_001</t>
  </si>
  <si>
    <t>PMS_Cable_Interconnections</t>
  </si>
  <si>
    <t>DFN-101</t>
  </si>
  <si>
    <t>APP-20RAH078-Rev.5</t>
  </si>
  <si>
    <t>APP-20RAH078_Rev 5</t>
  </si>
  <si>
    <t>DFN-102</t>
  </si>
  <si>
    <t>Preservation, Storage &amp; Preventative Maintenance</t>
  </si>
  <si>
    <t>Preservation &amp; Storage</t>
  </si>
  <si>
    <t>DFN-103</t>
  </si>
  <si>
    <t>Attachment #01</t>
  </si>
  <si>
    <t>Attachment #02</t>
  </si>
  <si>
    <t>Attachment #03</t>
  </si>
  <si>
    <t>Attachment #04</t>
  </si>
  <si>
    <t>Attachment #05</t>
  </si>
  <si>
    <t>Attachment #07</t>
  </si>
  <si>
    <t>Attachment #08</t>
  </si>
  <si>
    <t>Attachment #09</t>
  </si>
  <si>
    <t>Attachment #10</t>
  </si>
  <si>
    <t>Engine Preparation for Storage or Shipment</t>
  </si>
  <si>
    <t>Generator Manual-201211</t>
  </si>
  <si>
    <t>Generator Bearing Manual</t>
  </si>
  <si>
    <t>Switchboard Long Term Equipment Storage Instructions</t>
  </si>
  <si>
    <t>AV4P01C01_000_PMS Installation Specification</t>
  </si>
  <si>
    <t>SIM19101-MA-001_Rev 0_Operation Manual_201030</t>
  </si>
  <si>
    <t>MV7000 Unified User Manual Section 3 Installation_Rev 01_4FK01505</t>
  </si>
  <si>
    <t>O OM 20 09 004 # 0 Installation &amp; Maintenance Manual</t>
  </si>
  <si>
    <t>OMM 20A041-042_Rev 01</t>
  </si>
  <si>
    <t>Specification for Transformer_210322_170kVA ER LV TR.</t>
  </si>
  <si>
    <t>Specification for Transformer_210322_200kVA EMCY TR</t>
  </si>
  <si>
    <t>Specification for Transformer_210322_45kVA EMCY LC TR</t>
  </si>
  <si>
    <t>Specification for Transformer_210322_20kVA No.3 Recp TR</t>
  </si>
  <si>
    <t>Specification for Transformer_210322_150kVA FZ1&amp;2 TR</t>
  </si>
  <si>
    <t>Specification for Transformer_210322_160kVA No.1 Recp TR</t>
  </si>
  <si>
    <t>Specification for Transformer_210322_100kVA Galley TR</t>
  </si>
  <si>
    <t>Specification for Transformer_210322_130kVA No.2 Recp TR</t>
  </si>
  <si>
    <t>Specification for Transformer_210322_160kVA Laundry TR</t>
  </si>
  <si>
    <t>SID19-056-1</t>
  </si>
  <si>
    <t>SID19-056-2</t>
  </si>
  <si>
    <t>SID19-056-3</t>
  </si>
  <si>
    <t>SID19-056-4</t>
  </si>
  <si>
    <t>SID19-056-5</t>
  </si>
  <si>
    <t>SID19-056-6</t>
  </si>
  <si>
    <t>SID19-056-7</t>
  </si>
  <si>
    <t>SID19-056-8</t>
  </si>
  <si>
    <t>SID19-056-9</t>
  </si>
  <si>
    <t>DFN-104</t>
  </si>
  <si>
    <t>210322</t>
  </si>
  <si>
    <t>LV Service - 160kVA - Laundry</t>
  </si>
  <si>
    <t>LV Service - 130kVA - No. 2 Recp</t>
  </si>
  <si>
    <t>LV Service - 100kVA - Galley</t>
  </si>
  <si>
    <t>LV Service - 160kVA - No. 1 Recp</t>
  </si>
  <si>
    <t>LV Service - 150kVA FZ 1&amp;2</t>
  </si>
  <si>
    <t>LV Service - 20kVA No. 3 Recp</t>
  </si>
  <si>
    <t>LV Service - 200kVA EMCY</t>
  </si>
  <si>
    <t>LV Service - 45kVA EMCY LC</t>
  </si>
  <si>
    <t>LV Service - 170kVA ER LV</t>
  </si>
  <si>
    <t>SID19056-5</t>
  </si>
  <si>
    <t>SID19056-6</t>
  </si>
  <si>
    <t>SID19056-7</t>
  </si>
  <si>
    <t>SID19056-8</t>
  </si>
  <si>
    <t>SID19056-9</t>
  </si>
  <si>
    <t>FAT Reports</t>
  </si>
  <si>
    <t>0RAH078</t>
  </si>
  <si>
    <t>DFN-105</t>
  </si>
  <si>
    <t>Test Report</t>
  </si>
  <si>
    <t>Test MOM</t>
  </si>
  <si>
    <t>HM2 Assembly Drawing</t>
  </si>
  <si>
    <t>HM1 Assembly Drawing</t>
  </si>
  <si>
    <t>HM1 Single Line Diagram</t>
  </si>
  <si>
    <t>HM1 Main Switchboards</t>
  </si>
  <si>
    <t>HM1 Schematic Diagram</t>
  </si>
  <si>
    <t>KT-19500</t>
  </si>
  <si>
    <t>HM1 Interconnection Diagram</t>
  </si>
  <si>
    <t>KT-19501</t>
  </si>
  <si>
    <t>HM1 Terminal Panel</t>
  </si>
  <si>
    <t>KT-19502</t>
  </si>
  <si>
    <t>HM2 Single Line Diagram</t>
  </si>
  <si>
    <t>HM2 Schematic Diagram</t>
  </si>
  <si>
    <t>HM2 Interconnection Diagram</t>
  </si>
  <si>
    <t>HM2 Terminal Panel</t>
  </si>
  <si>
    <t>KT-19509</t>
  </si>
  <si>
    <t>KT-19508</t>
  </si>
  <si>
    <t>KT-19507</t>
  </si>
  <si>
    <t>Shore Connection AMP</t>
  </si>
  <si>
    <t>Drawing Packages</t>
  </si>
  <si>
    <t>HM2 Main Switchboards</t>
  </si>
  <si>
    <t>AMP Schematic Diagram</t>
  </si>
  <si>
    <t>KT-19515</t>
  </si>
  <si>
    <t>AMP Interconnection Diagram</t>
  </si>
  <si>
    <t>KT-19514</t>
  </si>
  <si>
    <t>PV01P01C04</t>
  </si>
  <si>
    <t>AV3P01C01</t>
  </si>
  <si>
    <t>PV01P01C04_001</t>
  </si>
  <si>
    <t>DOC0073097_002</t>
  </si>
  <si>
    <t>DFN-107</t>
  </si>
  <si>
    <t>Rev E</t>
  </si>
  <si>
    <t>E41S20A041A_Rev E</t>
  </si>
  <si>
    <t>E41S20A042A_Rev E</t>
  </si>
  <si>
    <t>E41S20A041B_Rev B</t>
  </si>
  <si>
    <t>Torsional Dynamic Analysis</t>
  </si>
  <si>
    <t>DOC0073080_002</t>
  </si>
  <si>
    <t>DFN-109</t>
  </si>
  <si>
    <t>E81S20A042B_C</t>
  </si>
  <si>
    <t>E81S20A041D_A</t>
  </si>
  <si>
    <t>84A221248AP</t>
  </si>
  <si>
    <t>CSS 16V250MDC_NSMV 84A221248AP_Engine Classification Procedures</t>
  </si>
  <si>
    <t>CSS 16V250MDC_NSMV Engine FAT Report_DRAFT</t>
  </si>
  <si>
    <t>CSS 16V250MDC_NSMV Test Plan</t>
  </si>
  <si>
    <t>CSS 16V250MDC_T4 V250MDC_Test Cell Report_Blank</t>
  </si>
  <si>
    <t>Application for Inspection Test notice_65101 Main Generator Engine (Wabtec Engine Testing 13APR21)</t>
  </si>
  <si>
    <t>Application for Inspection Test notice_65101 Main Generator Engine (Wabtec Engine Testing 15APR21)</t>
  </si>
  <si>
    <t>SLD</t>
  </si>
  <si>
    <t>Motor Auxiliary Terminal Box</t>
  </si>
  <si>
    <t>2014520_5</t>
  </si>
  <si>
    <t>SCHEDULE OF BATTERIES (작성용)  3.26.21_Diesel</t>
  </si>
  <si>
    <t>ABS Approval</t>
  </si>
  <si>
    <t>T2095332</t>
  </si>
  <si>
    <t>DFN-111</t>
  </si>
  <si>
    <t>T2109784</t>
  </si>
  <si>
    <t>Battery Datasheet</t>
  </si>
  <si>
    <t>Operating Manual</t>
  </si>
  <si>
    <t>Battery Maintenance</t>
  </si>
  <si>
    <t>T2082650</t>
  </si>
  <si>
    <t>100000014824</t>
  </si>
  <si>
    <t>DFN-112</t>
  </si>
  <si>
    <t>AV2P03C02_002</t>
  </si>
  <si>
    <t>DFN-113</t>
  </si>
  <si>
    <t>APP-20RAH078_Rev 6</t>
  </si>
  <si>
    <t>DFN-114</t>
  </si>
  <si>
    <t>ABS</t>
  </si>
  <si>
    <t>UPS_Approval Letter</t>
  </si>
  <si>
    <t>Generator_LT_123801093</t>
  </si>
  <si>
    <t>Fault Current Analysis Document_CR_123846283</t>
  </si>
  <si>
    <t>BAX 4632_Battery Maintenance</t>
  </si>
  <si>
    <t>CTL_12-12L_Battery Data Sheet</t>
  </si>
  <si>
    <t>BA_Operating Manual</t>
  </si>
  <si>
    <t>PMS_CABLE_INTERCONNECTIONS</t>
  </si>
  <si>
    <t>APP-20RAH078-Rev.6</t>
  </si>
  <si>
    <t>S10</t>
  </si>
  <si>
    <t>DOC0080655</t>
  </si>
  <si>
    <t>DFN-115</t>
  </si>
  <si>
    <t>E</t>
  </si>
  <si>
    <t>FWD Bearing</t>
  </si>
  <si>
    <t>AFT Bearing</t>
  </si>
  <si>
    <t>DE Bearing</t>
  </si>
  <si>
    <t>NDE Bearing</t>
  </si>
  <si>
    <t>E84S20A041A</t>
  </si>
  <si>
    <t>E84S20A041B</t>
  </si>
  <si>
    <t>E84S20A042A</t>
  </si>
  <si>
    <t>E84S20A042B</t>
  </si>
  <si>
    <t>E81S20A041D</t>
  </si>
  <si>
    <t>B
A</t>
  </si>
  <si>
    <t>DOC0080655_001</t>
  </si>
  <si>
    <t>Telegraph System_Schematic</t>
  </si>
  <si>
    <t>E81S20A041D_B</t>
  </si>
  <si>
    <t>DE Bearing (FWD)</t>
  </si>
  <si>
    <t>NDE Bearing (FWD)</t>
  </si>
  <si>
    <t>DE Bearing (AFT)</t>
  </si>
  <si>
    <t>NDE Bearing (AFT)</t>
  </si>
  <si>
    <t>E91S20A041A_Rev C</t>
  </si>
  <si>
    <t>E91S20A041B_B</t>
  </si>
  <si>
    <t>Motor Sectional Drawing (FWD)</t>
  </si>
  <si>
    <t>E91S20A042B_A</t>
  </si>
  <si>
    <t>Motor Sectional Drawing (AFT)</t>
  </si>
  <si>
    <t>E95S20A041A_D</t>
  </si>
  <si>
    <t>E95S20A042A_E</t>
  </si>
  <si>
    <t>D6-138</t>
  </si>
  <si>
    <t>A12B-40-24V - Diesel UPS Drawing</t>
  </si>
  <si>
    <t>CSS 16V250MDC_T4 V250MDC_Test Cell Report_DRAFTr1</t>
  </si>
  <si>
    <t>CSS 16V250MDC_T4 V250MDC_Engine FAT Summary Report_DRAFTr1</t>
  </si>
  <si>
    <t>DOC0073102_002</t>
  </si>
  <si>
    <t>O MC 20 09 004_005</t>
  </si>
  <si>
    <t>Technical Specification (DBR)</t>
  </si>
  <si>
    <t>Specification for Transformer_210412_170kVA ER LV TR</t>
  </si>
  <si>
    <t>Specification for Transformer_210409_200kVA EMCY TR</t>
  </si>
  <si>
    <t>Specification for Transformer_210409_45kVA EMCY LC T</t>
  </si>
  <si>
    <t>Specification for Transformer_210409_20kVA No.3 Recp TR</t>
  </si>
  <si>
    <t>Specification for Transformer_210409_150kVA FZ1&amp;2 TR</t>
  </si>
  <si>
    <t>Specification for Transformer_210412_160kVA No.1 Recp TR</t>
  </si>
  <si>
    <t>Specification for Transformer_210409_100kVA Galley TR</t>
  </si>
  <si>
    <t>Specification for Transformer_210409_130kVA No.2 Recp TR</t>
  </si>
  <si>
    <t>Specification for Transformer_210409_160kVA Laundry TR</t>
  </si>
  <si>
    <t>SIM19-101-1</t>
  </si>
  <si>
    <t>Specification for Transformer_210412_4100kVA HV TR</t>
  </si>
  <si>
    <t>DFN-119</t>
  </si>
  <si>
    <t>210412</t>
  </si>
  <si>
    <t>DFN-118</t>
  </si>
  <si>
    <t>DOC0073102</t>
  </si>
  <si>
    <t>210416</t>
  </si>
  <si>
    <t>DFN-120</t>
  </si>
  <si>
    <t>LV Service - 150kVA FZ 1&amp;3</t>
  </si>
  <si>
    <t>210409</t>
  </si>
  <si>
    <t>Specification for Transformer_210416_170kVA ER LV TR</t>
  </si>
  <si>
    <t>Specification for Transformer_210416_200kVA EMCY TR</t>
  </si>
  <si>
    <t>Specification for Transformer_210416_20kVA No.3 Recp TR</t>
  </si>
  <si>
    <t>Specification for Transformer_210416_150kVA FZ1&amp;2 TR</t>
  </si>
  <si>
    <t>Specification for Transformer_210416_100kVA Galley TR</t>
  </si>
  <si>
    <t>Specification for Transformer_210416_130kVA No.2 Recp TR</t>
  </si>
  <si>
    <t>Maintenance Drawing</t>
  </si>
  <si>
    <t>DFN-121</t>
  </si>
  <si>
    <t>SIM19101-2-DW-MA-001</t>
  </si>
  <si>
    <t>20A041-042_002</t>
  </si>
  <si>
    <t>SIM19101-2-DW-GA-001_005</t>
  </si>
  <si>
    <t>SIM19101-2-DW-MA-001_001</t>
  </si>
  <si>
    <t>Alarm &amp; Monitoring System Test Procedure</t>
  </si>
  <si>
    <t>29-Apr--2021</t>
  </si>
  <si>
    <t>DFN-126</t>
  </si>
  <si>
    <t>KT 19524</t>
  </si>
  <si>
    <t>KT-19418</t>
  </si>
  <si>
    <t>2014502_6</t>
  </si>
  <si>
    <t>P&amp;ID</t>
  </si>
  <si>
    <t>G763210001</t>
  </si>
  <si>
    <t>NSMV Engine 1 FAT Summary Report</t>
  </si>
  <si>
    <t>G763210002</t>
  </si>
  <si>
    <t>NSMV Engine 2 FAT Summary Report</t>
  </si>
  <si>
    <t>PLUMBING.zip</t>
  </si>
  <si>
    <t>ABS (GENSET)</t>
  </si>
  <si>
    <t>T2041529</t>
  </si>
  <si>
    <t>ABS Review Letter_JS_120153297</t>
  </si>
  <si>
    <t>1A31D04440</t>
  </si>
  <si>
    <t>Coupling_120152712</t>
  </si>
  <si>
    <t>20-0096-01_R1</t>
  </si>
  <si>
    <t>V250MDC Engine Base Frame Report_120152603</t>
  </si>
  <si>
    <t>20-0096-01-A301_R1</t>
  </si>
  <si>
    <t>Engine Base Frame_120151301</t>
  </si>
  <si>
    <t>TVA_120151686</t>
  </si>
  <si>
    <t>General Arrangement_120152898</t>
  </si>
  <si>
    <t>2014502_Rev1</t>
  </si>
  <si>
    <t>P&amp;ID_120152811</t>
  </si>
  <si>
    <t>PV01P01C01_004</t>
  </si>
  <si>
    <t>DOC0073100_002</t>
  </si>
  <si>
    <t>DOC0073153-002</t>
  </si>
  <si>
    <t>FC1PRC_Schematics</t>
  </si>
  <si>
    <t>DOC0073154-002</t>
  </si>
  <si>
    <t>FC2PRC_Schematics</t>
  </si>
  <si>
    <t>DOC0073156-001</t>
  </si>
  <si>
    <t>FC1-FC2_General Arrangement</t>
  </si>
  <si>
    <t>DOC0073157-002</t>
  </si>
  <si>
    <t>DOC0073158-002</t>
  </si>
  <si>
    <t>DOC0073166-001</t>
  </si>
  <si>
    <t>ARW_Schematic Diagram</t>
  </si>
  <si>
    <t>DOC0073167-001</t>
  </si>
  <si>
    <t>PRW_Schematic Diagram</t>
  </si>
  <si>
    <t>DOC0073168-001</t>
  </si>
  <si>
    <t>SRW_Schematic Diagram</t>
  </si>
  <si>
    <t>DOC0073169-001</t>
  </si>
  <si>
    <t>ARE1_Schematic Diagram</t>
  </si>
  <si>
    <t>DOC0073170-001</t>
  </si>
  <si>
    <t>ARL1_Schematic Diagram</t>
  </si>
  <si>
    <t>DOC0073188-004</t>
  </si>
  <si>
    <t>DUM1_IO Rack Motor Schematic</t>
  </si>
  <si>
    <t>DOC0073189-001</t>
  </si>
  <si>
    <t>DUS1_IO Rack MCC Schematic</t>
  </si>
  <si>
    <t>DOC0073190-001</t>
  </si>
  <si>
    <t>DUP1_IO Rack PLS Schematic</t>
  </si>
  <si>
    <t>DOC0073194-004</t>
  </si>
  <si>
    <t>DUM2_IO Rack Motor Schematic</t>
  </si>
  <si>
    <t>DOC0073195-001</t>
  </si>
  <si>
    <t>DUS2_IO Rack MCC Schematic</t>
  </si>
  <si>
    <t>DOC0073196-001</t>
  </si>
  <si>
    <t>DUP2_IO Rack PLS Schematic</t>
  </si>
  <si>
    <t>DOC0077455-001</t>
  </si>
  <si>
    <t>ART_Schematic Diagram</t>
  </si>
  <si>
    <t>DOC0077456-001</t>
  </si>
  <si>
    <t>ARL2_Schematic Diagram</t>
  </si>
  <si>
    <t>DOC0078121-001</t>
  </si>
  <si>
    <t>HMIWS1_Schematic Diagram</t>
  </si>
  <si>
    <t>DOC0078122-001</t>
  </si>
  <si>
    <t>HMIWS2_Schematic Diagram</t>
  </si>
  <si>
    <t>DOC0078134-001</t>
  </si>
  <si>
    <t>ARE2_Schematic Diagram</t>
  </si>
  <si>
    <t>DOC0075487-002</t>
  </si>
  <si>
    <t>DUM1_GA</t>
  </si>
  <si>
    <t>DOC0076867-001</t>
  </si>
  <si>
    <t>ARW_GA</t>
  </si>
  <si>
    <t>DOC0077603-001</t>
  </si>
  <si>
    <t>ARL1 2_GA</t>
  </si>
  <si>
    <t>DOC0078063-002</t>
  </si>
  <si>
    <t>ARE1 2_GA</t>
  </si>
  <si>
    <t>DOC0078131-001</t>
  </si>
  <si>
    <t>HMIS1_GA</t>
  </si>
  <si>
    <t>DOC0078142-001</t>
  </si>
  <si>
    <t>ART_GA</t>
  </si>
  <si>
    <t>DOC0078164-002</t>
  </si>
  <si>
    <t>PRW SRW_GA</t>
  </si>
  <si>
    <t>DOC0073171-001</t>
  </si>
  <si>
    <t>ARW_Material List</t>
  </si>
  <si>
    <t>DOC0073172-001</t>
  </si>
  <si>
    <t>PRW_Material List</t>
  </si>
  <si>
    <t>DOC0073173-001</t>
  </si>
  <si>
    <t>SRW_Material List</t>
  </si>
  <si>
    <t>DOC0073174-001</t>
  </si>
  <si>
    <t>ARE1_Material List</t>
  </si>
  <si>
    <t>DOC0073175-001</t>
  </si>
  <si>
    <t>ARL1_Material List</t>
  </si>
  <si>
    <t>DOC0073191-001</t>
  </si>
  <si>
    <t>DUM1_Material List</t>
  </si>
  <si>
    <t>DOC0073192-001</t>
  </si>
  <si>
    <t>DUS1_Material List</t>
  </si>
  <si>
    <t>DOC0073193-001</t>
  </si>
  <si>
    <t>DUP1_Material List</t>
  </si>
  <si>
    <t>DOC0073197-001</t>
  </si>
  <si>
    <t>DUM2_Material List</t>
  </si>
  <si>
    <t>DOC0073198-001</t>
  </si>
  <si>
    <t>DUS2_Material List</t>
  </si>
  <si>
    <t>DOC0073199-001</t>
  </si>
  <si>
    <t>DUP2_Material List</t>
  </si>
  <si>
    <t>DOC0077602-001</t>
  </si>
  <si>
    <t>ARL2_Material List</t>
  </si>
  <si>
    <t>DOC0078129-001</t>
  </si>
  <si>
    <t>HMIS1_Material List</t>
  </si>
  <si>
    <t>DOC0078141-001</t>
  </si>
  <si>
    <t>ART_Material List</t>
  </si>
  <si>
    <t>DOC0078163-001</t>
  </si>
  <si>
    <t>ARE2_Material List</t>
  </si>
  <si>
    <t>DFN-127</t>
  </si>
  <si>
    <t>002
002</t>
  </si>
  <si>
    <t>DOC0073097</t>
  </si>
  <si>
    <t>DOC0073156</t>
  </si>
  <si>
    <t>Propulsion Convertor Transformer ESS</t>
  </si>
  <si>
    <t>No. 1-3 Laundry Ship Service Transformers ESS</t>
  </si>
  <si>
    <t>DOC0073157
DOC0073158</t>
  </si>
  <si>
    <t>Wheelhouse Remote Control Schematic (ARW)</t>
  </si>
  <si>
    <t>Port Wing Remote Control Schematic (PRW)</t>
  </si>
  <si>
    <t>STBD Wing Remote Control Schematic (SRW)</t>
  </si>
  <si>
    <t>ECR 1 Remote Control Schematic (ARE)</t>
  </si>
  <si>
    <t>ECR 2 Remote Control Schematic (ARE)</t>
  </si>
  <si>
    <t>Local Cubicle 1 Remote Control Schematic (ARL)</t>
  </si>
  <si>
    <t>Local Cubicle 2 Remote Control Schematic (ARL)</t>
  </si>
  <si>
    <t>Training Bridge Remote Control  Schematic (ART)</t>
  </si>
  <si>
    <t>Telegraph System Schematic (TLGR)</t>
  </si>
  <si>
    <t>ECR 1 Supervision Monitoring Schematic (HMIWS1)</t>
  </si>
  <si>
    <t>ECR 2 Supervision Monitoring Schematic (HMIWS2)</t>
  </si>
  <si>
    <t>DOC0073188</t>
  </si>
  <si>
    <t>DOC0073194</t>
  </si>
  <si>
    <t>Wheelhouse Remote Control GA (ARW)</t>
  </si>
  <si>
    <t>Local Cubicle 1&amp;2 Remote Control GA (ARL)</t>
  </si>
  <si>
    <t>ECR 1&amp;2 Remote Control GA (ARE)</t>
  </si>
  <si>
    <t>ECR 1 Supervision Monitoring GA (HMIWS1)</t>
  </si>
  <si>
    <t>ECR 2 Supervision Monitoring GA (HMIWS2)</t>
  </si>
  <si>
    <t>Training Bridge Remote Control GA (ART)</t>
  </si>
  <si>
    <t>Port &amp; STBD Wing Remote Control GA (PRW/SRW)</t>
  </si>
  <si>
    <t>Wheelhouse Remote Control Material List (ARW)</t>
  </si>
  <si>
    <t>Local Cubicle 1 Remote Control Material List (ARL)</t>
  </si>
  <si>
    <t>Local Cubicle 2 Remote Control Material List (ARL)</t>
  </si>
  <si>
    <t>ECR 1 Remote Control Material List (ARE)</t>
  </si>
  <si>
    <t>ECR 2 Remote Control Material List (ARE)</t>
  </si>
  <si>
    <t>ECR 1 Supervision Monitoring Material List (HMIWS1 )</t>
  </si>
  <si>
    <t>ECR 2 Supervision Monitoring Material List (HMIWS2)</t>
  </si>
  <si>
    <t>Training Bridge Remote Control  Material List (ART)</t>
  </si>
  <si>
    <t>Port Wing Remote Control Material List (PRW)</t>
  </si>
  <si>
    <t>STBD Wing Remote Control Material List (SRW)</t>
  </si>
  <si>
    <t>DUM 1 Material List</t>
  </si>
  <si>
    <t>DUM 2 Material List</t>
  </si>
  <si>
    <t>DUS 1 Material List</t>
  </si>
  <si>
    <t>DUS 2 Material List</t>
  </si>
  <si>
    <t>DUP 1 Material List</t>
  </si>
  <si>
    <t>DUP 2 Material List</t>
  </si>
  <si>
    <t>DOC0073184</t>
  </si>
  <si>
    <t>DOC0073185</t>
  </si>
  <si>
    <t>DOC0073191</t>
  </si>
  <si>
    <t>DOC0073197</t>
  </si>
  <si>
    <t>DOC0073192</t>
  </si>
  <si>
    <t>DOC0073198</t>
  </si>
  <si>
    <t>DOC0073186</t>
  </si>
  <si>
    <t>DOC0073193</t>
  </si>
  <si>
    <t>DOC0073199</t>
  </si>
  <si>
    <t>DFN-128</t>
  </si>
  <si>
    <t>SV1P01C01S02</t>
  </si>
  <si>
    <t>DOC0073080</t>
  </si>
  <si>
    <t>S20021378</t>
  </si>
  <si>
    <t>DOC0073080-003</t>
  </si>
  <si>
    <t>S20021378_002</t>
  </si>
  <si>
    <t>SV1P01C01S03</t>
  </si>
  <si>
    <t>DFN-124</t>
  </si>
  <si>
    <t>SV1P01C01S03_001</t>
  </si>
  <si>
    <t>M&amp;O Manuals.zip</t>
  </si>
  <si>
    <t>SIM19-101-MA-001_000</t>
  </si>
  <si>
    <t>4100kVA IOM Manual_21.05.03</t>
  </si>
  <si>
    <t>SID19-056-MA-001_000</t>
  </si>
  <si>
    <t>LV Transformer IOM Manual_21.05.03</t>
  </si>
  <si>
    <t>SIM19-101-MA-001</t>
  </si>
  <si>
    <t>DFN-129</t>
  </si>
  <si>
    <t>SID19-056-MA-001</t>
  </si>
  <si>
    <t>Coil Maintenance Drawing</t>
  </si>
  <si>
    <t>AV1P01C01</t>
  </si>
  <si>
    <t>DFN-130</t>
  </si>
  <si>
    <t>PMS to CAMS MODBUS List</t>
  </si>
  <si>
    <t>AV3P02C02</t>
  </si>
  <si>
    <t>AV3P02C03</t>
  </si>
  <si>
    <t>AV3P02C03S01</t>
  </si>
  <si>
    <t>AV1P01C01_002</t>
  </si>
  <si>
    <t>AV3P02C03_001</t>
  </si>
  <si>
    <t>AV3P02C03S01_000</t>
  </si>
  <si>
    <t>AV4P02C05_001</t>
  </si>
  <si>
    <t>AV4P02C05</t>
  </si>
  <si>
    <t>DFN-131</t>
  </si>
  <si>
    <t>AV4P01C01</t>
  </si>
  <si>
    <t>AV4P02C03</t>
  </si>
  <si>
    <t>AV4P01C04</t>
  </si>
  <si>
    <t>AV4P02C01</t>
  </si>
  <si>
    <t>AV4P02C02</t>
  </si>
  <si>
    <t>Commissioning - 8 weeks</t>
  </si>
  <si>
    <t>PMS FMEA &amp; DVTP</t>
  </si>
  <si>
    <t>PMS PSTP</t>
  </si>
  <si>
    <t>AV4P03C04</t>
  </si>
  <si>
    <t>AV5P03C01</t>
  </si>
  <si>
    <t>DFN-132</t>
  </si>
  <si>
    <t>AV4P03C04_000</t>
  </si>
  <si>
    <t>AV5P03C01_000</t>
  </si>
  <si>
    <t>DOC0026304_004</t>
  </si>
  <si>
    <t>DOC0073089_003</t>
  </si>
  <si>
    <t>E91S20A041A_Rev D</t>
  </si>
  <si>
    <t>P20021396-004</t>
  </si>
  <si>
    <t>DOC0026304</t>
  </si>
  <si>
    <t>DFN-133</t>
  </si>
  <si>
    <t>DOC0073089</t>
  </si>
  <si>
    <t>P20021396</t>
  </si>
  <si>
    <t>V00P03C03 Rev.003</t>
  </si>
  <si>
    <t>V00P03C03</t>
  </si>
  <si>
    <t>DFN-134</t>
  </si>
  <si>
    <t>E1132-1473</t>
  </si>
  <si>
    <t>LaMarche A12B Electrical Schematic</t>
  </si>
  <si>
    <t>AV4P03C01</t>
  </si>
  <si>
    <t>Hardware Commissioning</t>
  </si>
  <si>
    <t xml:space="preserve">Software Commissioning </t>
  </si>
  <si>
    <t>AV4P03C02</t>
  </si>
  <si>
    <t>DC110V UPS_A_2021-03-19</t>
  </si>
  <si>
    <t>VCB LIFT_2021-02-19</t>
  </si>
  <si>
    <t>Battery Charger &amp; Discharger Board_B_2021-05-14</t>
  </si>
  <si>
    <t>Distribution Board_F_2021-05-14</t>
  </si>
  <si>
    <t>Main &amp; EMCY Load Center Panel_H_2021-05-14</t>
  </si>
  <si>
    <t>RPB(LPB) &amp; EMCY Stop Box_B_2021-05-17</t>
  </si>
  <si>
    <t>Shore Connection Box_C_2021-05-14</t>
  </si>
  <si>
    <t>Starter (LGSP)_B_2021-05-14</t>
  </si>
  <si>
    <t>Storage Battery_A_2021-03-05</t>
  </si>
  <si>
    <t>Test Panel_B_2021-05-14</t>
  </si>
  <si>
    <t>DFN-136</t>
  </si>
  <si>
    <t>VCB Lift</t>
  </si>
  <si>
    <t>H</t>
  </si>
  <si>
    <t>F</t>
  </si>
  <si>
    <t>Storage Battery</t>
  </si>
  <si>
    <t>DVTP</t>
  </si>
  <si>
    <t>PSTP</t>
  </si>
  <si>
    <t>AV2P03C02</t>
  </si>
  <si>
    <t>DFN-138</t>
  </si>
  <si>
    <t>AV2P03C02_003</t>
  </si>
  <si>
    <t>1033 HM1 Drawing_A2_2021-05-18</t>
  </si>
  <si>
    <t>1033 HM2 Drawing_A2_2021-05-18</t>
  </si>
  <si>
    <t>1033 AMP Drawing_A2_2021-05-14</t>
  </si>
  <si>
    <t>1033_Emergency SWBD_B_2021-05-14</t>
  </si>
  <si>
    <t>A2</t>
  </si>
  <si>
    <t>DFN-139</t>
  </si>
  <si>
    <t>Bearing Operating Instructions</t>
  </si>
  <si>
    <t>413459
413460</t>
  </si>
  <si>
    <t>DFN-141</t>
  </si>
  <si>
    <t>2014502_5</t>
  </si>
  <si>
    <t>2014523_0</t>
  </si>
  <si>
    <t>UPS Standard Mounting Dimensions</t>
  </si>
  <si>
    <t>2014520_6</t>
  </si>
  <si>
    <t>Interface Schematics</t>
  </si>
  <si>
    <t>PV01P01C01_005</t>
  </si>
  <si>
    <t>413459 Rev 1</t>
  </si>
  <si>
    <t>Operating Instructions_Bearing SMNFB45-400_SMNFQ35k-315_874368-874369_Rev01</t>
  </si>
  <si>
    <t>413460 Rev 1</t>
  </si>
  <si>
    <t>Operating Instructions_Bearing SMNFB45-450_SMNFQ45k-400_874370-874371_Rev01</t>
  </si>
  <si>
    <t>DFN-140</t>
  </si>
  <si>
    <t>DFN-142</t>
  </si>
  <si>
    <t>PV01P01C01_006</t>
  </si>
  <si>
    <t>DFN-144</t>
  </si>
  <si>
    <t>1033_No.1 LV SWBD_C_2021-05-20</t>
  </si>
  <si>
    <t>1033_No.2 LV SWBD_C_2021-05-20</t>
  </si>
  <si>
    <t>DFN-143</t>
  </si>
  <si>
    <t>PV3P01C02_003</t>
  </si>
  <si>
    <t>ETAP-18 Knots_DV_SLD</t>
  </si>
  <si>
    <t>ETAP-18 Knots_DV_SC Report - Complete</t>
  </si>
  <si>
    <t>ETAP-Manoeuvring_DV_SLD</t>
  </si>
  <si>
    <t>ETAP-Manoeuvring_DV_SC Report - Complete</t>
  </si>
  <si>
    <t>ETAP-Safe Return to PortB_DV_SLD - Bow Thruster</t>
  </si>
  <si>
    <t>ETAP-Safe Return to PortB_DV_SC Report - Bow Thruster</t>
  </si>
  <si>
    <t>84A231868ED Rev C</t>
  </si>
  <si>
    <t>Modbus Address</t>
  </si>
  <si>
    <t>PV3P01C04_002</t>
  </si>
  <si>
    <t>DFN-146</t>
  </si>
  <si>
    <t>TCC Curves</t>
  </si>
  <si>
    <t>Annex 1 Bearing Manual</t>
  </si>
  <si>
    <t>Annex 2 AVR Manual</t>
  </si>
  <si>
    <t>Annex 3 PMG Manual</t>
  </si>
  <si>
    <t>Arc Fault Calculations (KTE Scope)</t>
  </si>
  <si>
    <t>DFN-147</t>
  </si>
  <si>
    <t>DFN-148</t>
  </si>
  <si>
    <t>Alarm_System_Test_Procedure_Signed</t>
  </si>
  <si>
    <t>Arch_&amp;_HMI_Test_Procedure_Signed</t>
  </si>
  <si>
    <t>PMS_Test_Procedure_Signed</t>
  </si>
  <si>
    <t>25.05.21 FAT Meeting Minutes</t>
  </si>
  <si>
    <t>AV2P03C03</t>
  </si>
  <si>
    <t>DFN-149</t>
  </si>
  <si>
    <t>AV2P03C05</t>
  </si>
  <si>
    <t>AV2P03C03_003</t>
  </si>
  <si>
    <t>AV2P03C05_002</t>
  </si>
  <si>
    <t>DFN-150</t>
  </si>
  <si>
    <t>PV3P01C02_004</t>
  </si>
  <si>
    <t>G763210003</t>
  </si>
  <si>
    <t>NSMV Engine 3 FAT Summary Report</t>
  </si>
  <si>
    <t>1033_No.1 LV SWBD_D_2021-06-03</t>
  </si>
  <si>
    <t>1033_No.2 LV SWBD_D_2021-06-03</t>
  </si>
  <si>
    <t>1033_Battery Charger &amp; Discharger Board_C_2021-05-27</t>
  </si>
  <si>
    <t>1033_Emergency SWBD_C_2021-05-31</t>
  </si>
  <si>
    <t>1033_Main &amp; EMCY Load Center Panel_J_2021-05-27</t>
  </si>
  <si>
    <t>KT19418</t>
  </si>
  <si>
    <t>1033_Storage Battery_B_2021-05-27</t>
  </si>
  <si>
    <t>DFN-152</t>
  </si>
  <si>
    <t>J</t>
  </si>
  <si>
    <t>DFN-153</t>
  </si>
  <si>
    <t>210607</t>
  </si>
  <si>
    <t>Specification for Transformer_210607_170kVA ER LV TR</t>
  </si>
  <si>
    <t>Specification for Transformer_210607_200kVA EMCY TR</t>
  </si>
  <si>
    <t>Specification for Transformer_210607_160kVA No.1 Recp TR</t>
  </si>
  <si>
    <t>Specification for Transformer_210607_160kVA Laundry TR</t>
  </si>
  <si>
    <t>Specification for Transformer_210607_4100kVA HV TR</t>
  </si>
  <si>
    <t>G763210004</t>
  </si>
  <si>
    <t>NSMV Engine 4 FAT Summary Report</t>
  </si>
  <si>
    <t>T2123059</t>
  </si>
  <si>
    <t>DFN-155</t>
  </si>
  <si>
    <t>Dynamic Braking Resistor ABS Letter</t>
  </si>
  <si>
    <t>20A041-042_003</t>
  </si>
  <si>
    <t>DFN-156</t>
  </si>
  <si>
    <t>KT-20023</t>
  </si>
  <si>
    <t>DFN-157</t>
  </si>
  <si>
    <t>Incorporated into the drawing sets.</t>
  </si>
  <si>
    <t>Arc Test Report</t>
  </si>
  <si>
    <t xml:space="preserve">Arc Flash Analysis </t>
  </si>
  <si>
    <t>Technical Datasheet</t>
  </si>
  <si>
    <t>1033 FMEA_6.6kVA HV Switchboard</t>
  </si>
  <si>
    <t>Operation &amp; Installation Manual for KHMS-25A</t>
  </si>
  <si>
    <t>SEPAM_Installation &amp; Operation</t>
  </si>
  <si>
    <t>SEPAM_Protection_Metering &amp; Control Function</t>
  </si>
  <si>
    <t>VCB Manual</t>
  </si>
  <si>
    <t>UPS Standard Mounting Dimensions (AutoCAD)</t>
  </si>
  <si>
    <t>21-0054-01-A001 Rev 0</t>
  </si>
  <si>
    <t>16cyl Genset Lifting Arrangement</t>
  </si>
  <si>
    <t>84A231868CV Rev 0</t>
  </si>
  <si>
    <t>Commissioning Validation</t>
  </si>
  <si>
    <t>GEK-115493</t>
  </si>
  <si>
    <t>Vulkan Resilient Mount Assembly Manual T-Series HA-DS</t>
  </si>
  <si>
    <t>UPS FAT Report_156523-10.001</t>
  </si>
  <si>
    <t>FAT Report</t>
  </si>
  <si>
    <t>1002133
1002134</t>
  </si>
  <si>
    <t>DFN-159</t>
  </si>
  <si>
    <t>UPS FAT Report_156523-10.002</t>
  </si>
  <si>
    <t>T2129657</t>
  </si>
  <si>
    <t>DFN-160</t>
  </si>
  <si>
    <t>HV - LV SWBD Sets ABS Letter</t>
  </si>
  <si>
    <t>H1033 ESBD TEST RECORD (21.06.24)</t>
  </si>
  <si>
    <t>H1033 HV AMP TEST RECORD (21.06.24)</t>
  </si>
  <si>
    <t>H1033 HV MSBD TEST RECORD (21.06.24)</t>
  </si>
  <si>
    <t>H1033 LV MSBD TEST RECORD (21.06.24)</t>
  </si>
  <si>
    <t>DFN-161</t>
  </si>
  <si>
    <t>HV MSBD</t>
  </si>
  <si>
    <t>HV AMP</t>
  </si>
  <si>
    <t>LV MSBD</t>
  </si>
  <si>
    <t>ESBD</t>
  </si>
  <si>
    <t>DOC0077603-002</t>
  </si>
  <si>
    <t>ARL1 2_General Arrangement</t>
  </si>
  <si>
    <t>DFN-162</t>
  </si>
  <si>
    <t>Specification for Transformer_210624_170kVA ER LV TR</t>
  </si>
  <si>
    <t>Specification for Transformer_210624_200kVA EMCY TR</t>
  </si>
  <si>
    <t>Specification for transformer_210624_45kVA EMCY LC TR</t>
  </si>
  <si>
    <t>Specification for transformer_210624_20kVA No.3 Recp TR</t>
  </si>
  <si>
    <t>Specification for transformer_210624_150kVA No.2 LCP TR</t>
  </si>
  <si>
    <t>Specification for Transformer_210624_160kVA No.1 Recp TR</t>
  </si>
  <si>
    <t>Specification for transformer_210624_100kVA No.1 LCP TR</t>
  </si>
  <si>
    <t>Specification for transformer_210624_130kVA No.2 Recp TR</t>
  </si>
  <si>
    <t>Specification for Transformer_210624_160kVA Laundry TR</t>
  </si>
  <si>
    <t>Specification for Transformer_210624_4100kVA HV TR</t>
  </si>
  <si>
    <t>210624</t>
  </si>
  <si>
    <t>DFN-163</t>
  </si>
  <si>
    <t>HM1_Assembly Drawing_2021-05-14</t>
  </si>
  <si>
    <t>HM1_Interconnection Diagram_2021-06-25</t>
  </si>
  <si>
    <t>HM1_Schematic Diagram_2021-06-25</t>
  </si>
  <si>
    <t>KT-19503</t>
  </si>
  <si>
    <t>HM1_SEPAM Logic Diagram_2021-06-23</t>
  </si>
  <si>
    <t>HM1_Single Line Diagram_2021-06-25</t>
  </si>
  <si>
    <t>HM1_Terminal Panel_2021-06-25</t>
  </si>
  <si>
    <t>HM2_Assembly Drawing_2021-05-14</t>
  </si>
  <si>
    <t>HM2_Interconnection Diagram_2021-06-25</t>
  </si>
  <si>
    <t>HM2_Schematic Diagram_2021-06-25</t>
  </si>
  <si>
    <t>HM2_SEPAM Logic Diagram_2021-06-23</t>
  </si>
  <si>
    <t>HM2_Single Line Diagram_2021-06-25</t>
  </si>
  <si>
    <t>HM2_Terminal Panel_2021-06-25</t>
  </si>
  <si>
    <t>DC110V UPS_2021-06-25</t>
  </si>
  <si>
    <t>AMP_Assembly Drawing_2021-06-25</t>
  </si>
  <si>
    <t>AMP_Interconnection Diagram_2021-06-17</t>
  </si>
  <si>
    <t>AMP_Schematic Diagram_2021-06-16</t>
  </si>
  <si>
    <t>KT-19516</t>
  </si>
  <si>
    <t>AMP_SEPAM Logic Diagram_2021-05-28</t>
  </si>
  <si>
    <t>AMP_Single Line Diagram_2021-06-25</t>
  </si>
  <si>
    <t>No.1 LV SWBD_2021-06-25</t>
  </si>
  <si>
    <t>No.2 LV SWBD_2021-06-25</t>
  </si>
  <si>
    <t>Emergency SWBD_2021-06-24</t>
  </si>
  <si>
    <t>Main &amp; EMCY Load Center Panel_2021-06-25</t>
  </si>
  <si>
    <t>Starter (LGSP)_2021-06-24</t>
  </si>
  <si>
    <t>Distribution Board_2021-06-25</t>
  </si>
  <si>
    <t>Battery Switchboard_2021-06-25</t>
  </si>
  <si>
    <t>Storage Battery_2021-06-25</t>
  </si>
  <si>
    <t>Test Panel_2021-06-25</t>
  </si>
  <si>
    <t>Shore Connection Box_2021-06-25</t>
  </si>
  <si>
    <t>RPB(LPB) &amp; EMCY Stop Box_2021-06-25</t>
  </si>
  <si>
    <t>DFN-164</t>
  </si>
  <si>
    <t>Reissue</t>
  </si>
  <si>
    <t>A3</t>
  </si>
  <si>
    <t>HM1 SEPAM Logic Diagram</t>
  </si>
  <si>
    <t>HM2 SEPAM Logic Diagram</t>
  </si>
  <si>
    <t>Moved to HM1&amp;2 Assembly Drawings</t>
  </si>
  <si>
    <t>M</t>
  </si>
  <si>
    <t>K</t>
  </si>
  <si>
    <t>NO.1 MAIN LCP</t>
  </si>
  <si>
    <t>NO.2 MAIN LCP</t>
  </si>
  <si>
    <t>NO.3 MAIN LCP</t>
  </si>
  <si>
    <t>NO.4 MAIN LCP</t>
  </si>
  <si>
    <t>NO.1 EMCY LCP</t>
  </si>
  <si>
    <t>NO.2 EMCY LCP</t>
  </si>
  <si>
    <t>NO.3 EMCY LCP</t>
  </si>
  <si>
    <t>DFN-165</t>
  </si>
  <si>
    <t>H1033 NO.1 EMCY LCP TEST RECORD(21.06.28)</t>
  </si>
  <si>
    <t>H1033 NO.1 MAIN LCP TEST RECORD(21.06.28)</t>
  </si>
  <si>
    <t>H1033 NO.2 EMCY LCP TEST RECORD(21.06.28)</t>
  </si>
  <si>
    <t>H1033 NO.2 MAIN LCP TEST RECORD(21.06.28)</t>
  </si>
  <si>
    <t>H1033 NO.3 EMCY LCP TEST RECORD(21.06.28)</t>
  </si>
  <si>
    <t>H1033 NO.3 MAIN LCP TEST RECORD(21.06.28)</t>
  </si>
  <si>
    <t>H1033 NO.4 MAIN LCP TEST RECORD(21.06.28)</t>
  </si>
  <si>
    <t>AV1P04C01_000</t>
  </si>
  <si>
    <t>Automation Software Download Guide</t>
  </si>
  <si>
    <t>AV1P04C02_000</t>
  </si>
  <si>
    <t>PMS Equipment Maintenance</t>
  </si>
  <si>
    <t>AV4P03C01_000</t>
  </si>
  <si>
    <t>AV4P03C02_000</t>
  </si>
  <si>
    <t>Software Commissioning</t>
  </si>
  <si>
    <t>AV4P03C03_000</t>
  </si>
  <si>
    <t>AV4P04C01_000</t>
  </si>
  <si>
    <t>AV1P04C01</t>
  </si>
  <si>
    <t>AV1P04C02</t>
  </si>
  <si>
    <t>DFN-166</t>
  </si>
  <si>
    <t>AV4P03C03</t>
  </si>
  <si>
    <t>AV4P04C01</t>
  </si>
  <si>
    <t xml:space="preserve">FAT Time Schedule of DRY TYPE Transformers(MARAD PJT)-3Days_Rev.0_20210504 </t>
  </si>
  <si>
    <t>SIQ-21-03-M-E</t>
  </si>
  <si>
    <t>NSMV MARAD PJT_Plan and Procedure Rev.0_20210118</t>
  </si>
  <si>
    <t>DOC0073106-000</t>
  </si>
  <si>
    <t>MARAD_ITP</t>
  </si>
  <si>
    <t>DOC0073108_000</t>
  </si>
  <si>
    <t>MV7_Routine_Test_Report MARAD</t>
  </si>
  <si>
    <t>DOC0076340_000</t>
  </si>
  <si>
    <t>MV7 Heat_Run_Test_Report_MARAD</t>
  </si>
  <si>
    <t>4MPF0042_17</t>
  </si>
  <si>
    <t>MV7_Routine_Test_MARAD</t>
  </si>
  <si>
    <t>Planning_20A041_001_Rev_0</t>
  </si>
  <si>
    <t>Planning_20A042_001_Rev_0</t>
  </si>
  <si>
    <t>DFN-167</t>
  </si>
  <si>
    <t>FAT Plan and Procedure</t>
  </si>
  <si>
    <t>017</t>
  </si>
  <si>
    <t>DOC0073108</t>
  </si>
  <si>
    <t>DOC0076340</t>
  </si>
  <si>
    <t>4MPF0042</t>
  </si>
  <si>
    <t>DOC0073106</t>
  </si>
  <si>
    <t>FAT Procedures</t>
  </si>
  <si>
    <t>Planning_20A041_001</t>
  </si>
  <si>
    <t>Planning_20A042_001</t>
  </si>
  <si>
    <t>20A042</t>
  </si>
  <si>
    <t>Testing Procedure_20A041</t>
  </si>
  <si>
    <t>Testing Procedure_20A042</t>
  </si>
  <si>
    <t>1033_No.1 LV SWBD_F_2021-06-30</t>
  </si>
  <si>
    <t>1033_No.2 LV SWBD_F_2021-06-30</t>
  </si>
  <si>
    <t>DFN-168</t>
  </si>
  <si>
    <t>H1033 BTRY SWBD TEST RECORD(21.07.02)</t>
  </si>
  <si>
    <t>H1033 DC110V UPS TEST RECORD(21.07.02)</t>
  </si>
  <si>
    <t>H1033 DIST BOARD TEST RECORD (1) (21.07.02)</t>
  </si>
  <si>
    <t>H1033 LGSP TEST RECORD (1) (21.07.02)</t>
  </si>
  <si>
    <t>H1033 TEST PANEL TEST RECORD(21.07.02)</t>
  </si>
  <si>
    <t>S11</t>
  </si>
  <si>
    <t>S12</t>
  </si>
  <si>
    <t>S13</t>
  </si>
  <si>
    <t>S14</t>
  </si>
  <si>
    <t>BTRY SWBD</t>
  </si>
  <si>
    <t>DC110V UPS</t>
  </si>
  <si>
    <t>TEST PANEL</t>
  </si>
  <si>
    <t>DIST BOARD_1</t>
  </si>
  <si>
    <t>LGSP_1</t>
  </si>
  <si>
    <t>S15</t>
  </si>
  <si>
    <t>S16</t>
  </si>
  <si>
    <t>S17</t>
  </si>
  <si>
    <t>DIST BOARD_3</t>
  </si>
  <si>
    <t>DIST BOARD_4</t>
  </si>
  <si>
    <t>S18</t>
  </si>
  <si>
    <t>S19</t>
  </si>
  <si>
    <t>DFN-169</t>
  </si>
  <si>
    <t>DFN-170</t>
  </si>
  <si>
    <t>KT-19519</t>
  </si>
  <si>
    <t>System Studies</t>
  </si>
  <si>
    <t>1033 Arc Flash Analysis (21.07.05)</t>
  </si>
  <si>
    <t>PV3P01C04_003</t>
  </si>
  <si>
    <t>Protection &amp; Co-ordination Study</t>
  </si>
  <si>
    <t>DFN-171</t>
  </si>
  <si>
    <t>H1033 HV AMP TEST RECORD (21.07.08)</t>
  </si>
  <si>
    <t>H1033 HV MSBD TEST RECORD (21.07.09)</t>
  </si>
  <si>
    <t>H1033 SCB TEST RECORD (21.07.09)</t>
  </si>
  <si>
    <t>H1033 ESBD TEST RECOR(210708)</t>
  </si>
  <si>
    <t>H1033 LV MSBD TEST RECORD(210708)</t>
  </si>
  <si>
    <t>SCB</t>
  </si>
  <si>
    <t>DFN-172</t>
  </si>
  <si>
    <t>13</t>
  </si>
  <si>
    <t>14</t>
  </si>
  <si>
    <t>15</t>
  </si>
  <si>
    <t>16</t>
  </si>
  <si>
    <t>17</t>
  </si>
  <si>
    <t>18</t>
  </si>
  <si>
    <t>19</t>
  </si>
  <si>
    <t>DIST BOARD_2 (LPD 1-8, LPD 10-18)</t>
  </si>
  <si>
    <t>DFN-173</t>
  </si>
  <si>
    <t>172_001</t>
  </si>
  <si>
    <t>H1033 BTRY SWBD TEST RECORD (21.07.09)</t>
  </si>
  <si>
    <t>H1033 DC110V UPS TEST RECORD (21.07.09)</t>
  </si>
  <si>
    <t>H1033 DIST BOARD TEST RECORD (2) (21.07.09)</t>
  </si>
  <si>
    <t>H1033 DIST BOARD TEST RECORD (3) (21.07.09)</t>
  </si>
  <si>
    <t>H1033 DIST BOARD TEST RECORD (4) (21.07.09)</t>
  </si>
  <si>
    <t>H1033 LGSP TEST RECORD (2) (21.07.09)</t>
  </si>
  <si>
    <t>H1033 LGSP TEST RECORD (3) (21.07.09)</t>
  </si>
  <si>
    <t>H1033 NO.1 EMCY LCP TEST RECORD (21.07.09)</t>
  </si>
  <si>
    <t>H1033 NO.1 MAIN LCP TEST RECORD (21.07.09)</t>
  </si>
  <si>
    <t>H1033 NO.2 EMCY LCP TEST RECORD (21.07.09)</t>
  </si>
  <si>
    <t>H1033 NO.2 MAIN LCP TEST RECORD (21.07.09)</t>
  </si>
  <si>
    <t>H1033 NO.3 EMCY LCP TEST RECORD (21.07.09)</t>
  </si>
  <si>
    <t>H1033 NO.3 MAIN LCP TEST RECORD (21.07.09)</t>
  </si>
  <si>
    <t>H1033 NO.4 MAIN LCP TEST RECORD (21.07.09)</t>
  </si>
  <si>
    <t>H1033 TEST PANEL TEST RECORD (21.07.09)</t>
  </si>
  <si>
    <t>LGSP_3</t>
  </si>
  <si>
    <t>DFN-172_001</t>
  </si>
  <si>
    <t>H1033 Distribution Board Function Test Report (2)_20210713</t>
  </si>
  <si>
    <t>Material Declaration &amp; Supplier Declaration of Conformity</t>
  </si>
  <si>
    <t>DFN-174</t>
  </si>
  <si>
    <t>3499_UPS Material Declaration &amp; Supplier Declaration of Conformity</t>
  </si>
  <si>
    <t>Material Declaration_Cummins_NSMV_199350</t>
  </si>
  <si>
    <t>Supplier Declaration of Conformity_6_30_21_Cummins Wabtec NSMV</t>
  </si>
  <si>
    <t>Specification for Transformer_210709_4100kVA HV TR</t>
  </si>
  <si>
    <t>DFN-176</t>
  </si>
  <si>
    <t>210709</t>
  </si>
  <si>
    <t>DOC0073108-1</t>
  </si>
  <si>
    <t>2021-0479_TESTS ROUTINE REPORT SIGN OFF</t>
  </si>
  <si>
    <t>DOC0073108-2</t>
  </si>
  <si>
    <t>2021-0486_TESTS ROUTINE REPORT SIGN OFF</t>
  </si>
  <si>
    <t>DOC0076340-2</t>
  </si>
  <si>
    <t>HEAT RUN TEST REPORT SIGN OFF</t>
  </si>
  <si>
    <t>DXD-035-15321-1</t>
  </si>
  <si>
    <t>2021-0479_ACCEPTANCE TEST REPORT SIGN OFF</t>
  </si>
  <si>
    <t>DXD-035-15321-2</t>
  </si>
  <si>
    <t>2021-0486_ACCEPTANCE TEST REPORT SIGN OFF</t>
  </si>
  <si>
    <t>O MC 20 09 004-1</t>
  </si>
  <si>
    <t>001-002_Test Report_O RTW 20 09 004 # 0</t>
  </si>
  <si>
    <t>20A041_001_Bearings Inspection Report</t>
  </si>
  <si>
    <t>20A041_001_Motor Test Report_Signed FNQXR 27076</t>
  </si>
  <si>
    <t>DFN-177</t>
  </si>
  <si>
    <t>PV3P01C05</t>
  </si>
  <si>
    <t>DFN-178</t>
  </si>
  <si>
    <t>PV3P01C05_000</t>
  </si>
  <si>
    <t>ETAP Plots</t>
  </si>
  <si>
    <t>ETAP Reports</t>
  </si>
  <si>
    <t>ETAP Transient Stability Model</t>
  </si>
  <si>
    <t>H1033 NO.1 EMCY LCP TEST RECORD(21.07.16)</t>
  </si>
  <si>
    <t>H1033 NO.1 MAIN LCP TEST RECORD(21.07.16)</t>
  </si>
  <si>
    <t>H1033 NO.2 EMCY LCP TEST RECORD(21.07.16)</t>
  </si>
  <si>
    <t>H1033 NO.2 MAIN LCP TEST RECORD(21.07.16)</t>
  </si>
  <si>
    <t>H1033 NO.3 EMCY LCP TEST RECORD(21.07.16)</t>
  </si>
  <si>
    <t>H1033 NO.3 MAIN LCP TEST RECORD(21.07.16)</t>
  </si>
  <si>
    <t>H1033 NO.4 MAIN LCP TEST RECORD(21.07.16)</t>
  </si>
  <si>
    <t>DFN-179</t>
  </si>
  <si>
    <t>DFN-180</t>
  </si>
  <si>
    <t>LGSP_2 (9 - 13)</t>
  </si>
  <si>
    <t>H1033-Test Report- LV Main Switch Board With GSP-Function Test-GE-202107</t>
  </si>
  <si>
    <t>H1033-Test Report-LGSP NO.9~13 -Function Test-GE-20210716</t>
  </si>
  <si>
    <t>Inventory of Hazardous Material (IHM)</t>
  </si>
  <si>
    <t>DFN-181</t>
  </si>
  <si>
    <t>S033-34_IHM Format_UPS</t>
  </si>
  <si>
    <t>BCD Manual</t>
  </si>
  <si>
    <t>ESBD Manual</t>
  </si>
  <si>
    <t>LV SWBD Manual</t>
  </si>
  <si>
    <t>Appendix Manual</t>
  </si>
  <si>
    <t>Safety Precautions Manual</t>
  </si>
  <si>
    <t>Starter Manual</t>
  </si>
  <si>
    <t>DFN-182</t>
  </si>
  <si>
    <t>H1033-Test Report-Distribution Board Function Test Report (3) (LD2~24)_2021.07.20</t>
  </si>
  <si>
    <t>H1033-Test Report-Emcy Switchboard-Function Test-20210720</t>
  </si>
  <si>
    <t>H1033-Test Report-LGSP NO.7~8-Funtion Test-GE-2021.07.20</t>
  </si>
  <si>
    <t>H1033-Test Report-Load Center Panel-Function Test-GE-20210719</t>
  </si>
  <si>
    <t>DFN-183</t>
  </si>
  <si>
    <t>LGSP_3 (7 - 8)</t>
  </si>
  <si>
    <t>DIST BOARD_3 (LD 2-24)</t>
  </si>
  <si>
    <t>DFN-184</t>
  </si>
  <si>
    <t>Equipment Certification Report</t>
  </si>
  <si>
    <t>DBR_ABS Equipment Certification Report</t>
  </si>
  <si>
    <t>GENSET Test Procedure</t>
  </si>
  <si>
    <t>MD &amp; SDOC_Diesel Engine</t>
  </si>
  <si>
    <t>S033-34</t>
  </si>
  <si>
    <t>S033-34_IHM Diesel Engine_CSS Wabtec</t>
  </si>
  <si>
    <t>1033 LV SWBD FMEA</t>
  </si>
  <si>
    <t>DFN-186</t>
  </si>
  <si>
    <t>Specification for Transformer_210726_160kVA Laundry TR</t>
  </si>
  <si>
    <t>210726</t>
  </si>
  <si>
    <t>DFN-187</t>
  </si>
  <si>
    <t>DFN-188</t>
  </si>
  <si>
    <t>AV2P03C02_004</t>
  </si>
  <si>
    <t>GENSET Test Procedure w Nosie &amp; Vib</t>
  </si>
  <si>
    <t>2014500_9</t>
  </si>
  <si>
    <t>DIST BOARD_4 (LPD-21, ELD3-13…)</t>
  </si>
  <si>
    <t>DFN-192</t>
  </si>
  <si>
    <t>DFN-191</t>
  </si>
  <si>
    <t>Apprasial Document</t>
  </si>
  <si>
    <t>4806836-A</t>
  </si>
  <si>
    <t>Prop Motor_ABS Equipment Certification Report</t>
  </si>
  <si>
    <t>UPS_ABS Equipment Certification Report</t>
  </si>
  <si>
    <t>H1033-Test Report-Distribution Board Function Test Report (4)_2021.07.23</t>
  </si>
  <si>
    <t>H1033-Test Report-HVMSBD &amp; Shore panel-Function Test-GE-20210726</t>
  </si>
  <si>
    <t>H1033-Test Report-UPS &amp; BCD &amp; TEST PANEL-Function Test-GE-20210728</t>
  </si>
  <si>
    <t>AV3P02C02_008</t>
  </si>
  <si>
    <t>IO Schedule_W10</t>
  </si>
  <si>
    <t>AV4P03C04_001</t>
  </si>
  <si>
    <t>FMEA &amp; DVTP</t>
  </si>
  <si>
    <t>DFN-193</t>
  </si>
  <si>
    <t>008</t>
  </si>
  <si>
    <t>HMI Specification</t>
  </si>
  <si>
    <t>P20021339</t>
  </si>
  <si>
    <t>DFN-194</t>
  </si>
  <si>
    <t>S21027773</t>
  </si>
  <si>
    <t>P20021339_000</t>
  </si>
  <si>
    <t>Fault Matrix</t>
  </si>
  <si>
    <t>S20021378_003</t>
  </si>
  <si>
    <t>SYDD_PROPULSION_NSMV</t>
  </si>
  <si>
    <t>S21027773_000</t>
  </si>
  <si>
    <t>NMSV-HMI Specification</t>
  </si>
  <si>
    <t>SAE 37˚ Flared Tube Fittings</t>
  </si>
  <si>
    <t>DFN-196</t>
  </si>
  <si>
    <t>A4</t>
  </si>
  <si>
    <t>A5</t>
  </si>
  <si>
    <t>I</t>
  </si>
  <si>
    <t>G</t>
  </si>
  <si>
    <t>Internal Arrangment</t>
  </si>
  <si>
    <t>Internal Arrangement</t>
  </si>
  <si>
    <t>1033_HM1_Assembly Drawing_A3_2021-07-30</t>
  </si>
  <si>
    <t>1033_HM1_Single Line Diagram_A4_2021-07-30</t>
  </si>
  <si>
    <t>1033_HM1_Schematic Diagram_A4_2021-07-30</t>
  </si>
  <si>
    <t>1033_HM1_Interconnection Diagram_A4_2021-07-30</t>
  </si>
  <si>
    <t>1033_HM1_Terminal Panel_A4_2021-07-30</t>
  </si>
  <si>
    <t>1033_HM2_Assembly Drawing_A3_2021-07-30</t>
  </si>
  <si>
    <t>1033_HM2_Single Line Diagram_A4_2021-07-30</t>
  </si>
  <si>
    <t>1033_HM2_Schematic Diagram_A4_2021-07-30</t>
  </si>
  <si>
    <t>1033_HM2_Interconnection Diagram_A4_2021-07-30</t>
  </si>
  <si>
    <t>1033_HM2_Terminal Panel_A4_2021-07-30</t>
  </si>
  <si>
    <t>1033_AMP_Interconnection Diagram_A4_2021-07-30</t>
  </si>
  <si>
    <t>1033_AMP_Schematic Diagram_A5_2021-07-30</t>
  </si>
  <si>
    <t>1033_AMP_Single Line Diagram_A4_2021-07-07</t>
  </si>
  <si>
    <t>1033_DC110V UPS_C_2021-07-30</t>
  </si>
  <si>
    <t>KT-19520_1033_No.1 LV SWBD_I_2021-07-30</t>
  </si>
  <si>
    <t>KT-19521_1033_No.2 LV SWBD_I_2021-07-30</t>
  </si>
  <si>
    <t>KT-19524_1033_Emergency SWBD_K_2021-07-30</t>
  </si>
  <si>
    <t>KT-19525_1033_Main &amp; EMCY Load Center Panel_P_2021-07-30</t>
  </si>
  <si>
    <t>KT-19527_1033_Starter (LGSP)_G_2021-07-21</t>
  </si>
  <si>
    <t>KT-19528_1033_Distribution Board_M_2021-07-20</t>
  </si>
  <si>
    <t>KT-19530_1033_Test Panel_D_2021-07-30</t>
  </si>
  <si>
    <t>KT-19520_1033_No.1 LV SWBD_Internal Arr_2021-07-12</t>
  </si>
  <si>
    <t>KT-19521_1033_No.2 LV SWBD_Internal Arr_2021-07-12</t>
  </si>
  <si>
    <t>KT-19524_1033_ESBD_Internal Arr_2021-07-16</t>
  </si>
  <si>
    <t>KT-19525_1033_Main &amp; EMCY LCP_Internal Arr_2021-07-12</t>
  </si>
  <si>
    <t>KT-19527_1033_Starter (LGSP)_Internal Arr_2021-07-21</t>
  </si>
  <si>
    <t>KT-19529_1033_Battery SWBD_Internal Arr_2021-07-29</t>
  </si>
  <si>
    <t>KT-19530_1033_Test Panel_Internal Arr_2021-07-29</t>
  </si>
  <si>
    <t>DFN-197</t>
  </si>
  <si>
    <t>KT-19503_1033_HM1_SEPAM Logic Diagram_A1_2021-08-10</t>
  </si>
  <si>
    <t>KT-19516_1033_AMP_SEPAM Logic Diagram_A3_2021-07-30</t>
  </si>
  <si>
    <t>KT-19520_1033_HM2_SEPAM Logic Diagram_A1_2021-08-10</t>
  </si>
  <si>
    <t>GENSET.dwg</t>
  </si>
  <si>
    <t>GENSET.pdf</t>
  </si>
  <si>
    <t>GENSET_09AUG2021.zip (.stp)</t>
  </si>
  <si>
    <t>AMP SEPAM Logic Diagram</t>
  </si>
  <si>
    <t>KT-19510</t>
  </si>
  <si>
    <t>DFN-199</t>
  </si>
  <si>
    <t>KT-19510_1033_HM2_SEPAM Logic Diagram_A1_2021-08-10</t>
  </si>
  <si>
    <t>199 Rev 01</t>
  </si>
  <si>
    <t>KT-19528_1033_Distribution Board_Internal Arr_2021-7-29</t>
  </si>
  <si>
    <t>2020-07-16_Installation Instructions</t>
  </si>
  <si>
    <t>Diesel Engine_Eaton Aeroquip Hose Assembly Master Catalog</t>
  </si>
  <si>
    <t>H1033-Test Report-Distribution Board Function Test Report (1)_20210706</t>
  </si>
  <si>
    <t>H1033-Test Report-LGSP NO.1~6-Function Test-GE-20210709</t>
  </si>
  <si>
    <t>DFN-201</t>
  </si>
  <si>
    <t>DIST BOARD_1 (PD 1-15, RPD-1))</t>
  </si>
  <si>
    <t>LGSP_1 (1-6)</t>
  </si>
  <si>
    <t>E95S20A041D_003</t>
  </si>
  <si>
    <t>Datasheet (FWD)</t>
  </si>
  <si>
    <t>E95S20A042D_004</t>
  </si>
  <si>
    <t>Datasheet (AFT)</t>
  </si>
  <si>
    <t>O MC 20 09 004_006</t>
  </si>
  <si>
    <t>Technical Specification_DBR</t>
  </si>
  <si>
    <t>20A041-042_004</t>
  </si>
  <si>
    <t>OMM_Motor</t>
  </si>
  <si>
    <t>S20020383_004</t>
  </si>
  <si>
    <t>Remote Control Material List_NSMV</t>
  </si>
  <si>
    <t>003
004</t>
  </si>
  <si>
    <t>E95S20A041D
E95S20A042D</t>
  </si>
  <si>
    <t>DFN-202</t>
  </si>
  <si>
    <t>S20020383</t>
  </si>
  <si>
    <t>T2071777</t>
  </si>
  <si>
    <t>Motor_Approval Letter_123165860</t>
  </si>
  <si>
    <t>T2095012</t>
  </si>
  <si>
    <t>Motor_Approval Letter_123934205</t>
  </si>
  <si>
    <t>T2071777
T2095012</t>
  </si>
  <si>
    <t>DFN-203</t>
  </si>
  <si>
    <t>009</t>
  </si>
  <si>
    <t>DFN-204</t>
  </si>
  <si>
    <t>AV3P02C02_009</t>
  </si>
  <si>
    <t>Generator_ABS_Equipment Certification Report_0RAH078</t>
  </si>
  <si>
    <t>ABS Appraisal Document</t>
  </si>
  <si>
    <t>DFN-205</t>
  </si>
  <si>
    <t>KT-20102</t>
  </si>
  <si>
    <t>KT-20102_1033_No.1 LV SWBD_Internal Arr_2021-07-12</t>
  </si>
  <si>
    <t>KT-20103</t>
  </si>
  <si>
    <t>KT-20103_1033_No.2 LV SWBD_Internal Arr_2021-07-12</t>
  </si>
  <si>
    <t>KT-20106</t>
  </si>
  <si>
    <t>KT-20106_1033_ESBD_Internal Arr_2021-07-16</t>
  </si>
  <si>
    <t>KT-20107</t>
  </si>
  <si>
    <t>KT-20107_1033_Main &amp; EMCY LCP_Internal Arr_2021-07-12</t>
  </si>
  <si>
    <t>KT-20109</t>
  </si>
  <si>
    <t>KT-20109_1033_Starter (LGSP)_Internal Arr_2021-07-21</t>
  </si>
  <si>
    <t>KT-20110</t>
  </si>
  <si>
    <t>KT-20110_1033_Distribution Board_Internal Arr_2021-7-29</t>
  </si>
  <si>
    <t>KT-20111</t>
  </si>
  <si>
    <t>KT-20111_1033_Battery SWBD_Internal Arr_2021-07-29</t>
  </si>
  <si>
    <t>KT-20112</t>
  </si>
  <si>
    <t>KT-20112_1033_Test Panel_Internal Arr_2021-07-29</t>
  </si>
  <si>
    <t>KT-20102
KT-20103</t>
  </si>
  <si>
    <t>DFN-206</t>
  </si>
  <si>
    <t>DFN-207</t>
  </si>
  <si>
    <t>P01V01C01_007</t>
  </si>
  <si>
    <t>PV1P01C03_003</t>
  </si>
  <si>
    <t>H1033 RPB TEST RECORD</t>
  </si>
  <si>
    <t>H1033 SCB TEST RECORD</t>
  </si>
  <si>
    <t>S20</t>
  </si>
  <si>
    <t>S21</t>
  </si>
  <si>
    <t>Shore Connection Box (SCB)</t>
  </si>
  <si>
    <t>Remote Push Button Box (RPB)</t>
  </si>
  <si>
    <t>DFN-209</t>
  </si>
  <si>
    <t>AV2P03C03_004</t>
  </si>
  <si>
    <t>AV2P03C05_003</t>
  </si>
  <si>
    <t>DFN-210</t>
  </si>
  <si>
    <t>AV2P03C11</t>
  </si>
  <si>
    <t>DFN-211</t>
  </si>
  <si>
    <t>1033_RPB(LPB) &amp; EMCY Stop Box_D_2021-08-24</t>
  </si>
  <si>
    <t>1033_Battery Switchboard_E_2021-08-25</t>
  </si>
  <si>
    <t>1033_Battery SWBD_Internal Arr_A_2021-08-25</t>
  </si>
  <si>
    <t>4858060-A</t>
  </si>
  <si>
    <t>4865258-A</t>
  </si>
  <si>
    <t>LVMSB_ABS_Equipment Certification Report</t>
  </si>
  <si>
    <t>ESBD_ABS_Equipment Certification Report</t>
  </si>
  <si>
    <t>4865258-B</t>
  </si>
  <si>
    <t>4865258-C</t>
  </si>
  <si>
    <t>4869639-A</t>
  </si>
  <si>
    <t>4877444-A</t>
  </si>
  <si>
    <t>4877444-B</t>
  </si>
  <si>
    <t>Main LCP_ABS_Equipment Certification Report</t>
  </si>
  <si>
    <t>EMCY LCP_ABS_Equipment Certification Report</t>
  </si>
  <si>
    <t>HVMSB_AMP_ABS_Equipment Certification Report</t>
  </si>
  <si>
    <t>BTRY SWBD_ABS_Equipment Certification Report</t>
  </si>
  <si>
    <t>DC110V UPS_ABS_Equipment Certification Report</t>
  </si>
  <si>
    <t>MAIN LCP</t>
  </si>
  <si>
    <t>EMCY LCP</t>
  </si>
  <si>
    <t>DFN-221</t>
  </si>
  <si>
    <t>5400kVA_Prop Transformer_IHM</t>
  </si>
  <si>
    <t>5400kVA_Prop Transformer_MD &amp; SDofC</t>
  </si>
  <si>
    <t>DFN-212</t>
  </si>
  <si>
    <t>4893745-A</t>
  </si>
  <si>
    <t>Prop Transformer_ABS_Equipment Certification Report</t>
  </si>
  <si>
    <t>213 Rev 001</t>
  </si>
  <si>
    <t>M21434-M21435_Inspection Test Report</t>
  </si>
  <si>
    <t>M21434-M21435_Inspection Equipment List</t>
  </si>
  <si>
    <t>M21434-M21435_Material List</t>
  </si>
  <si>
    <t>M21434-M21435_PTR FAT_Punch lists_20210826</t>
  </si>
  <si>
    <t>SIQ-21-03-M-E-GE_NSMV MARAD PJT_Plan and Procedure Rev.1_20210826</t>
  </si>
  <si>
    <t>SIM19101-2</t>
  </si>
  <si>
    <t>SIM19101-2_Specification for Transformer_210827</t>
  </si>
  <si>
    <t>H1033 Photo Report(Comment reply)_Propulsion Transformer_GEPC_2021.08.17_GE Reply</t>
  </si>
  <si>
    <t>DFN-214</t>
  </si>
  <si>
    <t>SIM19101-1-DW-MA-001</t>
  </si>
  <si>
    <t>DFN-215</t>
  </si>
  <si>
    <t>4100kVA Maintenance Drawing_210831</t>
  </si>
  <si>
    <t>DFN-216</t>
  </si>
  <si>
    <t>210906</t>
  </si>
  <si>
    <t>T2145894</t>
  </si>
  <si>
    <t>4100kVA Maintenance Drawing_210906</t>
  </si>
  <si>
    <t>Prop Transformer_ABS Approval Letter</t>
  </si>
  <si>
    <t>Weight Report</t>
  </si>
  <si>
    <t>DFN-217</t>
  </si>
  <si>
    <t>20A041-001_Prop Motor Weight Report</t>
  </si>
  <si>
    <t>20A042-001-Prop Motor Weight Report</t>
  </si>
  <si>
    <t>DFN-218</t>
  </si>
  <si>
    <t>HM1 Internal Arrangement</t>
  </si>
  <si>
    <t>KT-20114</t>
  </si>
  <si>
    <t>KT-20115</t>
  </si>
  <si>
    <t>HM2 Internal Arrangement</t>
  </si>
  <si>
    <t>P</t>
  </si>
  <si>
    <t>Q</t>
  </si>
  <si>
    <t>1033_AMP_Interconnection Diagram_A5_2021-09-10</t>
  </si>
  <si>
    <t>1033_Main &amp; EMCY Load Center Panel_Q_2021-09-09</t>
  </si>
  <si>
    <t>1033_RPB(LPB) &amp; EMCY Stop Box_E_2021-09-09</t>
  </si>
  <si>
    <t>1033_Distribution Board_N_2021-09-08</t>
  </si>
  <si>
    <t>1033_Main &amp; EMCY LCP_Internal Arr_A_2021-09-09</t>
  </si>
  <si>
    <t>1033_Battery SWBD_Internal Arr_B_2021-09-06</t>
  </si>
  <si>
    <t>1033_HM1 Internal Arr_A0_2021-09-10</t>
  </si>
  <si>
    <t>1033_HM2 Internal Arr_A0_2021-09-10</t>
  </si>
  <si>
    <t>2014551_002</t>
  </si>
  <si>
    <t>O MC 20 09 004</t>
  </si>
  <si>
    <t>SD 20 09 004</t>
  </si>
  <si>
    <t>DFN-220</t>
  </si>
  <si>
    <t>O MC 20 09 004 # 0</t>
  </si>
  <si>
    <t>DBR_Weight Certificate</t>
  </si>
  <si>
    <t>SD 20 09 004 # 1</t>
  </si>
  <si>
    <t>DBR_IHM</t>
  </si>
  <si>
    <t>DBR_MD &amp; SDOC</t>
  </si>
  <si>
    <t>PV3P01C04_004</t>
  </si>
  <si>
    <t>T2161100</t>
  </si>
  <si>
    <t>DFN-222</t>
  </si>
  <si>
    <t>T2161746</t>
  </si>
  <si>
    <t>YHKO_Power System Control Philosophy_LT_127165368</t>
  </si>
  <si>
    <t>YHKO_SWBD FDS_LT_127165775</t>
  </si>
  <si>
    <t>DFN-223</t>
  </si>
  <si>
    <t>V00P01C01_002</t>
  </si>
  <si>
    <t>Document Map_2021-09-30</t>
  </si>
  <si>
    <t>DFN-225</t>
  </si>
  <si>
    <t>19-HS1833757-1-PDA</t>
  </si>
  <si>
    <t>12V 16V250 ABS Type Approval</t>
  </si>
  <si>
    <t>ABS_G763210001_Engine_Certificate</t>
  </si>
  <si>
    <t>ABS_G763210002_Engine_Certificate</t>
  </si>
  <si>
    <t>ABS_G763210003_Engine_Certificate</t>
  </si>
  <si>
    <t>ABS_G763210004_Engine_Certificate</t>
  </si>
  <si>
    <t>Propulsion Transformer_Weight Confirmation</t>
  </si>
  <si>
    <t>Transformer Weight Photos_2021.09.28</t>
  </si>
  <si>
    <t>DFN-226</t>
  </si>
  <si>
    <t>Test Reports</t>
  </si>
  <si>
    <t>Inspection Equipment List</t>
  </si>
  <si>
    <t>210930</t>
  </si>
  <si>
    <t>LV Service - 150kVA FZ 1&amp;4</t>
  </si>
  <si>
    <t>Specification for Transformer_210930_4100kVA HV TR</t>
  </si>
  <si>
    <t>Specification for Transformer_210930_170kVA LV TR</t>
  </si>
  <si>
    <t>Specification for Transformer_210930_200kVA EMCY TR</t>
  </si>
  <si>
    <t>Specification for transformer_210930_45kVA EMCY LC TR</t>
  </si>
  <si>
    <t>Specification for transformer_210930_20kVA No.3 Recp TR</t>
  </si>
  <si>
    <t>Specification for transformer_210930_150kVA No.2 LCP TR</t>
  </si>
  <si>
    <t>Specification for Transformer_210930_160kVA No.1 Recp TR</t>
  </si>
  <si>
    <t>Specification for transformer_210930_100kVA No.1 LCP TR</t>
  </si>
  <si>
    <t>Specification for transformer_210930_130kVA No.2 Recp TR</t>
  </si>
  <si>
    <t>Specification for Transformer_210930_160kVA Laundry TR</t>
  </si>
  <si>
    <t>FAT Test Reports</t>
  </si>
  <si>
    <t>DFN-227</t>
  </si>
  <si>
    <t>AV2P03C03_005</t>
  </si>
  <si>
    <t>P21028634_000</t>
  </si>
  <si>
    <t>Physical_IO_List</t>
  </si>
  <si>
    <t>Propulsion Drive_Weight Report</t>
  </si>
  <si>
    <t>P21028634</t>
  </si>
  <si>
    <t>S21024105</t>
  </si>
  <si>
    <t>DFN-228</t>
  </si>
  <si>
    <t>2014550_001</t>
  </si>
  <si>
    <t>1033_HM1_Single Line Diagram_A5_2021-10-01</t>
  </si>
  <si>
    <t>1033_HM1_Terminal Panel_A5_2021-10-01</t>
  </si>
  <si>
    <t>1033_HM2_Single Line Diagram_A5_2021-10-01</t>
  </si>
  <si>
    <t>1033_HM2_Terminal Panel_A5_2021-10-01</t>
  </si>
  <si>
    <t>1033_AMP_Interconnection Diagram_A6_2021-09-15</t>
  </si>
  <si>
    <t>1033_No.1 LV SWBD_J_2021-08-09</t>
  </si>
  <si>
    <t>1033_No.2 LV SWBD_J_2021-08-09</t>
  </si>
  <si>
    <t>1033_Emergency SWBD_L_2021-09-17</t>
  </si>
  <si>
    <t>1033_Main &amp; EMCY Load Center Panel_R_2021-09-16</t>
  </si>
  <si>
    <t>1033_Distribution Board_O_2021-09-27</t>
  </si>
  <si>
    <t>DFN-230</t>
  </si>
  <si>
    <t>A6</t>
  </si>
  <si>
    <t>R</t>
  </si>
  <si>
    <t>L</t>
  </si>
  <si>
    <t>O</t>
  </si>
  <si>
    <t>4920579-A</t>
  </si>
  <si>
    <t>DFN-231</t>
  </si>
  <si>
    <t>Ships Service Transformers_ABS Approval Letter</t>
  </si>
  <si>
    <t>Service Transformer_ABS_Equipment Certification Report</t>
  </si>
  <si>
    <t>APP-20RAH078_Rev 7</t>
  </si>
  <si>
    <t>DFN-232</t>
  </si>
  <si>
    <t>10/11/20221</t>
  </si>
  <si>
    <t>APP-20RAH078_7</t>
  </si>
  <si>
    <t>Technical Specification</t>
  </si>
  <si>
    <t>DFN-233</t>
  </si>
  <si>
    <t>Remote Operating Panel (ROP) Specification</t>
  </si>
  <si>
    <t>S21029113</t>
  </si>
  <si>
    <t>S20021378_004</t>
  </si>
  <si>
    <t>S21029113_000</t>
  </si>
  <si>
    <t>ROP Specification_NMSV</t>
  </si>
  <si>
    <t>SV1P01C02S0001_002</t>
  </si>
  <si>
    <t>HVMSB and EPS Cable Interconnection_Working Unofficial Copy</t>
  </si>
  <si>
    <t>DFN-234</t>
  </si>
  <si>
    <t>AV4P02C04_001</t>
  </si>
  <si>
    <t>AV4P02C05_002</t>
  </si>
  <si>
    <t>DFN-235</t>
  </si>
  <si>
    <t>DFN-236</t>
  </si>
  <si>
    <t>0RAH079</t>
  </si>
  <si>
    <t>US MARAD NSMV 034_Test Report</t>
  </si>
  <si>
    <t>US MARAD NSMV 034_Test MoM</t>
  </si>
  <si>
    <t>APP-20RAH078_Rev 8</t>
  </si>
  <si>
    <t>DFN-237</t>
  </si>
  <si>
    <t>APP-20RAH078_8</t>
  </si>
  <si>
    <t>20A041_001_Bearing Axial Play Not Compliant_FAQ1723G</t>
  </si>
  <si>
    <t>20A042_001_Bearings Inspection Report</t>
  </si>
  <si>
    <t>20A042_001_Motor Test Report_Signed FNQXR 27080</t>
  </si>
  <si>
    <t>Vessel #1 (033)</t>
  </si>
  <si>
    <t>DFN-238</t>
  </si>
  <si>
    <t>S</t>
  </si>
  <si>
    <t>DFN-239</t>
  </si>
  <si>
    <t>1033_Main &amp; EMCY Load Center Panel_S_2021-10-13</t>
  </si>
  <si>
    <t>H1034-Test Report-Distribution Board Function Test Report (4)_20211015</t>
  </si>
  <si>
    <t>1033_Starter (LGSP)_H_2021-10-27</t>
  </si>
  <si>
    <t>DFN-240</t>
  </si>
  <si>
    <t>T2172385</t>
  </si>
  <si>
    <t>T2172385_YHKO_Coordination Studies_LT_127759445</t>
  </si>
  <si>
    <t>DFN-241</t>
  </si>
  <si>
    <t>DFN-242</t>
  </si>
  <si>
    <t>003
003</t>
  </si>
  <si>
    <t>S21027773_001</t>
  </si>
  <si>
    <t>S21027773_001_NMSV-HMI Specification</t>
  </si>
  <si>
    <t>DOC0073080_004</t>
  </si>
  <si>
    <t>DOC0073080_004-SLD</t>
  </si>
  <si>
    <t>DOC0073153-003</t>
  </si>
  <si>
    <t>DOC0073153-003_FC1PRC_Schematics</t>
  </si>
  <si>
    <t>DOC0073154-003</t>
  </si>
  <si>
    <t>DOC0073154-003-FC2PRC_Schematics</t>
  </si>
  <si>
    <t>HAT</t>
  </si>
  <si>
    <t>SAT</t>
  </si>
  <si>
    <t>Propulsion Bollard Tests</t>
  </si>
  <si>
    <t>SAT Crash Stop Tests</t>
  </si>
  <si>
    <t>SAT Voltage THD Measurements</t>
  </si>
  <si>
    <t>DOC0073207-000</t>
  </si>
  <si>
    <t>DOC0073210-000</t>
  </si>
  <si>
    <t>DOC0073211-000</t>
  </si>
  <si>
    <t>DOC0073212-000</t>
  </si>
  <si>
    <t>DOC0073207</t>
  </si>
  <si>
    <t>DOC0073211</t>
  </si>
  <si>
    <t>DOC0073212</t>
  </si>
  <si>
    <t>DOC0073210</t>
  </si>
  <si>
    <t>DFN-243</t>
  </si>
  <si>
    <t>HAT Propulsion Bollard Tests</t>
  </si>
  <si>
    <t>SAT Propulsion Limitation System Tests</t>
  </si>
  <si>
    <t>T140-HA-DS_Technical Data Resilient Mounts</t>
  </si>
  <si>
    <t>Generator Set #4_FAT Test Report_2021OCT18</t>
  </si>
  <si>
    <t>Vessel #2_Alarm System Test Procedure_Signed</t>
  </si>
  <si>
    <t>Vessel #2_Architecture &amp; HMI Test Procedure_Signed</t>
  </si>
  <si>
    <t>Vessel #2_PMS_Test Procedure_Signed</t>
  </si>
  <si>
    <t>Vessel #1 Alarm &amp; Monitoring System Test Procedure_Signed</t>
  </si>
  <si>
    <t>Vessel #2 Alarm &amp; Monitoring System Test Procedure_Signed</t>
  </si>
  <si>
    <t>DFN-245</t>
  </si>
  <si>
    <t>Vessel #2_Architecture &amp; HMI Test Report_Signed</t>
  </si>
  <si>
    <t>Vessel #1_Architecture &amp; HMI Test Procedure_Signed</t>
  </si>
  <si>
    <t>Vessel #1_Power Management System Test Procedure_Signed</t>
  </si>
  <si>
    <t>Vessel #2_Power Management System Test Procedure_Signed</t>
  </si>
  <si>
    <t>1033_HM1_Assembly Drawing_A4_2021-11-02</t>
  </si>
  <si>
    <t>1033_HM1_Single Line Diagram_A6_2021-11-02</t>
  </si>
  <si>
    <t>1033_HM1_Schematic Diagram_A5_2021-11-02</t>
  </si>
  <si>
    <t>1033_HM1_Interconnection Diagram_A5_2021-11-02</t>
  </si>
  <si>
    <t>1033_HM1_Terminal Panel_A6_2021-11-02</t>
  </si>
  <si>
    <t>1033_HM1_SEPAM Logic Diagram_A2_2021-11-02</t>
  </si>
  <si>
    <t>1033_HM2_Assembly Drawing_A4_2021-11-02</t>
  </si>
  <si>
    <t>1033_HM2_Single Line Diagram_A6_2021-11-02</t>
  </si>
  <si>
    <t>1033_HM2_Schematic Diagram_A5_2021-11-02</t>
  </si>
  <si>
    <t>1033_HM2_Interconnection Diagram_A5_2021-11-02</t>
  </si>
  <si>
    <t>1033_HM2_Terminal Panel_A6_2021-11-02</t>
  </si>
  <si>
    <t>1033_HM2_SEPAM Logic Diagram_A2_2021-11-02</t>
  </si>
  <si>
    <t>1033_AMP_Assembly Drawing_A4_2021-11-01</t>
  </si>
  <si>
    <t>1033_AMP_Schematic Diagram_A7_2021-10-29</t>
  </si>
  <si>
    <t>1033_AMP_SEPAM Logic Diagram_A4_2021-10-29</t>
  </si>
  <si>
    <t>DFN-246</t>
  </si>
  <si>
    <t>A7</t>
  </si>
  <si>
    <t>Commissioning Procedure</t>
  </si>
  <si>
    <t>DOC0073164_005</t>
  </si>
  <si>
    <t>S20020383_005</t>
  </si>
  <si>
    <t>S20021378_005</t>
  </si>
  <si>
    <t>DFN-247</t>
  </si>
  <si>
    <t>AV2P03C03_006</t>
  </si>
  <si>
    <t>AV2P03C05_004</t>
  </si>
  <si>
    <t>DFN-248</t>
  </si>
  <si>
    <t>1033_HV SWBD FMEA_A1_2021-11-15</t>
  </si>
  <si>
    <t>DFN-249</t>
  </si>
  <si>
    <t>HVMSB and EPS Cable Interconnection</t>
  </si>
  <si>
    <t>DFN-250</t>
  </si>
  <si>
    <t>Working Copy</t>
  </si>
  <si>
    <t>SAT Increasing Decreasing Speed Tests</t>
  </si>
  <si>
    <t>Slopes Calculation Report SIMNAV</t>
  </si>
  <si>
    <t>DOC0073209</t>
  </si>
  <si>
    <t>DOC0073255</t>
  </si>
  <si>
    <t>DFN-251</t>
  </si>
  <si>
    <t>DOC0073209-000</t>
  </si>
  <si>
    <t>DOC0073255-001</t>
  </si>
  <si>
    <t>DFN-252</t>
  </si>
  <si>
    <t>Arc Flash Analysis</t>
  </si>
  <si>
    <t>Arc Flash Analysis_A1_2021-11-12</t>
  </si>
  <si>
    <t>20A041-001_MD &amp; SDOC</t>
  </si>
  <si>
    <t>20A042-001_MD &amp; SDOC</t>
  </si>
  <si>
    <t>DOC0073164</t>
  </si>
  <si>
    <t>DFN-253</t>
  </si>
  <si>
    <t>PV5P15C08_000</t>
  </si>
  <si>
    <t>EPS &amp; PMS UPS Commissioning Guide</t>
  </si>
  <si>
    <t>PV5P15C08</t>
  </si>
  <si>
    <t>DFN-254</t>
  </si>
  <si>
    <t>AV2P03C11_003</t>
  </si>
  <si>
    <t>DFN-255</t>
  </si>
  <si>
    <t>HVMSB and EPS Cable Interconnection (Clouded)</t>
  </si>
  <si>
    <t>DFN-256</t>
  </si>
  <si>
    <t>Clouded Copy</t>
  </si>
  <si>
    <t>PV5P15C09_000</t>
  </si>
  <si>
    <t>EPS &amp; PMS UPS FMEA</t>
  </si>
  <si>
    <t>DFN-257</t>
  </si>
  <si>
    <t>PV5P15C09</t>
  </si>
  <si>
    <t>DOC0073085_001</t>
  </si>
  <si>
    <t>DOC0087598_000</t>
  </si>
  <si>
    <t>EPS DVTP</t>
  </si>
  <si>
    <t>DOC0088231_000</t>
  </si>
  <si>
    <t>EPS PSTP</t>
  </si>
  <si>
    <t>DOC0088231</t>
  </si>
  <si>
    <t>DOC0087598</t>
  </si>
  <si>
    <t>DFN-258</t>
  </si>
  <si>
    <t>DOC0073085</t>
  </si>
  <si>
    <t>E95S20A041A_E</t>
  </si>
  <si>
    <t>E95S20A042A_F</t>
  </si>
  <si>
    <t>DFN-259</t>
  </si>
  <si>
    <t>SV1P01C01S0201</t>
  </si>
  <si>
    <t>HVMSB and EPS_SLD</t>
  </si>
  <si>
    <t>Split into 12 individual drawings</t>
  </si>
  <si>
    <t>LVMSB &amp; 120V ER SWBD_SLD</t>
  </si>
  <si>
    <t>Emergency Switchboard_SLD</t>
  </si>
  <si>
    <t>Emergency Load Center Panel_SLD</t>
  </si>
  <si>
    <t>AC240V DB_SLD</t>
  </si>
  <si>
    <t>Receptacle DB _SLD</t>
  </si>
  <si>
    <t>PD_SLD</t>
  </si>
  <si>
    <t>RPD_SLD</t>
  </si>
  <si>
    <t>AC120-240V LPD _SLD</t>
  </si>
  <si>
    <t>LGSP Cable SLD</t>
  </si>
  <si>
    <t>440V &amp; 120V Load Center Panel_SLD</t>
  </si>
  <si>
    <t>Battery_SWBD_SLD</t>
  </si>
  <si>
    <t>AV5P03C01_001</t>
  </si>
  <si>
    <t>DFN-260</t>
  </si>
  <si>
    <t>DFN-261</t>
  </si>
  <si>
    <t>E91S20A041A_Rev E</t>
  </si>
  <si>
    <t>E91S20A041A_Rev F</t>
  </si>
  <si>
    <t>SV1P01C01S0202</t>
  </si>
  <si>
    <t>SV1P01C01S0203</t>
  </si>
  <si>
    <t>SV1P01C01S0204</t>
  </si>
  <si>
    <t>SV1P01C01S0205</t>
  </si>
  <si>
    <t>SV1P01C01S0206</t>
  </si>
  <si>
    <t>SV1P01C01S0207</t>
  </si>
  <si>
    <t>SV1P01C01S0208</t>
  </si>
  <si>
    <t>SV1P01C01S0209</t>
  </si>
  <si>
    <t>SV1P01C01S0210</t>
  </si>
  <si>
    <t>SV1P01C01S0211</t>
  </si>
  <si>
    <t>SV1P01C01S0212</t>
  </si>
  <si>
    <t>DFN-262</t>
  </si>
  <si>
    <t>SV1P01C01S0201_002</t>
  </si>
  <si>
    <t>SV1P01C01S0202_001</t>
  </si>
  <si>
    <t>SV1P01C01S0203_001</t>
  </si>
  <si>
    <t>SV1P01C01S0204_001</t>
  </si>
  <si>
    <t>SV1P01C01S0205_001</t>
  </si>
  <si>
    <t>SV1P01C01S0206_001</t>
  </si>
  <si>
    <t>SV1P01C01S0207_001</t>
  </si>
  <si>
    <t>SV1P01C01S0208_001</t>
  </si>
  <si>
    <t>SV1P01C01S0209_001</t>
  </si>
  <si>
    <t>SV1P01C01S0210_001</t>
  </si>
  <si>
    <t>SV1P01C01S0211_001</t>
  </si>
  <si>
    <t>SV1P01C01S0212_001</t>
  </si>
  <si>
    <t>Generator Set #1_FAT Test Report_Rev 1</t>
  </si>
  <si>
    <t>Generator Set #2_FAT Test Report_Rev 1</t>
  </si>
  <si>
    <t>Generator Set #3_FAT Test Report_Rev 1</t>
  </si>
  <si>
    <t>DFN-264</t>
  </si>
  <si>
    <t>SV1P01C02S0001_003</t>
  </si>
  <si>
    <t>Commissioning Procedures</t>
  </si>
  <si>
    <t>HV SWBD</t>
  </si>
  <si>
    <t>DFN-265</t>
  </si>
  <si>
    <t>LVMSBD</t>
  </si>
  <si>
    <t>H1033 COMMISSIONING PROCEDURE_DC110V UPS_A0_211124</t>
  </si>
  <si>
    <t>H1033 COMMISSIONING PROCEDURE_HV AMP_A0_211124</t>
  </si>
  <si>
    <t>H1033 COMMISSIONING PROCEDURE_HV SWBD_A0_211124</t>
  </si>
  <si>
    <t>H1033 COMMISSIONING PROCEDURE_LV ESBD_A0_211124</t>
  </si>
  <si>
    <t>H1033 COMMISSIONING PROCEDURE_LV MSBD_A0_211124</t>
  </si>
  <si>
    <t>Prop Converter_ABS Equipment Certification Report</t>
  </si>
  <si>
    <t>DFN-266</t>
  </si>
  <si>
    <t>PV01P01C04_002</t>
  </si>
  <si>
    <t>DFN-267</t>
  </si>
  <si>
    <t>G763210005</t>
  </si>
  <si>
    <t>ABS_Engine_Certificate_(4968673-A)</t>
  </si>
  <si>
    <t>16V250_Cert_EIAPP_MGETN15.7FBB-001-R01_(24Sep2021)</t>
  </si>
  <si>
    <t>16V250_Cert_MGETN15.7FBB-001-R01_(24Sep2021)</t>
  </si>
  <si>
    <t>SIQ-21-33-M-E</t>
  </si>
  <si>
    <t>MARAD_Transformer Commissioning Test Procedure _Rev 0</t>
  </si>
  <si>
    <t>DFN-269</t>
  </si>
  <si>
    <t>P21030714_000</t>
  </si>
  <si>
    <t>MARAD_Propulsion_System_Factory_Acceptance_Test</t>
  </si>
  <si>
    <t>P21030714</t>
  </si>
  <si>
    <t>DFN-270</t>
  </si>
  <si>
    <t>Propulsion System FAT Procedure</t>
  </si>
  <si>
    <t>AV2P03C03_008</t>
  </si>
  <si>
    <t>AV2P03C05_006</t>
  </si>
  <si>
    <t>DFN-271</t>
  </si>
  <si>
    <t>20A041-42_Prop Motor_Securing Diagram</t>
  </si>
  <si>
    <t>Prop Motor Securing Diagram</t>
  </si>
  <si>
    <t>DFN-272</t>
  </si>
  <si>
    <t>T2191921</t>
  </si>
  <si>
    <t>DFN-273</t>
  </si>
  <si>
    <t>YHKO_THD Study_LT_128823400</t>
  </si>
  <si>
    <t>2014520_7</t>
  </si>
  <si>
    <t>SV1P01C02S0002_002</t>
  </si>
  <si>
    <t>SV1P01C02S0003_002</t>
  </si>
  <si>
    <t xml:space="preserve">440V &amp; 120V Load Center Panel Interconnection </t>
  </si>
  <si>
    <t>SV1P01C02S0004_002</t>
  </si>
  <si>
    <t>EMGY SWBD Cable Interconnection</t>
  </si>
  <si>
    <t>SV1P01C02S0005_002</t>
  </si>
  <si>
    <t>Emergency Load Center Panel Cable Interconnection</t>
  </si>
  <si>
    <t>SV1P01C02S0006_002</t>
  </si>
  <si>
    <t>SV1P01C02S0007_002</t>
  </si>
  <si>
    <t>SV1P01C02S0008_002</t>
  </si>
  <si>
    <t>PD Cable Interconnection</t>
  </si>
  <si>
    <t>SV1P01C02S0009_002</t>
  </si>
  <si>
    <t>SV1P01C02S0010_002</t>
  </si>
  <si>
    <t>AC120-240V LPD _Interconnection</t>
  </si>
  <si>
    <t>SV1P01C02S0011_002</t>
  </si>
  <si>
    <t>LGSP_Interconnection</t>
  </si>
  <si>
    <t>SV1P01C02S0012_002</t>
  </si>
  <si>
    <t>BATT SWBD Cable Iinterconnection</t>
  </si>
  <si>
    <t>Generator Set #1_FAT Test Report_Rev 1_Signed</t>
  </si>
  <si>
    <t>Generator Set #2_FAT Test Report_Rev 1_Signed</t>
  </si>
  <si>
    <t>Generator Set #3_FAT Test Report_Rev 1_Signed</t>
  </si>
  <si>
    <t>Generator Set #4_FAT Test Report_Rev 3_Signed</t>
  </si>
  <si>
    <t>DFN-276</t>
  </si>
  <si>
    <t>H1034-Test Report-Emcy Load Center Panel_20211216</t>
  </si>
  <si>
    <t>H1034-Test Report-Load Center Panel_20211216</t>
  </si>
  <si>
    <t>DFN-277</t>
  </si>
  <si>
    <t>PQF</t>
  </si>
  <si>
    <t>E95S20A041-001N H1033_ENG- PQF</t>
  </si>
  <si>
    <t>E95S20A042-001N H1033_ENG- PQF</t>
  </si>
  <si>
    <t>E95S20A041</t>
  </si>
  <si>
    <t>E95S20A042</t>
  </si>
  <si>
    <t>H1033_ENG- PQF</t>
  </si>
  <si>
    <t>DFN278</t>
  </si>
  <si>
    <t>H1033-Control Report Shaft End_20A041</t>
  </si>
  <si>
    <t>H1033-Control Report Shaft End_20A042</t>
  </si>
  <si>
    <t>DFN279</t>
  </si>
  <si>
    <t>LaMarche A12B UPS
Note: 01/06/2022, changed document title to "LaMarche A12B UPS - Installation and Operation Manual" for clarity.</t>
  </si>
  <si>
    <t>DFN-280</t>
  </si>
  <si>
    <t>PV01P01C04_003</t>
  </si>
  <si>
    <t>KT-20120</t>
  </si>
  <si>
    <t>DFN-281</t>
  </si>
  <si>
    <t>DFN-282</t>
  </si>
  <si>
    <t>H1034-Test Report-Distribution Board Function Test Report (1)_2021-09-27</t>
  </si>
  <si>
    <t>H1034-Test Report-Distribution Board Function Test Report (3) (LD2~24)_2021-10-07</t>
  </si>
  <si>
    <t>H1034-Test Report-Emcy Switchboard Test Record_2022-01-07</t>
  </si>
  <si>
    <t>H1034-Test Report-HV Main Switchboard &amp; AMP-Function Test_2021-10-25</t>
  </si>
  <si>
    <t>H1034-Test Report-LV Main Switchboard Test Record_2022-01-07</t>
  </si>
  <si>
    <t>PV01P01C04_004</t>
  </si>
  <si>
    <t>DFN-283</t>
  </si>
  <si>
    <t>ABS Equipment Certification - H1033</t>
  </si>
  <si>
    <t>ABS Equipment Certification - H1034</t>
  </si>
  <si>
    <t>DFN-284</t>
  </si>
  <si>
    <t>H1034_Prop Converter_ABS Equipment Certification Report</t>
  </si>
  <si>
    <t>ABS Equipment Certification - H1035</t>
  </si>
  <si>
    <t>ABS Equipment Certification - H1036</t>
  </si>
  <si>
    <t>H1033 - Vessel 1</t>
  </si>
  <si>
    <t>H1034 - Vessel 2</t>
  </si>
  <si>
    <t>H1035 - Vessel 3</t>
  </si>
  <si>
    <t>H1036 - Vessel 4</t>
  </si>
  <si>
    <t>H1037 - Vessel 5</t>
  </si>
  <si>
    <t>PV3P01C02_005</t>
  </si>
  <si>
    <t>Fault Current Analysis Attachments</t>
  </si>
  <si>
    <t>PV3P01C05_001</t>
  </si>
  <si>
    <t>ETAP 004 with TSS</t>
  </si>
  <si>
    <t>1033 Arc Flash Analysis_A2_2022-01-13</t>
  </si>
  <si>
    <t>DFN-285</t>
  </si>
  <si>
    <t>P20021339_002</t>
  </si>
  <si>
    <t>20A041_001_Motor_IHM</t>
  </si>
  <si>
    <t>DFN-286</t>
  </si>
  <si>
    <t>20A042_001_Motor_IHM</t>
  </si>
  <si>
    <t>Generator_ABS_Equipment Certification Report_0RAH079</t>
  </si>
  <si>
    <t>DFN-287</t>
  </si>
  <si>
    <t>Material Declaration (MD)</t>
  </si>
  <si>
    <t>Supplier Declaration of Conformity (SDoC)</t>
  </si>
  <si>
    <t>DOC0092551</t>
  </si>
  <si>
    <t>DOC0092552</t>
  </si>
  <si>
    <t>DOC0092943</t>
  </si>
  <si>
    <t>DFN-288</t>
  </si>
  <si>
    <t>Jacking Unit</t>
  </si>
  <si>
    <t>E98S20A042A</t>
  </si>
  <si>
    <t>84A231868CV</t>
  </si>
  <si>
    <t>84A231868CV ECS-4 Commissioning Validation Procedure</t>
  </si>
  <si>
    <t>GENSET Shipboard Commissioning Procedure</t>
  </si>
  <si>
    <t>P20021339_003</t>
  </si>
  <si>
    <t>P20021396_005</t>
  </si>
  <si>
    <t>DFN-291</t>
  </si>
  <si>
    <t>AV4P03C04_003</t>
  </si>
  <si>
    <t>AV5P03C01_002</t>
  </si>
  <si>
    <t>DFN-292</t>
  </si>
  <si>
    <t>4951668-A</t>
  </si>
  <si>
    <t>GENSET ABS Certification Report_G763210002</t>
  </si>
  <si>
    <t>4997197-A</t>
  </si>
  <si>
    <t>GENSET ABS Certification Report_G763210003</t>
  </si>
  <si>
    <t>5016576-A</t>
  </si>
  <si>
    <t>GENSET ABS Certification Report_G763210004</t>
  </si>
  <si>
    <t>5037110-A</t>
  </si>
  <si>
    <t>GENSET ABS Certification Report_G763210001</t>
  </si>
  <si>
    <t>292 Rev 001</t>
  </si>
  <si>
    <t>PMS FMEA_DVTP_128557905</t>
  </si>
  <si>
    <t>PMS PSTP_128558976</t>
  </si>
  <si>
    <t>T2211009</t>
  </si>
  <si>
    <t>PMS ABS Letter_129880222</t>
  </si>
  <si>
    <t>E95S20A041A_G</t>
  </si>
  <si>
    <t>E95S20A042A_H</t>
  </si>
  <si>
    <t>DFN-294</t>
  </si>
  <si>
    <t>84A231868ED Rev D</t>
  </si>
  <si>
    <t>Modbus Address List</t>
  </si>
  <si>
    <t>GEK-115179_C</t>
  </si>
  <si>
    <t>V250MDC Project Guide</t>
  </si>
  <si>
    <t>84A282628_0</t>
  </si>
  <si>
    <t>Approved Oils List</t>
  </si>
  <si>
    <t>GEK-76763_J</t>
  </si>
  <si>
    <t>GEK-114262_M</t>
  </si>
  <si>
    <t>Recommended Fuel and Oil</t>
  </si>
  <si>
    <t>GEK-114445_K</t>
  </si>
  <si>
    <t>Exhaust Installation</t>
  </si>
  <si>
    <t>GEK-114458_C</t>
  </si>
  <si>
    <t>Expansion Tank Installation</t>
  </si>
  <si>
    <t>GEK-114461_D</t>
  </si>
  <si>
    <t>Fuel Hand Priming Pump</t>
  </si>
  <si>
    <t>GEK-114464</t>
  </si>
  <si>
    <t>Fuel Water Separator</t>
  </si>
  <si>
    <t>GEK-114465_C</t>
  </si>
  <si>
    <t>Prelube Pump Installation</t>
  </si>
  <si>
    <t>GEK-114661_A</t>
  </si>
  <si>
    <t>T100-V Air Starters Installation</t>
  </si>
  <si>
    <t>GEK-114665</t>
  </si>
  <si>
    <t>T100-V Air Starters Operating</t>
  </si>
  <si>
    <t>GEK-114673_A</t>
  </si>
  <si>
    <t>HT LT Flow Rate Adjustment</t>
  </si>
  <si>
    <t>GEK-114710_A</t>
  </si>
  <si>
    <t>Engine Tilt</t>
  </si>
  <si>
    <t>GEK-114906_B</t>
  </si>
  <si>
    <t>Flywheel Load Limit</t>
  </si>
  <si>
    <t>GEK-115183</t>
  </si>
  <si>
    <t>V250MDC First Stage Fuel Filter</t>
  </si>
  <si>
    <t>GEK-115187</t>
  </si>
  <si>
    <t>V250MDC Lifting</t>
  </si>
  <si>
    <t>GEK-115262</t>
  </si>
  <si>
    <t>L- Fuel V250MDC Water Separator Sensors</t>
  </si>
  <si>
    <t>GEK-115359_0</t>
  </si>
  <si>
    <t>Hotstart DLV Installation</t>
  </si>
  <si>
    <t>GEK-115404_A</t>
  </si>
  <si>
    <t>Preparation for Welding ECS-4 Control System</t>
  </si>
  <si>
    <t>H1034_Service Transformers_FAT Report</t>
  </si>
  <si>
    <t>H1034_Service Transformers_Inspection Equipment List</t>
  </si>
  <si>
    <t>H1034_Service Transformers_Material List</t>
  </si>
  <si>
    <t>DFN-297</t>
  </si>
  <si>
    <t>P20021396-006</t>
  </si>
  <si>
    <t>DFN-298</t>
  </si>
  <si>
    <t>Continued as C04</t>
  </si>
  <si>
    <t>DOC0073108-3_002</t>
  </si>
  <si>
    <t>2021-0809_VSD Factory Test Report</t>
  </si>
  <si>
    <t>DOC0073108-4_002</t>
  </si>
  <si>
    <t>2021-0816_VSD Factory Test Report</t>
  </si>
  <si>
    <t>DOC0073108-3_002_2021-0809_VSD Factory Test Report</t>
  </si>
  <si>
    <t>DOC0073108-4_002_2021-0816_VSD Factory Test Report</t>
  </si>
  <si>
    <t>DFN-299</t>
  </si>
  <si>
    <t>Switchboard List of Interlocks and Inter-trips</t>
  </si>
  <si>
    <t>PV01P01C05</t>
  </si>
  <si>
    <t>PMS ABS Approval Certificates</t>
  </si>
  <si>
    <t>Propulsion ABS Approval Certificates</t>
  </si>
  <si>
    <t>4780479_H1033_PMS_ABS Equipment Certification Report</t>
  </si>
  <si>
    <t>5041782_H1034_PMS_ABS Equipment Certification Report</t>
  </si>
  <si>
    <t>DFN-300</t>
  </si>
  <si>
    <t>Commissioning and Sea Trials Documentation List</t>
  </si>
  <si>
    <t>Commissioning Plan</t>
  </si>
  <si>
    <t>Erection &amp; Prec-Commissioning Process CTRL</t>
  </si>
  <si>
    <t>Erection &amp; Prec-Commissioning Converter</t>
  </si>
  <si>
    <t>Erection &amp; Prec-Commissioning Braking Resistor</t>
  </si>
  <si>
    <t>Erection &amp; Prec-Commissioning IO Rack Motor</t>
  </si>
  <si>
    <t>Erection &amp; Prec-Commissioning Propulsion Motor</t>
  </si>
  <si>
    <t>Erection &amp; Prec-Commissioning Transformer</t>
  </si>
  <si>
    <t>Erection &amp; Prec-Commissioning IO Rack MCC</t>
  </si>
  <si>
    <t>Erection &amp; Prec-Commissioning IO Rack PLS</t>
  </si>
  <si>
    <t>Erection &amp; Prec-Commissioning Local Station</t>
  </si>
  <si>
    <t>Erection &amp; Prec-Commissioning WH Station</t>
  </si>
  <si>
    <t>Erection &amp; Prec-Commissioning ECR Station</t>
  </si>
  <si>
    <t>Erection &amp; Prec-Commissioning Wings</t>
  </si>
  <si>
    <t>Erection &amp; Prec-Commissioning ART Station</t>
  </si>
  <si>
    <t>DFN-301</t>
  </si>
  <si>
    <t>DFN-302</t>
  </si>
  <si>
    <t>5069182-B</t>
  </si>
  <si>
    <t>5069182-A</t>
  </si>
  <si>
    <t>5092140-A</t>
  </si>
  <si>
    <t>5092140-B</t>
  </si>
  <si>
    <t>4993467-A_1034_HVMSB_AMP_ABS_Equipment Certification Report</t>
  </si>
  <si>
    <t>5069182-A_1034_Main LCP_ABS_Equipment Certification Report</t>
  </si>
  <si>
    <t>5069182-B_1034_EMCY LCP_ABS_Equipment Certification Report</t>
  </si>
  <si>
    <t>5092140-A_1034_ESBD_ABS_Equipment Certification Report</t>
  </si>
  <si>
    <t>5092140-B_1034_LVMSB_ABS_Equipment Certification Report</t>
  </si>
  <si>
    <t>4993467-A</t>
  </si>
  <si>
    <t>DFN-303</t>
  </si>
  <si>
    <t>H1034-Test Report-Distribution Board Function Test Report (2) (LPD1-18)_2021-07-13</t>
  </si>
  <si>
    <t>H1034-Test Report-LGSP Function Test Report_2022.03.02</t>
  </si>
  <si>
    <t>DFN-304</t>
  </si>
  <si>
    <t>20A041_H1034_Bearings Inspection Report</t>
  </si>
  <si>
    <t>20A041_H1034_Motor Test Report FNQXR27155</t>
  </si>
  <si>
    <t>20A042_H1034_Bearings Inspection Report</t>
  </si>
  <si>
    <t>20A042_H1034_Motor Test Report FNQXR27156</t>
  </si>
  <si>
    <t>IHM_Remote &amp; Process</t>
  </si>
  <si>
    <t>NSMV_H1034_Engine 5 FAT Summary Report_G763210005</t>
  </si>
  <si>
    <t>NSMV_H1034_Engine 6 FAT Summary Report_G763210006</t>
  </si>
  <si>
    <t>NSMV_H1034_Engine 7 FAT Summary Report_G763210007</t>
  </si>
  <si>
    <t>NSMV_H1034_Engine 8 FAT Summary Report_G763210008</t>
  </si>
  <si>
    <t>4984004-A</t>
  </si>
  <si>
    <t>4984004-A_H1034_ABS_G763210006_Engine Certificate</t>
  </si>
  <si>
    <t>5026365-A</t>
  </si>
  <si>
    <t>5026365-A_H1034_ABS_G763210007_Engine Certificate</t>
  </si>
  <si>
    <t>5063374-A</t>
  </si>
  <si>
    <t>5063374-A_H1034_ABS_G763210008_Engine Certificate</t>
  </si>
  <si>
    <t>5093966_H1034_Prop Motor_ABS Equipment Certification Report</t>
  </si>
  <si>
    <t>5152212-A.R1</t>
  </si>
  <si>
    <t>5152212-A.R1_H1034_Service Transformer_ABS_Equipment Certification Report</t>
  </si>
  <si>
    <t>DFN-306</t>
  </si>
  <si>
    <t>H1034 Test Report_Test Panel &amp; LGSP-7 to 13</t>
  </si>
  <si>
    <t>H1034_Test Report_Battery SWBD &amp; SCB &amp; RPB</t>
  </si>
  <si>
    <t>DFN-307</t>
  </si>
  <si>
    <t>DFN-308</t>
  </si>
  <si>
    <t>1033 Arc Flash Analysis_A3_2022-03-24</t>
  </si>
  <si>
    <t>4951668-A.R1</t>
  </si>
  <si>
    <t>H1033_GENSET ABS Certification Report_G763210002</t>
  </si>
  <si>
    <t>4997197-A.R1</t>
  </si>
  <si>
    <t>H1033_GENSET ABS Certification Report_G763210003</t>
  </si>
  <si>
    <t>5016576-A.R1</t>
  </si>
  <si>
    <t>H1033_GENSET ABS Certification Report_G763210004</t>
  </si>
  <si>
    <t>5037110-A.R1</t>
  </si>
  <si>
    <t>H1033_GENSET ABS Certification Report_G763210001</t>
  </si>
  <si>
    <t>IHM_Format_Remote &amp; Process</t>
  </si>
  <si>
    <t>DFN-310</t>
  </si>
  <si>
    <t>04_Erection &amp; Prec-Commissioning Braking Resistor_001</t>
  </si>
  <si>
    <t>06_Erection &amp; Prec-Commissioning Propulsion Motor_001</t>
  </si>
  <si>
    <t>O MC 20 09 004-2_003-004_H1034_DBR_Test Report_O RTW 20 09 004</t>
  </si>
  <si>
    <t>O MC 20 09 004-2</t>
  </si>
  <si>
    <t>DFN-311</t>
  </si>
  <si>
    <t>M22103-M22104_H1034_Prop Transformer_FAT Punch Lists_20220317</t>
  </si>
  <si>
    <t>M22103-M22104_H1034_Prop Transformer_Inspection Equipment List</t>
  </si>
  <si>
    <t>M22103-M22104_H1034_Prop Transformer_Inspection Test Report</t>
  </si>
  <si>
    <t>M22103-M22104_H1034_Prop Transformer_Material List</t>
  </si>
  <si>
    <t>M22103-M22104_H1034_FAT Punch Lists_20220317</t>
  </si>
  <si>
    <t>M22103-M22104_H1034_Inspection Equipment List</t>
  </si>
  <si>
    <t>M22103-M22104_H1034_Inspection Test Report</t>
  </si>
  <si>
    <t>M22103-M22104_H1034_Material List</t>
  </si>
  <si>
    <t>5186590-A</t>
  </si>
  <si>
    <t>DFN-312</t>
  </si>
  <si>
    <t>5103929-A</t>
  </si>
  <si>
    <t>H1034_DBR_ABS Equipment Certification Report</t>
  </si>
  <si>
    <t>H1034_Prop Transformer_ABS Equipment Certification Report</t>
  </si>
  <si>
    <t>DFN-313</t>
  </si>
  <si>
    <t>P01V01C01_008</t>
  </si>
  <si>
    <t>1033 Arc Flash Analysis_A4_2022-03-24</t>
  </si>
  <si>
    <t>KT-19519_1033 Appendices_A4_2022-04-01</t>
  </si>
  <si>
    <t>DFN-314</t>
  </si>
  <si>
    <t>1033_HM1_SEPAM Logic Diagram_A3_2022-03-22</t>
  </si>
  <si>
    <t>KT-19504</t>
  </si>
  <si>
    <t>1033_HM1_Equipment List_A3_2021-10-13</t>
  </si>
  <si>
    <t>1033_HM2_SEPAM Logic Diagram_A3_2022-03-22</t>
  </si>
  <si>
    <t>KT-19511</t>
  </si>
  <si>
    <t>1033_HM2_Equipment List_A3_2021-10-13</t>
  </si>
  <si>
    <t>KT-19513</t>
  </si>
  <si>
    <t>1033_AMP_Equipment List_A2_2021-10-14</t>
  </si>
  <si>
    <t>1033_DC110V UPS_D_2022-03-18</t>
  </si>
  <si>
    <t>1033_No.1 LV SWBD_P_2022-03-08</t>
  </si>
  <si>
    <t>1033_No.2 LV SWBD_P_2022-03-08</t>
  </si>
  <si>
    <t>1033_Main &amp; EMCY Load Center Panel_U_2022-01-04</t>
  </si>
  <si>
    <t>1033_Emergency SWBD_O_2022-01-19</t>
  </si>
  <si>
    <t>1033_RPB(LPB) &amp; EMCY Stop Box_G_2022-01-11</t>
  </si>
  <si>
    <t>1033_Distribution Board_V_2022-03-17</t>
  </si>
  <si>
    <t>1033_Distribution Board_Internal Arr_A_2022-03-24</t>
  </si>
  <si>
    <t>1033_Battery Switchboard_G_2022-03-14</t>
  </si>
  <si>
    <t>1033_Shore Connection Box_E_2022-08-24</t>
  </si>
  <si>
    <t>DFN-315</t>
  </si>
  <si>
    <t>Equipment List</t>
  </si>
  <si>
    <t>U</t>
  </si>
  <si>
    <t>V</t>
  </si>
  <si>
    <t>1033_Starter (LGSP)_L_2022-04-04</t>
  </si>
  <si>
    <t>1005677_H1034_UPS FAT Report_156523-20.001</t>
  </si>
  <si>
    <t>1005678_H1034_UPS FAT Report_156523-20.002</t>
  </si>
  <si>
    <t>1005677
1005678</t>
  </si>
  <si>
    <t>DFN-316</t>
  </si>
  <si>
    <t>Vulkin T-Series HA-DS Resilient Mount Installation Guide A.2_2-2-2017</t>
  </si>
  <si>
    <t>5047588-A</t>
  </si>
  <si>
    <t>H1034_UPS_ABS Equipment Certification Report</t>
  </si>
  <si>
    <t>DFN-318</t>
  </si>
  <si>
    <t>AV2P03C03_009</t>
  </si>
  <si>
    <t>AV2P03C11_004</t>
  </si>
  <si>
    <t>AV3P02C02_011</t>
  </si>
  <si>
    <t>IO Schedule</t>
  </si>
  <si>
    <t>AV3P02C03S01_001</t>
  </si>
  <si>
    <t>DFN-319</t>
  </si>
  <si>
    <t>011</t>
  </si>
  <si>
    <t>DFN-320</t>
  </si>
  <si>
    <t>A8</t>
  </si>
  <si>
    <t>1033_HM1_Assembly Drawing_A5_2021-11-22</t>
  </si>
  <si>
    <t>1033_HM1_Single Line Diagram_A8_2022-04-08</t>
  </si>
  <si>
    <t>1033_HM2_Assembly Drawing_A5_2021-11-22</t>
  </si>
  <si>
    <t>1033_HM2_Single Line Diagram_A8_2022-04-08</t>
  </si>
  <si>
    <t>84A241135WL Rev. A</t>
  </si>
  <si>
    <t>Wabtec Wire List NSMV</t>
  </si>
  <si>
    <t>84E904314AK Rev. B</t>
  </si>
  <si>
    <t>NSMV Wabtec Engine Outline Drawing</t>
  </si>
  <si>
    <t>GEK-76691 Rev. D</t>
  </si>
  <si>
    <t>Vibration Damper, GEVO-V250</t>
  </si>
  <si>
    <t>GEK-114443 Rev. B</t>
  </si>
  <si>
    <t>Centrifugal Oil Filter, Installation &amp; Maintenance Instructions</t>
  </si>
  <si>
    <t>GEK-114468 Rev. A</t>
  </si>
  <si>
    <t>V228-V250 HT and LT Coolant Water Temperature Control Valve (AMOT) Installation Instructions</t>
  </si>
  <si>
    <t>GEK-115028 Rev. D</t>
  </si>
  <si>
    <t>Wabtec V250MDC T4 Crankshaft and Main Bearings</t>
  </si>
  <si>
    <t>GEK-115188 Rev. D</t>
  </si>
  <si>
    <t>Tier 4 Marine Diesel Engine Sensors</t>
  </si>
  <si>
    <t>GEK-115189 Rev. M</t>
  </si>
  <si>
    <t>Wabtec V250MDC T4 Maintenance Manual</t>
  </si>
  <si>
    <t>GEK-115339 Rev. F</t>
  </si>
  <si>
    <t>L-V250MDC Fuel System, L’Orange Fuel Pump</t>
  </si>
  <si>
    <t>GEK-115565</t>
  </si>
  <si>
    <t>Bicera Valve 6A Integrated and 6AW Service Instructions</t>
  </si>
  <si>
    <t>GEX-16005-01</t>
  </si>
  <si>
    <t>Renewal Parts - GE 16V250MDC Marine Diesel Engine</t>
  </si>
  <si>
    <t>84A240302AM_Rev D</t>
  </si>
  <si>
    <t>MGETN15.7FBB - NOx Technical File</t>
  </si>
  <si>
    <t>H1034_DC110V UPS Discharge Test Report_2022-04-20</t>
  </si>
  <si>
    <t>H1034_DC110V UPS Test Report_2022-03-03</t>
  </si>
  <si>
    <t>DFN-322</t>
  </si>
  <si>
    <t>5169411-A</t>
  </si>
  <si>
    <t>DFN-323</t>
  </si>
  <si>
    <t>5169403-A</t>
  </si>
  <si>
    <t>1034_BTRY SWBD_ABS_Equipment Certification Report</t>
  </si>
  <si>
    <t>1034_DC110V UPS_ABS_Equipment Certification Report</t>
  </si>
  <si>
    <t>GEK-115190 Rev. B</t>
  </si>
  <si>
    <t>T4 Engine Support Systems</t>
  </si>
  <si>
    <t>E91S20A041A_Rev I</t>
  </si>
  <si>
    <t>E95S20A041A_H</t>
  </si>
  <si>
    <t xml:space="preserve">E95S20A042A_I </t>
  </si>
  <si>
    <t>DFN-325</t>
  </si>
  <si>
    <t>PV3P01C04_005</t>
  </si>
  <si>
    <t>DFN-326_001</t>
  </si>
  <si>
    <t>326_001</t>
  </si>
  <si>
    <t>DOC0073255-002</t>
  </si>
  <si>
    <t>DOC0073255-002-Slopes Calculation Report SIMNAV</t>
  </si>
  <si>
    <t>DOC0080655_002</t>
  </si>
  <si>
    <t>DOC0080655_002-TLGR_Schematic Diagram</t>
  </si>
  <si>
    <t>DOC0096444_001</t>
  </si>
  <si>
    <t>DOC0096444_001_Telegraph FAT Book</t>
  </si>
  <si>
    <t>NAR-KD-0102-1-en</t>
  </si>
  <si>
    <t>NAR-KD-0102-1-en_V118_NORISTAR-EOT_User_Manual</t>
  </si>
  <si>
    <t>DFN-327</t>
  </si>
  <si>
    <t>Telegraph FAT Book</t>
  </si>
  <si>
    <t>DOC0096444</t>
  </si>
  <si>
    <t>Telegraph User Manual</t>
  </si>
  <si>
    <t>O MC 20 09 004_008</t>
  </si>
  <si>
    <t>O MC 20 09 004_008 - Technical Specification</t>
  </si>
  <si>
    <t>84A241497K1 Rev. B</t>
  </si>
  <si>
    <t>84A241497K1 Rev. B_NSMV Wabtec Engine Outline Drawing.stp</t>
  </si>
  <si>
    <t>GEK-76769 Rev. C</t>
  </si>
  <si>
    <t>GEK-76769 Rev. C_Cooling Water Maintenance</t>
  </si>
  <si>
    <t>GEK-115179 Rev. C</t>
  </si>
  <si>
    <t>GEK-115179 Rev. C_Excerpt -- Coolant</t>
  </si>
  <si>
    <t>DFN-329</t>
  </si>
  <si>
    <t>1033_Battery Switchboard_H_2022-04-21</t>
  </si>
  <si>
    <t>DFN-330</t>
  </si>
  <si>
    <t>DFN-331</t>
  </si>
  <si>
    <t>SV1P01C01S0211_002</t>
  </si>
  <si>
    <t>System Diagrams</t>
  </si>
  <si>
    <t>SV1P01C01S0202_002</t>
  </si>
  <si>
    <t>SV1P01C01S0202_002_LVMSB &amp; 120V ER SWBD_SLD</t>
  </si>
  <si>
    <t>SV1P01C01S0203_002</t>
  </si>
  <si>
    <t>SV1P01C01S0203_002_440V &amp; 120V Load Center Panel_SLD</t>
  </si>
  <si>
    <t>SV1P01C01S0204_002</t>
  </si>
  <si>
    <t>SV1P01C01S0204_002_Emergency Switchboard_SLD</t>
  </si>
  <si>
    <t>SV1P01C01S0205_002</t>
  </si>
  <si>
    <t>SV1P01C01S0205_002_Emergency Load Center Panel_SLD</t>
  </si>
  <si>
    <t>SV1P01C01S0208_002</t>
  </si>
  <si>
    <t>SV1P01C01S0208_002_PD_SLD</t>
  </si>
  <si>
    <t>SV1P01C01S0210_002</t>
  </si>
  <si>
    <t>SV1P01C01S0210_002_AC120-240V LPD_SLD</t>
  </si>
  <si>
    <t>SV1P01C01S0211_002_LGSP_SLD</t>
  </si>
  <si>
    <t>Generator and AVR Commissioning Check List</t>
  </si>
  <si>
    <t>Commissioning record INSTALLATION CHECK LIST</t>
  </si>
  <si>
    <t>Commissioning record HIPOT TEST</t>
  </si>
  <si>
    <t>Commissioning record DUCTOR TEST</t>
  </si>
  <si>
    <t>Commissioning record CT RATIO TEST</t>
  </si>
  <si>
    <t>Commissioning record VT RATIO TEST</t>
  </si>
  <si>
    <t>Commissioning record TRANSDUCER TEST C</t>
  </si>
  <si>
    <t>Commissioning record TRANSDUCER TEST Hz</t>
  </si>
  <si>
    <t>Commissioning record TRANSDUCER TEST kVAr</t>
  </si>
  <si>
    <t>Commissioning record TRANSDUCER TEST kW</t>
  </si>
  <si>
    <t>Commissioning record TRANSDUCER TEST V</t>
  </si>
  <si>
    <t>Manual Synchronising Commissioning Guide</t>
  </si>
  <si>
    <t>Remote Synchronising Commissioning Guide</t>
  </si>
  <si>
    <t>Commissioning record SYNCHRONISER FAS 113DG SYNC</t>
  </si>
  <si>
    <t>Commissioning record SYNCHRONISER FAS 115DG SYNC</t>
  </si>
  <si>
    <t>Commissioning record SNYC CHECK HAS-111DG TEST</t>
  </si>
  <si>
    <t>Commissioning record SNYC CHECK CSQ-3 TEST</t>
  </si>
  <si>
    <t>Commissioning record PCUBE HARMONIC TEST</t>
  </si>
  <si>
    <t>Commissioning record 67 BLOCKING TEST</t>
  </si>
  <si>
    <t>Commissioning record 67N BLOCKING TEST</t>
  </si>
  <si>
    <t>Commissioning record SEPAM TEST</t>
  </si>
  <si>
    <t>Commissioning record GENERATOR MEGGER TEST</t>
  </si>
  <si>
    <t>Automatic Voltage Regulator Commissioning Guide</t>
  </si>
  <si>
    <t>Commissioning record TRANSFORMER MEGGER TEST</t>
  </si>
  <si>
    <t>Commissioning record TRANSFORMER WTI TEST</t>
  </si>
  <si>
    <t>Emergency SWBD Commissioning Guide</t>
  </si>
  <si>
    <t>Generator LV Phasing Commissioning Guide</t>
  </si>
  <si>
    <t>Ship Service Transformer Commissioning Guide</t>
  </si>
  <si>
    <t>6.6kV Switchboards Commissioning Guide</t>
  </si>
  <si>
    <t>6.6kV AMP Switchboard Commissioning Guide</t>
  </si>
  <si>
    <t>Vessel Earthing System Inspection</t>
  </si>
  <si>
    <t>S22</t>
  </si>
  <si>
    <t>S23</t>
  </si>
  <si>
    <t>S24</t>
  </si>
  <si>
    <t>Commissioning record GENERATOR PMG TEST</t>
  </si>
  <si>
    <t>Commissioning record DAMPING RESITOR TEST</t>
  </si>
  <si>
    <t>Commissioning record PHASE ROTATION METER TEST</t>
  </si>
  <si>
    <t>Shore Connection Synchronising Commissioning Guide</t>
  </si>
  <si>
    <t>DFN-332</t>
  </si>
  <si>
    <t>DOC0073102_003</t>
  </si>
  <si>
    <t>TIR1405-10-D05_V1.2E</t>
  </si>
  <si>
    <t>TIR1405-10-D05_V1.2E_KTE-UPS-110 Instruction Manual</t>
  </si>
  <si>
    <t>AMP_Assembly Drawing_A6_2022-05-26</t>
  </si>
  <si>
    <t>AMP_Equipment List_A3_2022-05-26</t>
  </si>
  <si>
    <t>AMP_Interconnection Diagram_A7_2022-05-26</t>
  </si>
  <si>
    <t>AMP_Schematic Diagram_A8_2022-05-26</t>
  </si>
  <si>
    <t>AMP_SEPAM Logic Diagram_A5_2022-05-26</t>
  </si>
  <si>
    <t>AMP_Single Line Diagram_A5_2022-05-26</t>
  </si>
  <si>
    <t>HM1_Assembly Drawing_A6_2022-05-24</t>
  </si>
  <si>
    <t>HM1_Single Line Diagram_A9_2022-05-24</t>
  </si>
  <si>
    <t>HM1_Schematic Diagram_A8_2022-05-30</t>
  </si>
  <si>
    <t>HM1_Interconnection Diagram_A7_2022-05-24</t>
  </si>
  <si>
    <t>HM1_Terminal Panel_A7_2022-05-24</t>
  </si>
  <si>
    <t>HM1_SEPAM Logic Diagram_A5_2022-05-30</t>
  </si>
  <si>
    <t>HM1_Equipment List_A4_2022-05-24</t>
  </si>
  <si>
    <t>HM2_Assembly Drawing_A6_2022-05-24</t>
  </si>
  <si>
    <t>HM2_Single Line Diagram_A9_2022-05-24</t>
  </si>
  <si>
    <t>HM2_Schematic Diagram_A8_2022-05-30</t>
  </si>
  <si>
    <t>HM2_Interconnection Diagram_A7_2022-05-26</t>
  </si>
  <si>
    <t>HM2_Terminal Panel_A7_2022-05-24</t>
  </si>
  <si>
    <t>HM2_SEPAM Logic Diagram_A5_2022-05-30</t>
  </si>
  <si>
    <t>HM2_Equipment List_A4_2022-05-24</t>
  </si>
  <si>
    <t>DC110V UPS_E_2022-05-26</t>
  </si>
  <si>
    <t>No.1 LV SWBD_R_2022-05-26</t>
  </si>
  <si>
    <t>No.2 LV SWBD_R_2022-05-26</t>
  </si>
  <si>
    <t>Emergency SWBD_R_2022-05-26</t>
  </si>
  <si>
    <t>Main &amp; EMCY Load Center Panel_W_2022-05-26</t>
  </si>
  <si>
    <t>RPB(LPB) &amp; EMCY Stop Box_H_2022-05-24</t>
  </si>
  <si>
    <t>Starter (LGSP)_O_2022-05-24</t>
  </si>
  <si>
    <t>Distribution Board_W_2022-05-26</t>
  </si>
  <si>
    <t>Battery Switchboard_I_2022-05-26</t>
  </si>
  <si>
    <t>Test Panel_F_2022-05-26</t>
  </si>
  <si>
    <t>Shore Connection Box_F_2022-05-26</t>
  </si>
  <si>
    <t>UPS-110 Instruction Manual</t>
  </si>
  <si>
    <t>DFN-333</t>
  </si>
  <si>
    <t>A9</t>
  </si>
  <si>
    <t>W</t>
  </si>
  <si>
    <t>APP-20RAH078_Rev 9</t>
  </si>
  <si>
    <t>DFN-334</t>
  </si>
  <si>
    <t>APP-20RAH078-Rev.9</t>
  </si>
  <si>
    <t>SV1P01C02S0001_004</t>
  </si>
  <si>
    <t>SV1P01C02S0001_004_HVMSB and EPS Cable Interconnection</t>
  </si>
  <si>
    <t>SV1P01C02S0002_003</t>
  </si>
  <si>
    <t>SV1P01C02S0002_003_LVMSB &amp; 120V ER SWBD Cable Interconnection</t>
  </si>
  <si>
    <t>SV1P01C02S0003_003</t>
  </si>
  <si>
    <t>SV1P01C02S0003_003_440V &amp; 120V Load Center Panel Interconnection</t>
  </si>
  <si>
    <t>SV1P01C02S0004_003</t>
  </si>
  <si>
    <t>SV1P01C02S0004_003_EMGY SWBD Cable Interconnection</t>
  </si>
  <si>
    <t>SV1P01C02S0005_003</t>
  </si>
  <si>
    <t>SV1P01C02S0005_003_Emergency Load Center Panel Cable Interconnection</t>
  </si>
  <si>
    <t>SV1P01C02S0008_003</t>
  </si>
  <si>
    <t>SV1P01C02S0008_003_PD Cable Interconnection</t>
  </si>
  <si>
    <t>SV1P01C02S0010_003</t>
  </si>
  <si>
    <t>SV1P01C02S0010_003_AC120-240V LPD Interconnection</t>
  </si>
  <si>
    <t>SV1P01C02S0011_003</t>
  </si>
  <si>
    <t>SV1P01C02S0011_003_LGSP Interconnection</t>
  </si>
  <si>
    <t>DFN-335</t>
  </si>
  <si>
    <t>PV4P03C02_000</t>
  </si>
  <si>
    <t>PV4P03C03_000</t>
  </si>
  <si>
    <t>PV4P03C06_000</t>
  </si>
  <si>
    <t>PV4P03C07_000</t>
  </si>
  <si>
    <t>PV4P03C08_000</t>
  </si>
  <si>
    <t>PV4P03C09_000</t>
  </si>
  <si>
    <t>PV4P03C10_000</t>
  </si>
  <si>
    <t>PV4P03C11_000</t>
  </si>
  <si>
    <t>PV4P03C12_000</t>
  </si>
  <si>
    <t>PV4P03C13_000</t>
  </si>
  <si>
    <t>PV4P03C14_000</t>
  </si>
  <si>
    <t>PV4P03C01S01_000</t>
  </si>
  <si>
    <t>PV4P03C01S02_000</t>
  </si>
  <si>
    <t>PV4P03C01S03_000</t>
  </si>
  <si>
    <t>PV4P03C01S04_000</t>
  </si>
  <si>
    <t>PV4P03C01S05_000</t>
  </si>
  <si>
    <t>PV4P03C01S06_000</t>
  </si>
  <si>
    <t>PV4P03C01S07_000</t>
  </si>
  <si>
    <t>PV4P03C01S08_000</t>
  </si>
  <si>
    <t>PV4P03C01S09_000</t>
  </si>
  <si>
    <t>PV4P03C01S10_000</t>
  </si>
  <si>
    <t>PV4P03C01S11_000</t>
  </si>
  <si>
    <t>PV4P03C01S12_000</t>
  </si>
  <si>
    <t>PV4P03C01S13_000</t>
  </si>
  <si>
    <t>PV4P03C01S14_000</t>
  </si>
  <si>
    <t>PV4P03C01S15_000</t>
  </si>
  <si>
    <t>PV4P03C01S16_000</t>
  </si>
  <si>
    <t>PV4P03C01S17_000</t>
  </si>
  <si>
    <t>PV4P03C01S19_000</t>
  </si>
  <si>
    <t>PV4P03C01S20_000</t>
  </si>
  <si>
    <t>PV4P03C01S21_000</t>
  </si>
  <si>
    <t>PV4P03C01S22_000</t>
  </si>
  <si>
    <t>PV4P03C01S23_000</t>
  </si>
  <si>
    <t>PV4P03C01S24_000</t>
  </si>
  <si>
    <t>DFN-336</t>
  </si>
  <si>
    <t>Commissioning Records</t>
  </si>
  <si>
    <t>Power System Commissioning</t>
  </si>
  <si>
    <t>Commissioning Record INSTALLATION CHECK LIST</t>
  </si>
  <si>
    <t>Commissioning Record HIPOT TEST</t>
  </si>
  <si>
    <t>Commissioning Record DUCTOR TEST</t>
  </si>
  <si>
    <t>Commissioning Record CT RATIO TEST</t>
  </si>
  <si>
    <t>Commissioning Record VT RATIO TEST</t>
  </si>
  <si>
    <t>Commissioning Record TRANSDUCER TEST C</t>
  </si>
  <si>
    <t>Commissioning Record TRANSDUCER TEST Hz</t>
  </si>
  <si>
    <t>Commissioning Record TRANSDUCER TEST kVAr</t>
  </si>
  <si>
    <t>Commissioning Record TRANSDUCER TEST kW</t>
  </si>
  <si>
    <t>Commissioning Record TRANSDUCER TEST V</t>
  </si>
  <si>
    <t>Commissioning Record SYNCHRONISER FAS 113DG SYNC</t>
  </si>
  <si>
    <t>Commissioning Record SYNCHRONISER FAS 115DG SYNC</t>
  </si>
  <si>
    <t>Commissioning Record SNYC CHECK HAS-111DG TEST</t>
  </si>
  <si>
    <t>Commissioning Record SNYC CHECK CSQ-3 TEST</t>
  </si>
  <si>
    <t>Commissioning Record PQUBE HARMONIC TEST</t>
  </si>
  <si>
    <t>Commissioning Record 67 BLOCKING TEST</t>
  </si>
  <si>
    <t>Commissioning Record 67N BLOCKING TEST</t>
  </si>
  <si>
    <t>Commissioning Record PHASE ROTATION METER TEST</t>
  </si>
  <si>
    <t>Commissioning Record GENERATOR MEGGER TEST</t>
  </si>
  <si>
    <t>Commissioning Record TRANSFORMER MEGGER TEST</t>
  </si>
  <si>
    <t>Commissioning Record TRANSFORMER WTI TEST</t>
  </si>
  <si>
    <t>Commissioning Record GENERATOR PMG TEST</t>
  </si>
  <si>
    <t>Commissioning Record DAMPING RESISTOR TEST</t>
  </si>
  <si>
    <t>KT-19512_1033_AMP_Assembly Drawing_A7_2022-06-03</t>
  </si>
  <si>
    <t>KT-19521_1033_No.2 LV SWBD_S_2022-06-07</t>
  </si>
  <si>
    <t>DFN-337</t>
  </si>
  <si>
    <t>GEK-115571</t>
  </si>
  <si>
    <t>GEK-115571_Rev. F_L-V250MDC T4 Scheduled Maintenance 2019+</t>
  </si>
  <si>
    <t>GEK-115716</t>
  </si>
  <si>
    <t>GEK-115716_Alfa Laval Moatti Automatic Lube Oil Filter Type 290A20-30</t>
  </si>
  <si>
    <t>GEK-115717</t>
  </si>
  <si>
    <t>GEK-115717_Alfa Laval Moatti Hydraulic motor MH72-4 for Lube Oil Filter Type 290A20-30</t>
  </si>
  <si>
    <t>KT-19519_1033 Arc Flash Analysis_A5_2022-06-28</t>
  </si>
  <si>
    <t>KT-19519_1033 Appendices_A5_2022-06-28</t>
  </si>
  <si>
    <t>PV3P01C01_002_Load Flow Analysis</t>
  </si>
  <si>
    <t>PV3P01C02_006_Fault Current Analysis Document</t>
  </si>
  <si>
    <t>PV3P01C03_004_MV7K Propulsion Harmonic Study</t>
  </si>
  <si>
    <t>PV3P01C04_006_Protection &amp; Co-ordination Study</t>
  </si>
  <si>
    <t>PV3P01C04_006_TCC Curves</t>
  </si>
  <si>
    <t>PV3P01C05_002_Transient Stability Study</t>
  </si>
  <si>
    <t>DFN-339</t>
  </si>
  <si>
    <t>DFN-340</t>
  </si>
  <si>
    <t>PV3P01C06_003_Ground Fault Calculation</t>
  </si>
  <si>
    <t>ABS Equipment Certification - H1037</t>
  </si>
  <si>
    <t>ABS Appraisal Document - Ext</t>
  </si>
  <si>
    <t>T2268751</t>
  </si>
  <si>
    <t>DFN-341</t>
  </si>
  <si>
    <t xml:space="preserve">0RAH122 </t>
  </si>
  <si>
    <t>DFN-342</t>
  </si>
  <si>
    <t>T2268751_YHKO_HV - LV SWBD Package_Ext_132405623</t>
  </si>
  <si>
    <t>5308016_Generator_ABS_Equipment Certification Report_0RAH122</t>
  </si>
  <si>
    <t>0RAH122 US MARAD NSMV 035_Test Report</t>
  </si>
  <si>
    <t>0RAH122 US MARAD NSMV 035_Test MoM</t>
  </si>
  <si>
    <t>DOC0073089_005</t>
  </si>
  <si>
    <t>DOC0073089_005_Auxiliary Power Supplies List</t>
  </si>
  <si>
    <t>DFN-343</t>
  </si>
  <si>
    <t>PV4P03C14</t>
  </si>
  <si>
    <t>PV4P03C13</t>
  </si>
  <si>
    <t>PV4P03C02</t>
  </si>
  <si>
    <t>PV4P03C03</t>
  </si>
  <si>
    <t>PV4P03C06</t>
  </si>
  <si>
    <t>PV4P03C07</t>
  </si>
  <si>
    <t>PV4P03C08</t>
  </si>
  <si>
    <t>PV4P03C09</t>
  </si>
  <si>
    <t>PV4P03C10</t>
  </si>
  <si>
    <t>PV4P03C11</t>
  </si>
  <si>
    <t>PV4P03C12</t>
  </si>
  <si>
    <t>DFN-344</t>
  </si>
  <si>
    <t>PV4P03C04</t>
  </si>
  <si>
    <t>H1033 COMMISSIONING PROCEDURE_DC110V UPS_A1_220719</t>
  </si>
  <si>
    <t>PV4P03C04_000</t>
  </si>
  <si>
    <t>PV4P03C04_000_450V ESBD Switchboards Commissioning Guide</t>
  </si>
  <si>
    <t>PV4P03C14_001</t>
  </si>
  <si>
    <t>PV4P03C14_001_Generator and AVR Commissioning Check List</t>
  </si>
  <si>
    <t>Shore Connection Box_G_2022-07-12</t>
  </si>
  <si>
    <t>Test Panel_G_2022-07-12</t>
  </si>
  <si>
    <t>Battery Switchboard_J_2022-07-12</t>
  </si>
  <si>
    <t>Distribution Board_Z_2022-07-20</t>
  </si>
  <si>
    <t>Starter (LGSP)_P_2022-07-13</t>
  </si>
  <si>
    <t>RPB(LPB) &amp; EMCY Stop Box_I_2022-07-13</t>
  </si>
  <si>
    <t>Main &amp; EMCY Load Center Panel_Y_2022-07-12</t>
  </si>
  <si>
    <t>Emergency SWBD_U_2022-07-26</t>
  </si>
  <si>
    <t>No.2 LV SWBD_U_2022-07-12</t>
  </si>
  <si>
    <t>No.1 LV SWBD_U_2022-07-12</t>
  </si>
  <si>
    <t>DC110V UPS_G_2022-07-19</t>
  </si>
  <si>
    <t>HM2_Equipment List_A6_2022-07-12</t>
  </si>
  <si>
    <t>HM2_SEPAM Logic Diagram_A6_2022-07-12</t>
  </si>
  <si>
    <t>HM2_Terminal Panel_A8_2022-07-12</t>
  </si>
  <si>
    <t>HM2_Interconnection Diagram_A8_2022-07-12</t>
  </si>
  <si>
    <t>HM2_Schematic Diagram_A9_2022-07-12</t>
  </si>
  <si>
    <t>HM2_Single Line Diagram_A10_2022-07-12</t>
  </si>
  <si>
    <t>HM2_Assembly Drawing_A7_2022-07-12</t>
  </si>
  <si>
    <t>HM1_Equipment List_A6_2022-07-12</t>
  </si>
  <si>
    <t>HM1_SEPAM Logic Diagram_A6_2022-07-12</t>
  </si>
  <si>
    <t>HM1_Terminal Panel_A8_2022-07-12</t>
  </si>
  <si>
    <t>HM1_Interconnection Diagram_A8_2022-07-12</t>
  </si>
  <si>
    <t>HM1_Schematic Diagram_A9_2022-07-12</t>
  </si>
  <si>
    <t>HM1_Single Line Diagram_A10_2022-07-12</t>
  </si>
  <si>
    <t>HM1_Assembly Drawing_A7_2022-07-12</t>
  </si>
  <si>
    <t>AMP_Single Line Diagram_A6_2022-07-12</t>
  </si>
  <si>
    <t>AMP_SEPAM Logic Diagram_A6_2022-07-12</t>
  </si>
  <si>
    <t>AMP_Schematic Diagram_A9_2022-07-12</t>
  </si>
  <si>
    <t>AMP_Interconnection Diagram_A8_2022-07-12</t>
  </si>
  <si>
    <t>AMP_Equipment List_A4_2022-07-12</t>
  </si>
  <si>
    <t>AMP_Assembly Drawing_A8_2022-07-12</t>
  </si>
  <si>
    <t>DFN-345</t>
  </si>
  <si>
    <t>A10</t>
  </si>
  <si>
    <t>Z</t>
  </si>
  <si>
    <t>DOC0073204-000</t>
  </si>
  <si>
    <t>HAT Propulsion Control Tests</t>
  </si>
  <si>
    <t>DOC0073206-000</t>
  </si>
  <si>
    <t>HAT Propulsion Remote Control Tests</t>
  </si>
  <si>
    <t>DOC0073208-000</t>
  </si>
  <si>
    <t>HAT Propulsion Matrix Tests</t>
  </si>
  <si>
    <t>DOC0073209-001</t>
  </si>
  <si>
    <t>DOC0073210-001</t>
  </si>
  <si>
    <t>Propulsion Control Tests</t>
  </si>
  <si>
    <t>Propulsion Remote Control Tests</t>
  </si>
  <si>
    <t>Propulsion Matrix Tests</t>
  </si>
  <si>
    <t>DOC0073204</t>
  </si>
  <si>
    <t>DOC0073206</t>
  </si>
  <si>
    <t>DOC0073208</t>
  </si>
  <si>
    <t>DFN-346</t>
  </si>
  <si>
    <t>450V LVMSB 1-2 Switchboard Commissioning Guide</t>
  </si>
  <si>
    <t>PV4P03C05_000</t>
  </si>
  <si>
    <t>PV4P03C05</t>
  </si>
  <si>
    <t>DFN-347</t>
  </si>
  <si>
    <t>291 Rev 001</t>
  </si>
  <si>
    <r>
      <t xml:space="preserve">Fault Matrix </t>
    </r>
    <r>
      <rPr>
        <i/>
        <sz val="10"/>
        <color theme="1"/>
        <rFont val="GE Inspira"/>
      </rPr>
      <t>(Corrected Version)</t>
    </r>
  </si>
  <si>
    <t>P22031365_003</t>
  </si>
  <si>
    <t>CAMS Interface Fault Cartography_MARAD</t>
  </si>
  <si>
    <t>Corrected version</t>
  </si>
  <si>
    <t>CAMS Interface Fault Cartography</t>
  </si>
  <si>
    <t>P22031365</t>
  </si>
  <si>
    <t>DFN-291 Rev 001</t>
  </si>
  <si>
    <t>T2288733</t>
  </si>
  <si>
    <t>GE Energy Power Conversion Task T2288733 LTR_133381731</t>
  </si>
  <si>
    <t>T2274775</t>
  </si>
  <si>
    <t>GE Energy Power Conversion Task T2274775 LTR_132802886</t>
  </si>
  <si>
    <t>T2260005</t>
  </si>
  <si>
    <t>GE Energy Power Conversion Task T2260005 LTR_132071631</t>
  </si>
  <si>
    <t>84A240615</t>
  </si>
  <si>
    <t>84A240615 Rev C_L-V250MDC ABS ACCU PSTP_132801317</t>
  </si>
  <si>
    <t>84A240615DV</t>
  </si>
  <si>
    <t>84A240615DV Rev. A _ L-V250MDC ABS DVTP_133379774</t>
  </si>
  <si>
    <t>84A241135LL RevA_Interface Instrument List_132070146</t>
  </si>
  <si>
    <t>84B560080 Rev0_Interface Schematics_132069854</t>
  </si>
  <si>
    <t>T2298380</t>
  </si>
  <si>
    <t>T2298380_YHKO_THD Study &amp; Coordination Studies_LT_133439757.zip</t>
  </si>
  <si>
    <t>T2298383</t>
  </si>
  <si>
    <t>T2298383_YHKO_Fault Current Analysis Document_LT_133441073.zip</t>
  </si>
  <si>
    <t>DFN-348</t>
  </si>
  <si>
    <t>SV1P01C02S0001_005</t>
  </si>
  <si>
    <t>SV1P01C02S0001_005_HVMSB and EPS Cable Interconnection</t>
  </si>
  <si>
    <t>SV1P01C02S0002_004</t>
  </si>
  <si>
    <t>SV1P01C02S0002_004_LVMSB &amp; 120V ER SWBD Cable Interconnection</t>
  </si>
  <si>
    <t>SV1P01C02S0003_004</t>
  </si>
  <si>
    <t>SV1P01C02S0003_004_440V &amp; 120V Load Center Panel Interconnection</t>
  </si>
  <si>
    <t>SV1P01C02S0004_004</t>
  </si>
  <si>
    <t>SV1P01C02S0004_004_EMGY SWBD Cable Interconnection</t>
  </si>
  <si>
    <t>SV1P01C02S0005_004</t>
  </si>
  <si>
    <t>SV1P01C02S0005_004_Emergency Load Center Panel Cable Interconnection</t>
  </si>
  <si>
    <t>SV1P01C02S0008_004</t>
  </si>
  <si>
    <t>SV1P01C02S0008_004_PD Cable Interconnection</t>
  </si>
  <si>
    <t>SV1P01C02S0010_004</t>
  </si>
  <si>
    <t>SV1P01C02S0010_004_AC120-240V LPD Interconnection</t>
  </si>
  <si>
    <t>SV1P01C02S0011_004</t>
  </si>
  <si>
    <t>SV1P01C02S0011_004_LGSP Interconnection</t>
  </si>
  <si>
    <t>DFN-349</t>
  </si>
  <si>
    <t>SV1P01C01S0201_003</t>
  </si>
  <si>
    <t>SV1P01C01S0201_003_HVMSB and EPS_SLD</t>
  </si>
  <si>
    <t>AV1P02C01_003</t>
  </si>
  <si>
    <t>AV1P02C01_003_PMS Functional Description</t>
  </si>
  <si>
    <t>AV4P02C05_003</t>
  </si>
  <si>
    <t>AV4P02C05_003_PMS Test Procedure</t>
  </si>
  <si>
    <t>AV4P04C01_001</t>
  </si>
  <si>
    <t>AV4P04C01_001_Site Acceptance Tests</t>
  </si>
  <si>
    <t>AV5P03C01_003</t>
  </si>
  <si>
    <t>AV5P03C01_003_PMS PSTP</t>
  </si>
  <si>
    <t>DFN-350</t>
  </si>
  <si>
    <t>DFN-351</t>
  </si>
  <si>
    <t>AV1P02C01</t>
  </si>
  <si>
    <t>PV3P01C03_005</t>
  </si>
  <si>
    <t>PV3P01C03_005_MV7K Propulsion Harmonic Study</t>
  </si>
  <si>
    <t>DFN-352</t>
  </si>
  <si>
    <t>H1036 - Vessel 5</t>
  </si>
  <si>
    <t>VCB Test Records</t>
  </si>
  <si>
    <t>DFN-353</t>
  </si>
  <si>
    <t>H1033-Test Report-VCB Test Record</t>
  </si>
  <si>
    <t>H1034-Test Report-VCB Test Record</t>
  </si>
  <si>
    <t>H1035-Test Report-Distribution Board Function Test Report (1)_2022-06-13</t>
  </si>
  <si>
    <t>H1035-Test Report-Distribution Board Function Test Report (2)_2022-06-17</t>
  </si>
  <si>
    <t>H1035-Test Report-Distribution Board Function Test Report (3)_2022-06-27</t>
  </si>
  <si>
    <t>H1035-Test Report-Distribution Board Function Test Report (4)_2022-07-11</t>
  </si>
  <si>
    <t>H1035-Test Report-LV Main Switchboard Test Record</t>
  </si>
  <si>
    <t>2014552 Rev. 1_GENSET Shipboard Commissioning Procedure</t>
  </si>
  <si>
    <t>2014522 _01</t>
  </si>
  <si>
    <t>2014522 _01 - GENSET_As-Built.stp</t>
  </si>
  <si>
    <t>2014522 _01 - GENSET_As-Built.dwg</t>
  </si>
  <si>
    <t>2014500_10</t>
  </si>
  <si>
    <t>2014500_10 - GENSET_As-Built.stp</t>
  </si>
  <si>
    <t>2014500_10 - GENSET_As-Built.dwg</t>
  </si>
  <si>
    <t>AV4P02C03_000_Vessel #3_Alarm_System_Test_Procedure_signed</t>
  </si>
  <si>
    <t>AV4P02C04_001_Vessel #3_Arch_&amp;_HMI_Test_Procedure_signed</t>
  </si>
  <si>
    <t>AV4P02C05_002_Vessel #3_PMS_Test_Procedure_signed</t>
  </si>
  <si>
    <t>Vessel #3 Alarm &amp; Monitoring System Test Procedure_Signed</t>
  </si>
  <si>
    <t>DFN-355</t>
  </si>
  <si>
    <t>Vessel #3_Architecture &amp; HMI Test Report_Signed</t>
  </si>
  <si>
    <t>Vessel #3_Power Management System Test Procedure_Signed</t>
  </si>
  <si>
    <t>21A030_001</t>
  </si>
  <si>
    <t>21A030_001_H1035_Motor Test Report FNQXR27216</t>
  </si>
  <si>
    <t>DOC0096444_001_Telegraph FAT Book_Signed</t>
  </si>
  <si>
    <t>DOC0100237_000</t>
  </si>
  <si>
    <t>DOC0100237_000_Acceptance Test Report PCS FAT Automation &amp; Control_Signed</t>
  </si>
  <si>
    <t>P21030714_003</t>
  </si>
  <si>
    <t>P21030714_003_MARAD_Propulsion System Factory Acceptance Test Witness_Signed</t>
  </si>
  <si>
    <t>P22034427_002</t>
  </si>
  <si>
    <t>P22034427_002_MARAD_Propulsion System Factory Acceptance Test Rxi142 Witness Signed</t>
  </si>
  <si>
    <t>21A030</t>
  </si>
  <si>
    <t>DFN-356</t>
  </si>
  <si>
    <t>Propulsion System FAT Report</t>
  </si>
  <si>
    <t>DOC0100237</t>
  </si>
  <si>
    <t>P22034427</t>
  </si>
  <si>
    <t>Telegraph FAT Book_Signed</t>
  </si>
  <si>
    <t>Acceptance Test Report PCS FAT Automation &amp; Control_Signed</t>
  </si>
  <si>
    <t>Propulsion System Factory Acceptance Test Witness_Signed</t>
  </si>
  <si>
    <t>Propulsion System Factory Acceptance Test Rxi142 Witness Signed</t>
  </si>
  <si>
    <t>DFN-357</t>
  </si>
  <si>
    <t>Specification for Transformer_220927_4100kVA HV TR</t>
  </si>
  <si>
    <t>DFN-358</t>
  </si>
  <si>
    <t>AB</t>
  </si>
  <si>
    <t>HM1_Schematic Diagram_A10_2022-09-20</t>
  </si>
  <si>
    <t>HM1_SEPAM Logic Diagram_A8_2022-09-20</t>
  </si>
  <si>
    <t>HM2_Schematic Diagram_A10_2022-09-20</t>
  </si>
  <si>
    <t>HM2_SEPAM Logic Diagram_A8_2022-09-20</t>
  </si>
  <si>
    <t>AMP_Assembly Drawing_A9_2022-10-13</t>
  </si>
  <si>
    <t>AMP_SEPAM Logic Diagram_A7_2022-09-21</t>
  </si>
  <si>
    <t>DC110V UPS_H_2022-09-23</t>
  </si>
  <si>
    <t>No.1 LV SWBD_Y_2022-10-20</t>
  </si>
  <si>
    <t>No.2 LV SWBD_Y_2022-10-20</t>
  </si>
  <si>
    <t>Emergency SWBD_W_2022-10-13</t>
  </si>
  <si>
    <t>RPB(LPB) &amp; EMCY Stop Box_J_2022-09-29</t>
  </si>
  <si>
    <t>Starter (LGSP)_R_2022-10-11</t>
  </si>
  <si>
    <t>Distribution Board_AB_2022-09-22</t>
  </si>
  <si>
    <t>Battery Switchboard_L_2022-09-15</t>
  </si>
  <si>
    <t>Shore Connection Box_H_2022-09-06</t>
  </si>
  <si>
    <t>KT-19502_1033_HM1_Terminal Panel_A9_2022-10-26</t>
  </si>
  <si>
    <t>KT-19509_1033_HM2_Terminal Panel_A9_2022-10-26</t>
  </si>
  <si>
    <t>DFN-359</t>
  </si>
  <si>
    <t>H1034 - Vessel 3</t>
  </si>
  <si>
    <t>5452981_H1035_PMS_ABS Equipment Certification Report</t>
  </si>
  <si>
    <t>DFN-360</t>
  </si>
  <si>
    <t>DSEC</t>
  </si>
  <si>
    <t>DFN-361</t>
  </si>
  <si>
    <t>DOC0087598_003</t>
  </si>
  <si>
    <t>S21029113_003</t>
  </si>
  <si>
    <t>DFN-362</t>
  </si>
  <si>
    <t>362_Rev 001</t>
  </si>
  <si>
    <t>DOC0087598_003_EPS DVTP</t>
  </si>
  <si>
    <t>S21029113_003_ROP Specification_NMSV</t>
  </si>
  <si>
    <t>DOC0073085_002</t>
  </si>
  <si>
    <t>EPS FMEA Report_132861088</t>
  </si>
  <si>
    <t>DFN-362_Rev 001</t>
  </si>
  <si>
    <t>FMEA (ABS Stamped 132861088)</t>
  </si>
  <si>
    <t>DFN-363</t>
  </si>
  <si>
    <t>DVTP (ABS Stamped)</t>
  </si>
  <si>
    <t>DOC0087598_003_EPS DVTP_132774177_131346433</t>
  </si>
  <si>
    <t>AV2P03C05_007</t>
  </si>
  <si>
    <t>AV2P03C05_007_FS-020 RIO Fieldstation</t>
  </si>
  <si>
    <t>DFN-364</t>
  </si>
  <si>
    <t>DFN-365</t>
  </si>
  <si>
    <t>PSTP (ABS Stamped)</t>
  </si>
  <si>
    <t>EPS Functional Description (SYDD) (ABS Stamped)</t>
  </si>
  <si>
    <t>T2337167</t>
  </si>
  <si>
    <t>GE Energy Power Conversion Task T2337167 LTR_135542837</t>
  </si>
  <si>
    <t>DOC0088231-002-EPS PSTP_watermarked_135271602_129219382</t>
  </si>
  <si>
    <t>S20021378_004_SYDD_PROPULSION_NSMV_128154337</t>
  </si>
  <si>
    <t>S20021378_005_SYDD_PROPULSION_NSMV_128152931</t>
  </si>
  <si>
    <t>S20021378_008_SYDD_PROPULSION_NSMV_135400325_131351614</t>
  </si>
  <si>
    <t>2014500_10 - GENSET_As-Built</t>
  </si>
  <si>
    <t>2014522 _01 - GENSET_As-Built</t>
  </si>
  <si>
    <t>2014529 Rev. 1</t>
  </si>
  <si>
    <t>2014529 Rev. 1 _ NSMV Hose Adapter List</t>
  </si>
  <si>
    <t>2014550_003</t>
  </si>
  <si>
    <t>2014550_003_GENSET Test Procedure</t>
  </si>
  <si>
    <t>2014553_NSMV DC Power Supply Drawdown Test</t>
  </si>
  <si>
    <t>NSMV V2 G1 GenSet CSS FAT Report</t>
  </si>
  <si>
    <t>NSMV V2 G2 GenSet CSS FAT Report</t>
  </si>
  <si>
    <t>NSMV V2 G3 GenSet CSS FAT Report</t>
  </si>
  <si>
    <t>NSMV V2 G4 GenSet CSS FAT Report</t>
  </si>
  <si>
    <t>DFN-367</t>
  </si>
  <si>
    <t>H1035_Service Transformers_FAT Report</t>
  </si>
  <si>
    <t>H1035_Service Transformers_Inspection Equipment List</t>
  </si>
  <si>
    <t>H1035_Service Transformers_Material List</t>
  </si>
  <si>
    <t>H1033</t>
  </si>
  <si>
    <t>H1034</t>
  </si>
  <si>
    <t>H1035</t>
  </si>
  <si>
    <t>H1035_Service Transformers_Punch List</t>
  </si>
  <si>
    <t>5560870-A.R1</t>
  </si>
  <si>
    <t>H1035_Service Transformers_Weight Photos</t>
  </si>
  <si>
    <t>H1034_Service Transformers_Weight Photos</t>
  </si>
  <si>
    <t>5560870-A.R1_H1035_Service Transformer_ABS_Equipment Certification Report</t>
  </si>
  <si>
    <t>SIM19-101-1_Specification for Transformer_230102_4100kVA HV TR</t>
  </si>
  <si>
    <t>DFN-368</t>
  </si>
  <si>
    <t>45kVA Transformer from KTE</t>
  </si>
  <si>
    <t>H1033 45kVA Internal Test Reports_2023-01-07</t>
  </si>
  <si>
    <t>H1033 45kVA Official Test Reports_2023-01-09</t>
  </si>
  <si>
    <t>H1033 45kVA Weight Photos</t>
  </si>
  <si>
    <t>H1033 Inspection Equipment List</t>
  </si>
  <si>
    <t>DFN-369</t>
  </si>
  <si>
    <t>AD</t>
  </si>
  <si>
    <t>KT-19527_1033_RPB(LPB) &amp; EMCY Stop Box_K_2022-11-28</t>
  </si>
  <si>
    <t>KT-19527_1033_Starter (LGSP)_S_2022-11-28</t>
  </si>
  <si>
    <t>KT-19528_1033_Distribution Board_AD_2023-01-05</t>
  </si>
  <si>
    <t>DFN-370</t>
  </si>
  <si>
    <t>DFN-372</t>
  </si>
  <si>
    <t>H1035-Test Report-Battery SWBD &amp; SCB &amp; RPB_2022-09-27</t>
  </si>
  <si>
    <t>H1035-Test Report-DC110V UPS_2022-09-27</t>
  </si>
  <si>
    <t>H1035-Test Report-Emcy Load Center Panel_2022-09-21</t>
  </si>
  <si>
    <t>H1035-Test Report-Emcy Switchboard Test Record</t>
  </si>
  <si>
    <t>H1035-Test Report-HV Main Switchboard &amp; AMP FAT Punch Clearance_2022-09-28</t>
  </si>
  <si>
    <t>H1035-Test Report-HV Main Switchboard &amp; AMP Function Test</t>
  </si>
  <si>
    <t>H1035-Test Report-LGSP Comments Reply_2022-10-24</t>
  </si>
  <si>
    <t>H1035-Test Report-LGSP Function Test Report_2022-10-18</t>
  </si>
  <si>
    <t>H1035-Test Report-LGSP No. 4-8 Function Test Report_2022-10-18</t>
  </si>
  <si>
    <t>H1035-Test Report-Load Center Panel_2022-09-21</t>
  </si>
  <si>
    <t>H1035-Test Report-Remote Pushbutton Box Comments Reply_2022-10-24</t>
  </si>
  <si>
    <t>H1035-Test Report-Remote Pushbutton Box_2022-10-18</t>
  </si>
  <si>
    <t>H1035-Test Report-Shore Connection Box_2022-09-27</t>
  </si>
  <si>
    <t>H1035-Test Report-Test Panel_2022-10-18</t>
  </si>
  <si>
    <t>0RAH123</t>
  </si>
  <si>
    <t>0RAH123 US MARAD NSMV 036_Alternator Test Report</t>
  </si>
  <si>
    <t>0RAH123 US MARAD NSMV 036_Alternator Test MoM</t>
  </si>
  <si>
    <t>DFN-371</t>
  </si>
  <si>
    <t>P20021339_005</t>
  </si>
  <si>
    <t>P20021339_005_Fault Matrix_H1033</t>
  </si>
  <si>
    <t>P20021396_007</t>
  </si>
  <si>
    <t>P20021396_007_NSMV-PROPULSION - CAMS Interface</t>
  </si>
  <si>
    <t>P21024813_001</t>
  </si>
  <si>
    <t>P21024813_001_MARAD-IP ADDRESS</t>
  </si>
  <si>
    <t>P22031365_005</t>
  </si>
  <si>
    <t>P22031365_005_CAMS Interface Fault Cartography_MARAD</t>
  </si>
  <si>
    <t>P21024813</t>
  </si>
  <si>
    <t>5296312-A</t>
  </si>
  <si>
    <t>5296312-A_H1035_DBR-Cooler_ABS Equipment Certification Report</t>
  </si>
  <si>
    <t>5305624-A</t>
  </si>
  <si>
    <t>5305624-A_H1035_DBR_ABS Equipment Certification Report</t>
  </si>
  <si>
    <t>5316582-A</t>
  </si>
  <si>
    <t>5316582-A_H1035_Prop Transformer_ABS Equipment Certification Report</t>
  </si>
  <si>
    <t>5457865_A</t>
  </si>
  <si>
    <t>5457865_A_1035_LVMSB_ABS_Equipment Certification Report</t>
  </si>
  <si>
    <t>5466847_A</t>
  </si>
  <si>
    <t>5466847_A_1035_Main LCP_ABS_Equipment Certification Report</t>
  </si>
  <si>
    <t>5466847_B</t>
  </si>
  <si>
    <t>5466847_B_1035_EMCY LCP_ABS_Equipment Certification Report</t>
  </si>
  <si>
    <t>5466847_C</t>
  </si>
  <si>
    <t>5466847_C_1035_DC110V UPS_ABS_Equipment Certification Report</t>
  </si>
  <si>
    <t>5468870_A</t>
  </si>
  <si>
    <t>5468870_A_1035_HVMSB_AMP_ABS_Equipment Certification Report</t>
  </si>
  <si>
    <t>5474245_A</t>
  </si>
  <si>
    <t>5474245_A_1035_BTRY SWBD_ABS_Equipment Certification Report</t>
  </si>
  <si>
    <t>5474245_B</t>
  </si>
  <si>
    <t>5474245_B_1035_ESBD_ABS_Equipment Certification Report</t>
  </si>
  <si>
    <t>5508070-A</t>
  </si>
  <si>
    <t>5508070-A_H1036_Generator_ABS_Equipment Certification Report_0RAH123</t>
  </si>
  <si>
    <t>5564545-A</t>
  </si>
  <si>
    <t>5564545-A_H1036_DBR-Cooler_ABS Equipment Certification Report</t>
  </si>
  <si>
    <t>5570270-A</t>
  </si>
  <si>
    <t>5570270-A_H1036_DBR_ABS Equipment Certification Report</t>
  </si>
  <si>
    <t>5595766-A</t>
  </si>
  <si>
    <t>5595766-A_H1036_Prop Transformer_ABS Equipment Certification Report</t>
  </si>
  <si>
    <t>DFN-373</t>
  </si>
  <si>
    <t>21A031_001</t>
  </si>
  <si>
    <t>21A031_001_H1035_Prop Motor Test Report FNQXR-27258</t>
  </si>
  <si>
    <t>21A030_002</t>
  </si>
  <si>
    <t>21A030_002_H1036_Prop Motor Test Report FNQXR-27269</t>
  </si>
  <si>
    <t>21A031_002</t>
  </si>
  <si>
    <t>21A031_002_H1036_Prop Motor Test Report FNQXR-27270</t>
  </si>
  <si>
    <t>H1035_DOC0073108_002_2022-0153_VSD Factory Test Report</t>
  </si>
  <si>
    <t>H1035_DOC0073108_002_2022-0160_VSD Factory Test Report</t>
  </si>
  <si>
    <t>M22250-M22251</t>
  </si>
  <si>
    <t>M22250-M22251_H1035_Prop Transformer_Inspection and Test Report</t>
  </si>
  <si>
    <t>M22643-M22644</t>
  </si>
  <si>
    <t>M22643-M22644_H1036_Prop Transformer_Inspection and Test Report</t>
  </si>
  <si>
    <t>O MC 20 09 004-1_005-006</t>
  </si>
  <si>
    <t>O MC 20 09 004-1_005-006_H1035_DBR_Test Report_O RTW 20 09 004</t>
  </si>
  <si>
    <t>O MC 20 09 004-1_007-008</t>
  </si>
  <si>
    <t>O MC 20 09 004-1_007-008_H1036_DBR_Test Report_O RTW 20 09 004</t>
  </si>
  <si>
    <t>M22250-M22251_H1035_Inspection and Test Report</t>
  </si>
  <si>
    <t>M22643-M22644_H1036_Inspection and Test Report</t>
  </si>
  <si>
    <t>DFN-374</t>
  </si>
  <si>
    <t>DOC0073108_002_2022-0153_VSD Factory Test Report</t>
  </si>
  <si>
    <t>DOC0073108_002_2022-0160_VSD Factory Test Report</t>
  </si>
  <si>
    <t>21A031_001_H1035_Motor Test Report FNQXR-27258</t>
  </si>
  <si>
    <t>21A031</t>
  </si>
  <si>
    <t>1A31D05346_A</t>
  </si>
  <si>
    <t>1A31D05346_A_Coupling RATO-DS 31D0-2200 Drawing</t>
  </si>
  <si>
    <t>1A31D55346</t>
  </si>
  <si>
    <t>1A31D55346_Coupling RATO Service Manual</t>
  </si>
  <si>
    <t>84A241296</t>
  </si>
  <si>
    <t>84A241296 Rev. A_V250MDC Exhaust Noise Data</t>
  </si>
  <si>
    <t>84A282628AB</t>
  </si>
  <si>
    <t>84A282628AB_Approved Oils List</t>
  </si>
  <si>
    <t>2014520_9</t>
  </si>
  <si>
    <t>2014520_9 - Interface Schematics</t>
  </si>
  <si>
    <t>GEJ-7185 Rev. E</t>
  </si>
  <si>
    <t>GEJ-7185 Rev. E_Marine Tier 4 Operating Manual</t>
  </si>
  <si>
    <t>GEK-114262 Rev. N</t>
  </si>
  <si>
    <t>GEK-114262 Rev. N_Recommended Fuel and Oil</t>
  </si>
  <si>
    <t>GEK-115304 Rev. C</t>
  </si>
  <si>
    <t>GEK-115304 Rev. C_Marine Tier 4 Engine Troubleshooting Guide</t>
  </si>
  <si>
    <t>G763220001</t>
  </si>
  <si>
    <t>NSMV_H1035_Engine 09 FAT Summary Report_G763220001</t>
  </si>
  <si>
    <t>G763220002</t>
  </si>
  <si>
    <t>NSMV_H1035_Engine 10 FAT Summary Report_G763220002</t>
  </si>
  <si>
    <t>G763220003</t>
  </si>
  <si>
    <t>NSMV_H1035_Engine 11 FAT Summary Report_G763220003</t>
  </si>
  <si>
    <t>G763220004</t>
  </si>
  <si>
    <t>NSMV_H1035_Engine 12 FAT Summary Report_G763220004</t>
  </si>
  <si>
    <t>5463035-A</t>
  </si>
  <si>
    <t>5463035-A_H1035_ABS_G763220001_Engine Certificate</t>
  </si>
  <si>
    <t>5468350-A</t>
  </si>
  <si>
    <t>5468350-A_H1035_ABS_G763220002_Engine Certificate</t>
  </si>
  <si>
    <t>5494256-A</t>
  </si>
  <si>
    <t>5494256-A_H1035_ABS_G763220003_Engine Certificate</t>
  </si>
  <si>
    <t>5537709-A</t>
  </si>
  <si>
    <t>5537709-A_H1035_ABS_G763220004_Engine Certificate</t>
  </si>
  <si>
    <t>OD222171_R6</t>
  </si>
  <si>
    <t>OD222171_R6_45kVA MPS TR DWG_2023-01-09</t>
  </si>
  <si>
    <t>Specification for Transformer &amp; Drawing</t>
  </si>
  <si>
    <t>OD222171</t>
  </si>
  <si>
    <t>DFN-376</t>
  </si>
  <si>
    <t>SV1P01C01S03_003</t>
  </si>
  <si>
    <t>DFN-377</t>
  </si>
  <si>
    <t>H1033-Test Report-LPD-22_2023-01-03</t>
  </si>
  <si>
    <t>H1033-Test Report-LPD-22_FAT Punch Clearance_2023-01-19</t>
  </si>
  <si>
    <t>H1034-Test Report-LPD-22_2023-01-13</t>
  </si>
  <si>
    <t>H1035-Test Report-LPD-22_2023-01-13</t>
  </si>
  <si>
    <t>H1036-Test Report-Distribution Board Function Test Report (1)_2023-01-06</t>
  </si>
  <si>
    <t>H1036-Test Report-Distribution Board Function Test Report (1)_FAT Punch Clearance_2023-01-12</t>
  </si>
  <si>
    <t>H1036-Test Report-Distribution Board Function Test Report (2)_2023-01-13</t>
  </si>
  <si>
    <t>H1036-Test Report-Distribution Board Function Test Report (2)_FAT_Punch Clearance_2023-01-19</t>
  </si>
  <si>
    <t>H1036-Test Report-Distribution Board Function Test Report (3)_2023-01-19</t>
  </si>
  <si>
    <t>H1036-Test Report-Distribution Board Function Test Report (4)_2023-01-26</t>
  </si>
  <si>
    <t>KT-19527_1033_Starter (LGSP)_T_2023-02-07</t>
  </si>
  <si>
    <t>KT-19528_1033_Distribution Board_AE_2023-01-31</t>
  </si>
  <si>
    <t>20</t>
  </si>
  <si>
    <t>LPD-22</t>
  </si>
  <si>
    <t>DFN-378</t>
  </si>
  <si>
    <t>T</t>
  </si>
  <si>
    <t>AE</t>
  </si>
  <si>
    <t>H1033 MPS TX FAT Punch Clearance_2023-01-10</t>
  </si>
  <si>
    <t>DFN-379</t>
  </si>
  <si>
    <t>H1034 45kVA Inspection Equipment List</t>
  </si>
  <si>
    <t>H1034 45kVA Official Test Reports_2023-02-02</t>
  </si>
  <si>
    <t>H1035 45kVA Inspection Equipment List</t>
  </si>
  <si>
    <t>H1035 45kVA Official Test Reports_2023-02-02</t>
  </si>
  <si>
    <t>H1036</t>
  </si>
  <si>
    <t>H1036 45kVA Inspection Equipment List</t>
  </si>
  <si>
    <t>H1036 45kVA Official Test Reports_2023-02-02</t>
  </si>
  <si>
    <t>SID19-056-8_Specification for Transformer_230215_130kVA No.2 Recp TR</t>
  </si>
  <si>
    <t>SIM19-101-1_Specification for Transformer_230215_4100kVA HV TR</t>
  </si>
  <si>
    <t>230215</t>
  </si>
  <si>
    <t>230102</t>
  </si>
  <si>
    <t>220927</t>
  </si>
  <si>
    <t>84A241135LL RevB</t>
  </si>
  <si>
    <t>84A241135LL RevB_Instrument Interface List</t>
  </si>
  <si>
    <t>5486660-A</t>
  </si>
  <si>
    <t>5486660-A_Prop Automation System_ABS_Certification Report</t>
  </si>
  <si>
    <t>DOC0073089_006</t>
  </si>
  <si>
    <t>DOC0073089_006_Auxiliary Power Supplies List</t>
  </si>
  <si>
    <t>DOC0073164_006</t>
  </si>
  <si>
    <t>DOC0073164_006_Remote Control Description</t>
  </si>
  <si>
    <t>DOC0073188-006</t>
  </si>
  <si>
    <t>DOC0073188-006-DUM1_IO Rack Motor Schematic</t>
  </si>
  <si>
    <t>DOC0073190-003</t>
  </si>
  <si>
    <t>DOC0073190-003-DUP1_IO Rack PLS Schematic</t>
  </si>
  <si>
    <t>DOC0073194-006</t>
  </si>
  <si>
    <t>DOC0073194-006-DUM2_IO Rack Motor Schematic</t>
  </si>
  <si>
    <t>DOC0073196-003</t>
  </si>
  <si>
    <t>DOC0073196-003-DUP2_IO Rack PLS Schematic</t>
  </si>
  <si>
    <t>DOC0077456-003</t>
  </si>
  <si>
    <t>DOC0077456-003-ARL2_Schematic Diagram</t>
  </si>
  <si>
    <t>DOC0078121-003</t>
  </si>
  <si>
    <t>DOC0078121-003-HMIWS1_Schematic Diagram</t>
  </si>
  <si>
    <t>DOC0078122-003</t>
  </si>
  <si>
    <t>DOC0078122-003-HMIWS2_Schematic Diagram</t>
  </si>
  <si>
    <t>P20021339-006</t>
  </si>
  <si>
    <t>P20021339-006-Fault Matrix_H1033</t>
  </si>
  <si>
    <t>P20021396-008</t>
  </si>
  <si>
    <t>P20021396-008-NSMV-PROPULSION - CAMS Interface</t>
  </si>
  <si>
    <t>P22031365-006</t>
  </si>
  <si>
    <t>P22031365-006-CAMS Interface Fault Cartography_MARAD</t>
  </si>
  <si>
    <t>P22031365-006-CAMS Interface Fault Cartography_MARAD.xlsm</t>
  </si>
  <si>
    <t>S21027773_004</t>
  </si>
  <si>
    <t>S21027773_004_NMSV-HMI Specification</t>
  </si>
  <si>
    <t>DFN-381</t>
  </si>
  <si>
    <t>Propulsion Automation ABS Approval</t>
  </si>
  <si>
    <t>H1036_Service Transformers_FAT Report</t>
  </si>
  <si>
    <t>H1036_Service Transformers_Inspection Equipment List</t>
  </si>
  <si>
    <t>H1036_Service Transformers_Material List</t>
  </si>
  <si>
    <t>H1036_Service Transformers_Punch List</t>
  </si>
  <si>
    <t>H1036_Service Transformers_Weight Photos</t>
  </si>
  <si>
    <t>DOC0073080-005</t>
  </si>
  <si>
    <t>DOC0073080-005-SLD</t>
  </si>
  <si>
    <t>DOC0073170-003</t>
  </si>
  <si>
    <t>DOC0073170-003-ARL1_Schematic Diagram</t>
  </si>
  <si>
    <t>DFN-382</t>
  </si>
  <si>
    <t>DFN-383</t>
  </si>
  <si>
    <t>DFN-384</t>
  </si>
  <si>
    <t>220707</t>
  </si>
  <si>
    <t>HMI Specification (resubmit Rev 4)</t>
  </si>
  <si>
    <t>5262338 &amp; 5460294</t>
  </si>
  <si>
    <t>5498470 &amp; 5531936</t>
  </si>
  <si>
    <t>SIM19101-2_Specification for Transformer_220707</t>
  </si>
  <si>
    <t>5262338-A_H1035_Prop Motor FWD_ABS Equipment Certification Report</t>
  </si>
  <si>
    <t>5460294-A_H1035_Prop Motor AFT_ABS Equipment Certification Report</t>
  </si>
  <si>
    <t>5498470-A_H1036_Prop Motor FWD_ABS Equipment Certification Report</t>
  </si>
  <si>
    <t>5531936-A_H1036_Prop Motor AFT_ABS Equipment Certification Report</t>
  </si>
  <si>
    <t>Vessel #4 Alarm &amp; Monitoring System Test Procedure_Signed</t>
  </si>
  <si>
    <t>DFN-385</t>
  </si>
  <si>
    <t>Vessel #4_Architecture &amp; HMI Test Report_Signed</t>
  </si>
  <si>
    <t>Vessel #4_Power Management System Test Procedure_Signed</t>
  </si>
  <si>
    <t>AV4P02C03_000_Vessel #4_Alarm_System_Test_Procedure_signed</t>
  </si>
  <si>
    <t>AV4P02C04_001_Vessel #4_Arch_&amp;_HMI_Test_Procedure_signed</t>
  </si>
  <si>
    <t>AV4P02C05_002_Vessel #4_PMS_Test_Procedure_signed</t>
  </si>
  <si>
    <t>H1036-Test Report-HV Main Switchboard &amp; AMP Function Test_2023-02-22</t>
  </si>
  <si>
    <t>5699293_A_1036_HVMSB_AMP_ABS_Equipment Certification Report</t>
  </si>
  <si>
    <t>DFN-386</t>
  </si>
  <si>
    <t>P20021339-007</t>
  </si>
  <si>
    <t>P20021339-007-Fault Matrix_H1033</t>
  </si>
  <si>
    <t>P22031365-007</t>
  </si>
  <si>
    <t>P22031365-007-CAMS Interface Fault Cartography_MARAD</t>
  </si>
  <si>
    <t>P22031365-007-CAMS Interface Fault Cartography_MARAD.xlsm</t>
  </si>
  <si>
    <t>DFN-387</t>
  </si>
  <si>
    <t>2014502_P&amp;ID_Rev 07</t>
  </si>
  <si>
    <t>H1036_Service Transformers_FAT Report_20kVA</t>
  </si>
  <si>
    <t>H1036_Service Transformers_Material List_20kVA</t>
  </si>
  <si>
    <t>H1036_Service Transformers_Weight Photos_20kVA</t>
  </si>
  <si>
    <t>DFN-389</t>
  </si>
  <si>
    <t>5674092-A</t>
  </si>
  <si>
    <t>5674092-A_H1036_Service Transformer_ABS_Equipment Certification Report</t>
  </si>
  <si>
    <t>DFN-390</t>
  </si>
  <si>
    <t>5690136-A</t>
  </si>
  <si>
    <t>5690136-A_H1036_PMS_ABS Equipment Certification Report</t>
  </si>
  <si>
    <t>H1034 - Vessel 4</t>
  </si>
  <si>
    <t>DFN_391</t>
  </si>
  <si>
    <t>E91S20A041A_Rev J - Connection Diagram</t>
  </si>
  <si>
    <t>21A030-001</t>
  </si>
  <si>
    <t>21A030-001_H1035_Bearings Inspection Report</t>
  </si>
  <si>
    <t>21A031-001</t>
  </si>
  <si>
    <t>21A031-001_H1035_Bearings Inspection Report</t>
  </si>
  <si>
    <t>DFN-392</t>
  </si>
  <si>
    <t>APP-20RAH078-Rev.11</t>
  </si>
  <si>
    <t>APP-20RAH078-Rev.11 Technical Specification</t>
  </si>
  <si>
    <t>APP-20RAH078_Rev 11</t>
  </si>
  <si>
    <t>DFN-393</t>
  </si>
  <si>
    <t>5741388_A</t>
  </si>
  <si>
    <t>1036_Main LCP_ABS_Equipment Certification Report</t>
  </si>
  <si>
    <t>5741388_B</t>
  </si>
  <si>
    <t>1036_EMCY LCP_ABS_Equipment Certification Report</t>
  </si>
  <si>
    <t>5745880_A</t>
  </si>
  <si>
    <t>1036_ESBD_ABS_Equipment Certification Report</t>
  </si>
  <si>
    <t>5748297_A</t>
  </si>
  <si>
    <t>1036_BTRY SWBD_ABS_Equipment Certification Report</t>
  </si>
  <si>
    <t>5748297_B</t>
  </si>
  <si>
    <t>1036_DC110V UPS_ABS_Equipment Certification Report</t>
  </si>
  <si>
    <t>H1036-Test Report-Battery SWBD Test Record_2023-03-20</t>
  </si>
  <si>
    <t>H1036-Test Report-DC110V UPS Test Record_2023-03-20</t>
  </si>
  <si>
    <t>H1036-Test Report-Emcy Load Center Panel_2023-03-15</t>
  </si>
  <si>
    <t>H1036-Test Report-Emcy Load Center Panel_IO Check_2023-03-15</t>
  </si>
  <si>
    <t>H1036-Test Report-Emcy Switchboard_2023-03-17</t>
  </si>
  <si>
    <t>H1036-Test Report-Emcy Switchboard_IO Check_2023-03-17</t>
  </si>
  <si>
    <t>H1036-Test Report-Load Center Panel_2023-03-15</t>
  </si>
  <si>
    <t>H1036-Test Report-Load Center Panel_IO Check_2023-03-15</t>
  </si>
  <si>
    <t>H1036-MLCP&amp;ELCP_FAT_Punch Clearance_2023-03-17.xlsx</t>
  </si>
  <si>
    <t>DFN-394</t>
  </si>
  <si>
    <t>5741388-A</t>
  </si>
  <si>
    <t>5741388-B</t>
  </si>
  <si>
    <t>5745880-A</t>
  </si>
  <si>
    <t>5748297-A</t>
  </si>
  <si>
    <t>5748297-B</t>
  </si>
  <si>
    <t>GEK-61255C</t>
  </si>
  <si>
    <t>Cleaning Diesel Engine Cooling System</t>
  </si>
  <si>
    <t xml:space="preserve">GEK-76796C </t>
  </si>
  <si>
    <t>Cooling Water Maintenance for Diesel Engines</t>
  </si>
  <si>
    <t>5294646-A</t>
  </si>
  <si>
    <t>5294646-A_H1034_GENSET ABS Certificate_005</t>
  </si>
  <si>
    <t>5778896-A</t>
  </si>
  <si>
    <t>5778896-A_H1034_GENSET ABS Certificate_006</t>
  </si>
  <si>
    <t>5439884-A</t>
  </si>
  <si>
    <t>5439884-A_H1034_GENSET ABS Certificate_007</t>
  </si>
  <si>
    <t>5460901-A</t>
  </si>
  <si>
    <t>5460901-A_H1034_GENSET ABS Certificate_008</t>
  </si>
  <si>
    <t>84E906194</t>
  </si>
  <si>
    <t>84E906194 Rev B_V250MDC Service Envelope</t>
  </si>
  <si>
    <t>84A231868CV Rev B_Commissioning Validation Procedure</t>
  </si>
  <si>
    <t>2014520_10</t>
  </si>
  <si>
    <t>2014520_10 - Interface Schematics</t>
  </si>
  <si>
    <t>GEK-115190</t>
  </si>
  <si>
    <t>GEK-115190 Rev. C _ L-V250MDC Engine Support Systems</t>
  </si>
  <si>
    <t>GEK-115571 Rev. H _ L-V250MDC Scheduled Maintenance 2019+</t>
  </si>
  <si>
    <t>H1036_DOC0073108_002_2022-0682_VSD Test Report</t>
  </si>
  <si>
    <t>H1036_DOC0073108_002_2022-0689_VSD Test Report</t>
  </si>
  <si>
    <t>DOC0073108_002_2022-0682_VSD Test Report</t>
  </si>
  <si>
    <t>DOC0073108_002_2022-0689_VSD Test Report</t>
  </si>
  <si>
    <t>DFN-397</t>
  </si>
  <si>
    <t>E81S20A042B_E</t>
  </si>
  <si>
    <t>E81S20A042B_E_Motor Auxiliary Terminal Box</t>
  </si>
  <si>
    <t>P20021339-008</t>
  </si>
  <si>
    <t>P20021339-008-Fault Matrix_H1033</t>
  </si>
  <si>
    <t>P22031365-008</t>
  </si>
  <si>
    <t>P22031365-008-CAMS Interface Fault Cartography_MARAD</t>
  </si>
  <si>
    <t>P22031365-008-CAMS Interface Fault Cartography_MARAD.xlsm</t>
  </si>
  <si>
    <t>DFN-398</t>
  </si>
  <si>
    <t>E81S20A042B</t>
  </si>
  <si>
    <t>84A231868ED Rev F</t>
  </si>
  <si>
    <t>84A231868ED Rev F_Modbus Address List</t>
  </si>
  <si>
    <t>84A241135CR Rev B</t>
  </si>
  <si>
    <t>84A241135CR Rev B_Calibration Request Form</t>
  </si>
  <si>
    <t>2014520_11</t>
  </si>
  <si>
    <t>2014520_11 - Interface Schematics</t>
  </si>
  <si>
    <t>84E906194 Rev. C</t>
  </si>
  <si>
    <t>84E906194 Rev. C_V250MDC Service Envelope</t>
  </si>
  <si>
    <t>84E906194 Rev. C_V250MDC Service Envelope DWG.zip</t>
  </si>
  <si>
    <t>GEK-115571 Rev. J</t>
  </si>
  <si>
    <t>GEK-115571 Rev. J _ L-V250MDC Scheduled Maintenance 2019+</t>
  </si>
  <si>
    <t>NSMV V3 G1 GenSet CSS FAT Report</t>
  </si>
  <si>
    <t>NSMV V3 G2 GenSet CSS FAT Report</t>
  </si>
  <si>
    <t>NSMV V3 G3 GenSet CSS FAT Report</t>
  </si>
  <si>
    <t>NSMV V3 G4 GenSet CSS FAT Report</t>
  </si>
  <si>
    <t>5654042-A</t>
  </si>
  <si>
    <t>5654042-A_H1035_GENSET ABS Certificate V3 G1</t>
  </si>
  <si>
    <t>5698813-A</t>
  </si>
  <si>
    <t>5698813-A_H1035_GENSET ABS Certificate V3 G2</t>
  </si>
  <si>
    <t>5751874-A</t>
  </si>
  <si>
    <t>5751874-A_H1035_GENSET ABS Certificate V3 G3</t>
  </si>
  <si>
    <t>5780516-A</t>
  </si>
  <si>
    <t>5780516-A_H1035_GENSET ABS Certificate V3 G4</t>
  </si>
  <si>
    <t>2RAH259</t>
  </si>
  <si>
    <t>2RAH259 US MARAD NSMV 037_Test Report</t>
  </si>
  <si>
    <t>US MARAD 037 GENERATOR comments reply 2RAH259</t>
  </si>
  <si>
    <t>5797518-A</t>
  </si>
  <si>
    <t xml:space="preserve">5797518-A_Generator_ABS_Equipment Certification Report_0RAH259 </t>
  </si>
  <si>
    <t>DFN-401</t>
  </si>
  <si>
    <t>0RAH259</t>
  </si>
  <si>
    <t>5308016-A</t>
  </si>
  <si>
    <t>4969076-A</t>
  </si>
  <si>
    <t>4967329-A</t>
  </si>
  <si>
    <t>5787056-A</t>
  </si>
  <si>
    <t>5787056-A_1036_LVMSB_ABS_Equipment Certification Report</t>
  </si>
  <si>
    <t>H1036-Test Report-LGSP Test Report (1)_2023-04-13</t>
  </si>
  <si>
    <t>H1036-Test Report-LGSP Test Report (2)_2023-04-24</t>
  </si>
  <si>
    <t>H1036-Test Report-LGSP Test Report (3)_2023-04-27</t>
  </si>
  <si>
    <t>H1036-Test Report-LGSP FAT Punch Clearance_2023-04-24</t>
  </si>
  <si>
    <t>H1036-Test Report-LGSP FAT Punch Clearance_2023-04-27</t>
  </si>
  <si>
    <t>H1036-Test Report-LV Main Switchboard Test Record_230411</t>
  </si>
  <si>
    <t>H1036-Test Report-LVMSB FAT Punch Clearance_2023-04-11</t>
  </si>
  <si>
    <t>H1036-Test Report-RPB FAT Punch Clearance_2023-04-27</t>
  </si>
  <si>
    <t>H1036-Test Report-RPB_2023-04-27</t>
  </si>
  <si>
    <t>H1036-Test Report-SCB Test Record_2023-04-13</t>
  </si>
  <si>
    <t>DFN-402</t>
  </si>
  <si>
    <t>GEK-115404_Rev B</t>
  </si>
  <si>
    <t>GEK-115404_Rev B_Welding Preparation Requirements for Wabtec MDC Engines</t>
  </si>
  <si>
    <t>DFN-404</t>
  </si>
  <si>
    <t>S20021378_008_SYDD_PROPULSION_NSMV</t>
  </si>
  <si>
    <t>S20021378_008</t>
  </si>
  <si>
    <t>NSMV Main Engine to Generator Alignment</t>
  </si>
  <si>
    <t>B0</t>
  </si>
  <si>
    <t>DFN-406</t>
  </si>
  <si>
    <t>AF</t>
  </si>
  <si>
    <t>DFN-407</t>
  </si>
  <si>
    <t>KT-19500_1033_HM1_Schematic Diagram_B0_2023-03-20</t>
  </si>
  <si>
    <t>KT-19507_1033_HM2_Schematic Diagram_B0_2023-03-20</t>
  </si>
  <si>
    <t>KT-19515_1033_AMP_Schematic Diagram_B0_2023-03-15</t>
  </si>
  <si>
    <t>KT-19518_1033_DC110V UPS_I_2023-04-26</t>
  </si>
  <si>
    <t>KT-19521_1033_No.2 LV SWBD_Z_2023-03-29</t>
  </si>
  <si>
    <t>KT-19524_1033_Emergency SWBD_Y_2023-05-09</t>
  </si>
  <si>
    <t>KT-19525_1033_Main &amp; EMCY Load Center Panel_Z_2023-05-03</t>
  </si>
  <si>
    <t>KT-19527_1033_RPB(LPB) &amp; EMCY Stop Box_L_2023-03-21</t>
  </si>
  <si>
    <t>KT-19528_1033_Distribution Board_AF_2023-05-08</t>
  </si>
  <si>
    <t>Specification for Transformer_230509_4100kVA HV TR</t>
  </si>
  <si>
    <t>6kVA Transformer from KTE</t>
  </si>
  <si>
    <t>OD223064</t>
  </si>
  <si>
    <t>DFN-408</t>
  </si>
  <si>
    <t>OD223064_R1</t>
  </si>
  <si>
    <t>OD223064_R1_6kVA Specification for Transformer &amp; Drawing (LPD-21)</t>
  </si>
  <si>
    <t>NSMV_H1036_Engine 13 FAT Summary Report_G763230001</t>
  </si>
  <si>
    <t>NSMV_H1036_Engine 14 FAT Summary Report_G763230002</t>
  </si>
  <si>
    <t>NSMV_H1036_Engine 15 FAT Summary Report_G763230003</t>
  </si>
  <si>
    <t>NSMV_H1036_Engine 16 FAT Summary Report_G763230004</t>
  </si>
  <si>
    <t>5721791-A</t>
  </si>
  <si>
    <t>5721791-A_H1036_ABS_G763230001_Engine Certificate</t>
  </si>
  <si>
    <t>5738068-A</t>
  </si>
  <si>
    <t>5738068-A_H1036_ABS_G763230002_Engine Certificate</t>
  </si>
  <si>
    <t>5755460-A</t>
  </si>
  <si>
    <t>5755460-A_H1036_ABS_G763230003_Engine Certificate</t>
  </si>
  <si>
    <t>5770472-A</t>
  </si>
  <si>
    <t>5770472-A_H1036_ABS_G763230004_Engine Certificate</t>
  </si>
  <si>
    <t>16V250_Cert_EIAPP_NGETN15.7FBB-002</t>
  </si>
  <si>
    <t>84A242686AB</t>
  </si>
  <si>
    <t>84A242686AB_Rev 0_NGETN15.7FBB_NOx Technical File</t>
  </si>
  <si>
    <t>P20021339-009</t>
  </si>
  <si>
    <t>P20021339-009-Fault Matrix_MARAD_NMSV_H1033</t>
  </si>
  <si>
    <t>P20021339-009-Fault Matrix_MARAD_NMSV_H1033.xlsm</t>
  </si>
  <si>
    <t>P20021339-010</t>
  </si>
  <si>
    <t>P20021339-010-Fault Matrix_MARAD_NMSV_H1033</t>
  </si>
  <si>
    <t>P20021339-010-Fault Matrix_MARAD_NMSV_H1033.xlsm</t>
  </si>
  <si>
    <t>P22031365-009</t>
  </si>
  <si>
    <t>P22031365-009-CAMS Interface Fault Cartography_MARAD</t>
  </si>
  <si>
    <t>P22031365-009-CAMS Interface Fault Cartography_MARAD.xlsm</t>
  </si>
  <si>
    <t>P22031365-010</t>
  </si>
  <si>
    <t>P22031365-010-CAMS Interface Fault Cartography_MARAD</t>
  </si>
  <si>
    <t>P22031365-010-CAMS Interface Fault Cartography_MARAD.xlsm</t>
  </si>
  <si>
    <t>010</t>
  </si>
  <si>
    <t>DFN-410</t>
  </si>
  <si>
    <t>VCB MANUAL_2021.08</t>
  </si>
  <si>
    <t>KT-20121</t>
  </si>
  <si>
    <t>KT-20121_BCD Manual</t>
  </si>
  <si>
    <t>KT-20122</t>
  </si>
  <si>
    <t>KT-20122_ESBD Manual</t>
  </si>
  <si>
    <t>KT-20123</t>
  </si>
  <si>
    <t>KT-20123_LV SWBD Manual</t>
  </si>
  <si>
    <t>KT-20124</t>
  </si>
  <si>
    <t>KT-20124_STARTER Manual</t>
  </si>
  <si>
    <t>KT-20125</t>
  </si>
  <si>
    <t>KT-20125_Appendix</t>
  </si>
  <si>
    <t>KT-20126</t>
  </si>
  <si>
    <t>KT-20126_Safery Precautions</t>
  </si>
  <si>
    <t>Protection Relay User Manual &amp; VCB Manual</t>
  </si>
  <si>
    <t>DFN-411</t>
  </si>
  <si>
    <t>84A241135CR Rev C</t>
  </si>
  <si>
    <t>84A241135CR Rev C_Calibration Request Form</t>
  </si>
  <si>
    <t>2014502_Rev 08</t>
  </si>
  <si>
    <t>2014502_P&amp;ID_Rev 08</t>
  </si>
  <si>
    <t>Cert_COC_NGETN15.7FBB-002-R01</t>
  </si>
  <si>
    <t>84A243076AB</t>
  </si>
  <si>
    <t>84A243076AB_PGETN15.7FBB_Rev0</t>
  </si>
  <si>
    <t>Cert_COC_PGETN15.7FBB-002</t>
  </si>
  <si>
    <t>Cert_EIAPP_PGETN15.7FBB-002</t>
  </si>
  <si>
    <t>84A233947AB_Rev L</t>
  </si>
  <si>
    <t>84A233947AB_Rev L_Engine Data Sheet</t>
  </si>
  <si>
    <t>53806D</t>
  </si>
  <si>
    <t>53806D_GENSET 6DOF 10xT140-22</t>
  </si>
  <si>
    <t>SA</t>
  </si>
  <si>
    <t>Site Acceptance Tests - Supplement A</t>
  </si>
  <si>
    <t>T2449978</t>
  </si>
  <si>
    <t>84A240615DV_H1033_Diesel Engine DVTP_NSMV EMPIRE STATE 22AUG23_REV3_133379774</t>
  </si>
  <si>
    <t>84A240615DV L-V250MDC ABS DVTP_131450125</t>
  </si>
  <si>
    <t>T2449978_DVTP Diesel Engine Letter_142306040</t>
  </si>
  <si>
    <t>E95S20A041-001N</t>
  </si>
  <si>
    <t>H1033_Prop Motor Final Report</t>
  </si>
  <si>
    <t>E95S20A042-001N</t>
  </si>
  <si>
    <t>E95S20A041-002N</t>
  </si>
  <si>
    <t>H1034_Prop Motor Final Report</t>
  </si>
  <si>
    <t>E95S20A042-002N</t>
  </si>
  <si>
    <t>E95S21A030-001N</t>
  </si>
  <si>
    <t>H1035_Prop Motor Final Report</t>
  </si>
  <si>
    <t>E95S21A031-001N</t>
  </si>
  <si>
    <t>E95S21A030-002N_Rev A</t>
  </si>
  <si>
    <t>H1036_Prop Motor Final Report</t>
  </si>
  <si>
    <t>E95S21A031-002N</t>
  </si>
  <si>
    <t>DOC0088231_3</t>
  </si>
  <si>
    <t>EN-EPS PSTP</t>
  </si>
  <si>
    <t>S20021378_9</t>
  </si>
  <si>
    <t>P22031365_11</t>
  </si>
  <si>
    <t>CAMS Interface Fault Cartography_MARAD.xlsm</t>
  </si>
  <si>
    <t>P20021396_11</t>
  </si>
  <si>
    <t>DFN-415</t>
  </si>
  <si>
    <t>Final Reports</t>
  </si>
  <si>
    <t>H1033_Prop Motor Final Report 1</t>
  </si>
  <si>
    <t>H1033_Prop Motor Final Report 2</t>
  </si>
  <si>
    <t>H1034_Prop Motor Final Report 1</t>
  </si>
  <si>
    <t>H1034_Prop Motor Final Report 2</t>
  </si>
  <si>
    <t>H1035_Prop Motor Final Report 1</t>
  </si>
  <si>
    <t>H1035_Prop Motor Final Report 2</t>
  </si>
  <si>
    <t>H1036_Prop Motor Final Report 1</t>
  </si>
  <si>
    <t>H1036_Prop Motor Final Report 2</t>
  </si>
  <si>
    <t>E95S21A030-002N</t>
  </si>
  <si>
    <t>AV1P02C01_004_PMS Functional Description</t>
  </si>
  <si>
    <t>AV1P02C01_004_PMS Functional Description_127842459</t>
  </si>
  <si>
    <t>AV4P04C01SA</t>
  </si>
  <si>
    <t>AV4P04C01SA_000_Site Acceptance Tests - Supplement A</t>
  </si>
  <si>
    <t>AV4P04C01SA_000_Site Acceptance Tests - Supplement A_140800691</t>
  </si>
  <si>
    <t>AV4P04C01SA_001_Site Acceptance Tests - Supplement A</t>
  </si>
  <si>
    <t>DFN-416</t>
  </si>
  <si>
    <t>PMS Functional Description (ABS Stamped)</t>
  </si>
  <si>
    <t>Site Acceptance Tests - Supplement A (ABS Stamped)</t>
  </si>
  <si>
    <t>APP-20RAH078_Rev 12</t>
  </si>
  <si>
    <t>APP-20RAH078_Rev 13</t>
  </si>
  <si>
    <t>APP-20RAH078-Rev.12</t>
  </si>
  <si>
    <t>APP-20RAH078-Rev.13</t>
  </si>
  <si>
    <t>APP-20RAH078-Rev.13_FINAL (Hull no.1033)</t>
  </si>
  <si>
    <t>DFN_417</t>
  </si>
  <si>
    <t>84A240615DV_H1033_Diesel Engine DVTP_NSMV EMPIRE STATE 22AUG23_REV3</t>
  </si>
  <si>
    <t>84A240615DV_H1034_Diesel Engine DVTP_NSMV PATRIOT STATE 1SEP23_REV 2</t>
  </si>
  <si>
    <t>84A240615DV_H1035_Diesel Engine DVTP_NSMV STATE OF MAINE 1SEP23 REV 2</t>
  </si>
  <si>
    <t>84A240615DV_H1036_Diesel Engine DVTP_NSMV LONE STAR STATE 1SEP23 REV 2</t>
  </si>
  <si>
    <t>84A240615DV_H1037_Diesel Engine DVTP_NSMV GOLDEN STATE 1SEP23 REV 2</t>
  </si>
  <si>
    <t>NSMV V4 G1 GENSET CSS FAT Report</t>
  </si>
  <si>
    <t>NSMV V4 G2 GENSET CSS FAT Report</t>
  </si>
  <si>
    <t>NSMV V4 G3 GENSET CSS FAT Report</t>
  </si>
  <si>
    <t>NSMV V4 G4 GENSET CSS FAT Report</t>
  </si>
  <si>
    <t>5872940-A</t>
  </si>
  <si>
    <t>5872940-A_H1036_GENSET ABS Certificate V4 G1</t>
  </si>
  <si>
    <t>5911343-A</t>
  </si>
  <si>
    <t>5911343-A_H1036_GENSET ABS Certificate V4 G2</t>
  </si>
  <si>
    <t>5951088-A</t>
  </si>
  <si>
    <t>5951088-A_H1036_GENSET ABS Certificate V4 G3</t>
  </si>
  <si>
    <t>5979768-A</t>
  </si>
  <si>
    <t>5979768-A_H1036_GENSET ABS Certificate V4 G4</t>
  </si>
  <si>
    <t>4FKO1491_002</t>
  </si>
  <si>
    <t>Quick Panel User Guide</t>
  </si>
  <si>
    <t>DOC0073080_006</t>
  </si>
  <si>
    <t>DOC0073153_006</t>
  </si>
  <si>
    <t>DOC0073154_006</t>
  </si>
  <si>
    <t>DOC0073156_003</t>
  </si>
  <si>
    <t>DOC0073157_004</t>
  </si>
  <si>
    <t>DOC0073158_004</t>
  </si>
  <si>
    <t>DOC0073164_007</t>
  </si>
  <si>
    <t>DOC0073166_003</t>
  </si>
  <si>
    <t>ARW Schematic Diagram</t>
  </si>
  <si>
    <t>DOC0073171_002</t>
  </si>
  <si>
    <t>ARW Material List</t>
  </si>
  <si>
    <t>DOC0076867_002</t>
  </si>
  <si>
    <t>ARW General Arrangement</t>
  </si>
  <si>
    <t>DOC0073167_003</t>
  </si>
  <si>
    <t>PRW Schematic Diagram</t>
  </si>
  <si>
    <t>DOC0073168_003</t>
  </si>
  <si>
    <t>SRW Schematic Diagram</t>
  </si>
  <si>
    <t>DOC0073172_002</t>
  </si>
  <si>
    <t>PRW Material List</t>
  </si>
  <si>
    <t>DOC0073173_002</t>
  </si>
  <si>
    <t>SRW Material List</t>
  </si>
  <si>
    <t>DOC0073169_004</t>
  </si>
  <si>
    <t>ARE1 Schematic Diagram</t>
  </si>
  <si>
    <t>DOC0073174_002</t>
  </si>
  <si>
    <t>ARE1 Material List</t>
  </si>
  <si>
    <t>DOC0078134_004</t>
  </si>
  <si>
    <t>ARE2 Schematic Diagram</t>
  </si>
  <si>
    <t>DOC0078163_002</t>
  </si>
  <si>
    <t>ARE2 Material List</t>
  </si>
  <si>
    <t>DOC0073170_004</t>
  </si>
  <si>
    <t>ARL1 Schematic Diagram</t>
  </si>
  <si>
    <t>DOC0073175_002</t>
  </si>
  <si>
    <t>ARL1 Material List</t>
  </si>
  <si>
    <t>DOC0077602_003</t>
  </si>
  <si>
    <t>ARL2 Material List</t>
  </si>
  <si>
    <t>DOC0077603_003</t>
  </si>
  <si>
    <t>ARL1 2 General Arrangement</t>
  </si>
  <si>
    <t>DOC0073178_000</t>
  </si>
  <si>
    <t>Maintenance Procedure Remote Control</t>
  </si>
  <si>
    <t>DOC0073179_000</t>
  </si>
  <si>
    <t>Maintenance Procedure Local Control</t>
  </si>
  <si>
    <t>DOC0073188_007</t>
  </si>
  <si>
    <t>DOC0073191_002</t>
  </si>
  <si>
    <t>DOC0073194_007</t>
  </si>
  <si>
    <t>DOC0073197_002</t>
  </si>
  <si>
    <t>DOC0075487_002</t>
  </si>
  <si>
    <t>DOC0076862_001</t>
  </si>
  <si>
    <t>DUM2_GA</t>
  </si>
  <si>
    <t>DOC0073189_002</t>
  </si>
  <si>
    <t>DOC0073195_002</t>
  </si>
  <si>
    <t>DOC0073190_004</t>
  </si>
  <si>
    <t>DOC0073196_004</t>
  </si>
  <si>
    <t>DOC0077455_003</t>
  </si>
  <si>
    <t>ART Schematic Diagram</t>
  </si>
  <si>
    <t>DOC0078141_002</t>
  </si>
  <si>
    <t>ART Material List</t>
  </si>
  <si>
    <t>DOC0080655_003</t>
  </si>
  <si>
    <t>TLGR Schematic Diagram</t>
  </si>
  <si>
    <t>DOC0087598_005</t>
  </si>
  <si>
    <t>C TD 20 09 004_1</t>
  </si>
  <si>
    <t>C TD 20 09 004 # 1_Thermal Data Calculation</t>
  </si>
  <si>
    <t>4A0121350</t>
  </si>
  <si>
    <t>TLGR Transmitter WD, Panel Mounted</t>
  </si>
  <si>
    <t>4A0134731</t>
  </si>
  <si>
    <t>TLGR Control Unit Type BUK-C</t>
  </si>
  <si>
    <t>A0132960</t>
  </si>
  <si>
    <t>TLGR Dial BUK-C</t>
  </si>
  <si>
    <t>A0133526</t>
  </si>
  <si>
    <t>TLGR Dial Tel Pointer WT 11-Comm</t>
  </si>
  <si>
    <t>A0134717</t>
  </si>
  <si>
    <t>TLGR Control Unit BUK-C Wiring Diagram</t>
  </si>
  <si>
    <t>O MC 20 09 004_009</t>
  </si>
  <si>
    <t>O MC 20 09 004_009 - Technical Specification</t>
  </si>
  <si>
    <t>P20021339_011</t>
  </si>
  <si>
    <t>Fault Matrix_H1033</t>
  </si>
  <si>
    <t>S21029113_004</t>
  </si>
  <si>
    <t>ROP Specification NSMV</t>
  </si>
  <si>
    <t>Specification for Transformer_230911_As-built</t>
  </si>
  <si>
    <t>Telegraph GA's (TLGR)</t>
  </si>
  <si>
    <t>Transmitter WD, Panel Mounted</t>
  </si>
  <si>
    <t>Control Unit Type BUK-C</t>
  </si>
  <si>
    <t>Dial BUK-C</t>
  </si>
  <si>
    <t>Dial Tel Pointer WT 11-Comm</t>
  </si>
  <si>
    <t>DFN-419</t>
  </si>
  <si>
    <t>TLGR_Control Unit BUK-C_Wiring Diagram</t>
  </si>
  <si>
    <t>4FKO1491</t>
  </si>
  <si>
    <t>C TD 20 09 004</t>
  </si>
  <si>
    <t>Thermal Data Calculation</t>
  </si>
  <si>
    <t>DFN-418</t>
  </si>
  <si>
    <t>The latest version is located in the EPS SLD</t>
  </si>
  <si>
    <t>006
006</t>
  </si>
  <si>
    <t>Maintenance Procedures</t>
  </si>
  <si>
    <t>Remote Control</t>
  </si>
  <si>
    <t>Local Control</t>
  </si>
  <si>
    <t>DOC0073178</t>
  </si>
  <si>
    <t>DOC0073179</t>
  </si>
  <si>
    <t>230911</t>
  </si>
  <si>
    <t>SV1P01C01S0202_003</t>
  </si>
  <si>
    <t>SV1P01C01S0202_003_LVMSB &amp; 120V ER SWBD_SLD</t>
  </si>
  <si>
    <t>SV1P01C01S0203_003</t>
  </si>
  <si>
    <t>SV1P01C01S0203_003_440V &amp; 120V Load Center Panel_SLD</t>
  </si>
  <si>
    <t>SV1P01C01S0204_003</t>
  </si>
  <si>
    <t>SV1P01C01S0204_003_Emergency Switchboard_SLD</t>
  </si>
  <si>
    <t>SV1P01C01S0208_003</t>
  </si>
  <si>
    <t>SV1P01C01S0208_003_PD_SLD</t>
  </si>
  <si>
    <t>SV1P01C01S0210_003</t>
  </si>
  <si>
    <t>SV1P01C01S0210_003_AC120-240V LPD _SLD</t>
  </si>
  <si>
    <t>SV1P01C01S0211_003</t>
  </si>
  <si>
    <t>SV1P01C01S0211_003_LGSP_SLD</t>
  </si>
  <si>
    <t>SV1P01C01S0212_002</t>
  </si>
  <si>
    <t>SV1P01C01S0212_002_Battery SWBD_SLD</t>
  </si>
  <si>
    <t>SV1P01C02S0001_006</t>
  </si>
  <si>
    <t>SV1P01C02S0001_006_HVMSB and EPS Cable Interconnection</t>
  </si>
  <si>
    <t>SV1P01C02S0002_005</t>
  </si>
  <si>
    <t>SV1P01C02S0002_005_LVMSB &amp; 120V ER SWBD Cable Interconnection</t>
  </si>
  <si>
    <t>SV1P01C02S0003_005</t>
  </si>
  <si>
    <t>SV1P01C02S0003_005_440V &amp; 120V Load Center Panel Interconnection</t>
  </si>
  <si>
    <t>SV1P01C02S0004_005</t>
  </si>
  <si>
    <t>SV1P01C02S0004_005_EMGY SWBD Cable Interconnection</t>
  </si>
  <si>
    <t>SV1P01C02S0008_005</t>
  </si>
  <si>
    <t>SV1P01C02S0008_005_ PD Cable Interconnection</t>
  </si>
  <si>
    <t>SV1P01C02S0010_005</t>
  </si>
  <si>
    <t>SV1P01C02S0010_005_AC120-240V LPD _Interconnection</t>
  </si>
  <si>
    <t>SV1P01C02S0011_005</t>
  </si>
  <si>
    <t>SV1P01C02S0011_005_LGSP_Interconnection</t>
  </si>
  <si>
    <t>SV1P01C02S0012_003</t>
  </si>
  <si>
    <t>SV1P01C02S0012_003_BATT SWBD Cable Interconnection</t>
  </si>
  <si>
    <t>DFN-420</t>
  </si>
  <si>
    <t>KT-19512_1033_AMP_Assembly Drawing_B0_2023-10-04</t>
  </si>
  <si>
    <t>KT-19513_1033_AMP_Equipment List_A5_2023-10-04</t>
  </si>
  <si>
    <t>KT-19514_1033_AMP_Interconnection Diagram_A9_2023-10-04</t>
  </si>
  <si>
    <t>KT-19515_1033_AMP_Schematic Diagram_B1_2023-09-18</t>
  </si>
  <si>
    <t>KT-19516_1033_AMP_SEPAM Logic Diagram_A8_2023-09-18</t>
  </si>
  <si>
    <t>KT-19517_1033_AMP_Single Line Diagram_A7_2023-10-04</t>
  </si>
  <si>
    <t>KT-19498_1033_HM1_Assembly Drawing_A8_2023-09-18</t>
  </si>
  <si>
    <t>KT-19499_1033_HM1_Single Line Diagram_B0_2023-09-18</t>
  </si>
  <si>
    <t>KT-19500_1033_HM1_Schematic Diagram_B1_2023-09-18</t>
  </si>
  <si>
    <t>KT-19501_1033_HM1_Interconnection Diagram_A9_2023-09-18</t>
  </si>
  <si>
    <t>KT-19502_1033_HM1_Terminal Panel_A10_2023-09-18</t>
  </si>
  <si>
    <t>KT-19503_1033_HM1_SEPAM Logic Diagram_A9_2023-09-18</t>
  </si>
  <si>
    <t>KT-19504_1033_HM1_Equipment List_A7_2023-09-18</t>
  </si>
  <si>
    <t>KT-19505_1033_HM2_Assembly Drawing_A7_2023-09-18</t>
  </si>
  <si>
    <t>KT-19506_1033_HM2_Single Line Diagram_B0_2023-09-18</t>
  </si>
  <si>
    <t>KT-19507_1033_HM2_Schematic Diagram_B1_2023-09-18</t>
  </si>
  <si>
    <t>KT-19508_1033_HM2_Interconnection Diagram_A9_2023-09-18</t>
  </si>
  <si>
    <t>KT-19509_1033_HM2_Terminal Panel_A9_2023-09-18</t>
  </si>
  <si>
    <t>KT-19510_1033_HM2_SEPAM Logic Diagram_A9_2023-09-18</t>
  </si>
  <si>
    <t>KT-19511_1033_HM2_Equipment List_A7_2023-09-18</t>
  </si>
  <si>
    <t>KT-19520_1033_No.1 LV SWBD_AA_2023-10-05</t>
  </si>
  <si>
    <t>KT-19521_1033_No.2 LV SWBD_AB_2023-10-05</t>
  </si>
  <si>
    <t>KT-19524_1033_Emergency SWBD_AB_2023-10-10</t>
  </si>
  <si>
    <t>KT-19525_1033_Main &amp; EMCY Load Center Panel_AA_2023-10-10</t>
  </si>
  <si>
    <t>KT-19527_1033_RPB(LPB) &amp; EMCY Stop Box_M_2023-10-05</t>
  </si>
  <si>
    <t>KT-19527_1033_Starter (LGSP)_W_2023-10-05</t>
  </si>
  <si>
    <t>KT-19528_1033_Distribution Board_AI_2023-09-27</t>
  </si>
  <si>
    <t>KT-19529_1033_Battery Switchboard_O_2023-10-05</t>
  </si>
  <si>
    <t>KT-19530_1033_Test Panel_I_2023-10-05</t>
  </si>
  <si>
    <t>KT-19531_1033_Shore Connection Box_I_2023-10-05</t>
  </si>
  <si>
    <t>DFN-421</t>
  </si>
  <si>
    <t>B1</t>
  </si>
  <si>
    <t>AA
AB</t>
  </si>
  <si>
    <t>AA</t>
  </si>
  <si>
    <t>AI</t>
  </si>
  <si>
    <t>OD222171_MARAD_45kVA_MPS TX_As-built</t>
  </si>
  <si>
    <t>OD223064_MARAD_6kVA_LPD-21 TX_As-built</t>
  </si>
  <si>
    <t>SID19056-1_Specification for Transformer_230920_170kVA LV TR_As-built</t>
  </si>
  <si>
    <t>SID19056-2_Specification for Transformer_230920_200kVA EMCY TR_As-built</t>
  </si>
  <si>
    <t>SID19056-3_Specification for transformer_230920_45kVA EMCY LC TR</t>
  </si>
  <si>
    <t>SID19056-4_Specification for transformer_220920_20kVA No.3 Recp TR_As-built</t>
  </si>
  <si>
    <t>SID19056-5_Specification for transformer_230920_150kVA No.2 LCP TR_As-built</t>
  </si>
  <si>
    <t>SID19056-6_Specification for Transformer_230920_160kVA No.1 Recp TR_As-built</t>
  </si>
  <si>
    <t>SID19056-7_Specification for transformer_230920_100kVA No.1 LCP TR_As-built</t>
  </si>
  <si>
    <t>SID19056-8_Specification for transformer_230920_130kVA No.2 Recp TR_As-built</t>
  </si>
  <si>
    <t>SID19056-9_Specification for Transformer_230920_160kVA Laundry TR</t>
  </si>
  <si>
    <t>SIM19101-1_Specification for Transformer_230911_4100kVA HV TR_As-built</t>
  </si>
  <si>
    <t>DFN-422</t>
  </si>
  <si>
    <t>Available (to 1033-POS-0096221_TRANSFORMER_R4) Completed 24 June 2020</t>
  </si>
  <si>
    <t>230920</t>
  </si>
  <si>
    <t>LV Service - 150kVA FZ 1&amp;5</t>
  </si>
  <si>
    <t>SV1P01C02S0001_007</t>
  </si>
  <si>
    <t>DFN-423</t>
  </si>
  <si>
    <t>DOC0075487-003</t>
  </si>
  <si>
    <t>DOC0075487-003-DUM1_GA</t>
  </si>
  <si>
    <t>E41S20A041B_Rev C</t>
  </si>
  <si>
    <t>E41S20A041B_Rev C - Torsional Dynamic Analysis</t>
  </si>
  <si>
    <t>DFN-424</t>
  </si>
  <si>
    <t>84A231868CV Rev D</t>
  </si>
  <si>
    <t>84A231868CV Rev D_Commissioning Checklists &amp; Validation Procedure</t>
  </si>
  <si>
    <t>2014521_5</t>
  </si>
  <si>
    <t>2014521_5 - Customer Hose Connections</t>
  </si>
  <si>
    <t>2014529_3</t>
  </si>
  <si>
    <t>2014529_3 - NSMV Hose Adapter List</t>
  </si>
  <si>
    <t>G763230005</t>
  </si>
  <si>
    <t>NSMV_H1037_Engine 17 FAT Summary Report_G763230005</t>
  </si>
  <si>
    <t>G763230006</t>
  </si>
  <si>
    <t>NSMV_H1037_Engine 18 FAT Summary Report_G763230006</t>
  </si>
  <si>
    <t>G763230007</t>
  </si>
  <si>
    <t>NSMV_H1037_Engine 19 FAT Summary Report_G763230007</t>
  </si>
  <si>
    <t>G763230008</t>
  </si>
  <si>
    <t>NSMV_H1037_Engine 20 FAT Summary Report_G763230008</t>
  </si>
  <si>
    <t>5982149-A</t>
  </si>
  <si>
    <t>5982149-A_H1037_ABS_G763230005_Engine Certificate</t>
  </si>
  <si>
    <t>5986816-A</t>
  </si>
  <si>
    <t>5986816-A_H1037_ABS_G763230006_Engine Certificate</t>
  </si>
  <si>
    <t>6037706-A</t>
  </si>
  <si>
    <t>6037706-A_H1037_ABS_G763230007_Engine Certificate</t>
  </si>
  <si>
    <t>6047909-A</t>
  </si>
  <si>
    <t>6047909-A_H1037_ABS_G763230008_Engine Certificate</t>
  </si>
  <si>
    <t>MD&amp;SDOC (440,220V DISTRIBUTION BOARDS)_R1</t>
  </si>
  <si>
    <t>MD&amp;SDOC (BATTERY SWITCHBOARD)_R0</t>
  </si>
  <si>
    <t>MD&amp;SDOC (LOCAL MOTOR CONTROL CENTERS AND STARTERS)_R1</t>
  </si>
  <si>
    <t>MD&amp;SDOC (POWER PLANT_HIGH VOLTAGE)_R1</t>
  </si>
  <si>
    <t>MD&amp;SDOC (REMOTE PUSH BUTTON BOX)_R1</t>
  </si>
  <si>
    <t>MD&amp;SDOC (SHIP SERVICE EMERGENCY SWITCHBOARD)_R0</t>
  </si>
  <si>
    <t>MD&amp;SDOC (SHIP SERVICE SWITCHBOARDS)_R1</t>
  </si>
  <si>
    <t>MD&amp;SDOC (TEST PANEL)_R0</t>
  </si>
  <si>
    <t>MD&amp;SDOC_Remote &amp; Process H1033_001_signed</t>
  </si>
  <si>
    <t>MD&amp;SDOC_Remote &amp; Process H1034_001_signed</t>
  </si>
  <si>
    <t>MD&amp;SDOC_Rev.1_4.1MVA &amp; LV Ship service TX</t>
  </si>
  <si>
    <t>MD&amp;SDOC_Rev.1_5.4MVA Propulsion TX</t>
  </si>
  <si>
    <t>MD&amp;SDOC_S033_Alternator</t>
  </si>
  <si>
    <t>MD &amp; SDoC</t>
  </si>
  <si>
    <t>440,220V DISTRIBUTION BOARDS</t>
  </si>
  <si>
    <t>BATTERY SWITCHBOARD</t>
  </si>
  <si>
    <t>LOCAL MOTOR CONTROL CENTERS AND STARTERS</t>
  </si>
  <si>
    <t>REMOTE PUSH BUTTON BOX</t>
  </si>
  <si>
    <t>SHIP SERVICE EMERGENCY SWITCHBOARD</t>
  </si>
  <si>
    <t>SHIP SERVICE SWITCHBOARDS</t>
  </si>
  <si>
    <t>DFN-426</t>
  </si>
  <si>
    <t>4.1 MVA &amp; LV Ship Service</t>
  </si>
  <si>
    <t>POWER PLANT_HIGH VOLTAGE</t>
  </si>
  <si>
    <t>MD &amp; SDOC</t>
  </si>
  <si>
    <t>MD&amp;SDOC (440,220V DISTRIBUTION BOARDS)_H1033_FINAL</t>
  </si>
  <si>
    <t>MD&amp;SDOC (BATTERY SWITCHBOARD)_H1033_FINAL</t>
  </si>
  <si>
    <t>MD&amp;SDOC (LOCAL MOTOR CONTROL CENTERS AND STARTERS)_H1033_FINAL</t>
  </si>
  <si>
    <t>MD&amp;SDOC (POWER PLANT_HIGH VOLTAGE)_H1033_FINAL</t>
  </si>
  <si>
    <t>MD&amp;SDOC (REMOTE PUSH BUTTON BOX)_H1033_FINAL</t>
  </si>
  <si>
    <t>MD&amp;SDOC (SHIP SERVICE EMERGENCY SWITCHBOARD)_H1033_FINAL</t>
  </si>
  <si>
    <t>MD&amp;SDOC (SHIP SERVICE SWITCHBOARDS)_H1033_FINAL</t>
  </si>
  <si>
    <t>MD&amp;SDOC (TEST PANEL)_H1033_FINAL</t>
  </si>
  <si>
    <t>MD&amp;SDOC_format Rev.2_5.4MVA Propulstion TX</t>
  </si>
  <si>
    <t>H1033_3499a_UPS MD &amp; SDOC</t>
  </si>
  <si>
    <t>Final</t>
  </si>
  <si>
    <t>DFN-427</t>
  </si>
  <si>
    <t>MD &amp; SDOC_H1003_Motor_20A041_001,20A041_002</t>
  </si>
  <si>
    <t>MD &amp; SDOC_H1033_PMS_Signed</t>
  </si>
  <si>
    <t>MD &amp; SDOC_Remote &amp; Process H1033_004_Signed</t>
  </si>
  <si>
    <t>DFN-428</t>
  </si>
  <si>
    <t>20A041&amp; 20A042</t>
  </si>
  <si>
    <t>20A041 &amp; 20A042</t>
  </si>
  <si>
    <t>S033</t>
  </si>
  <si>
    <t>SD 20 09 004 - 1_# 1_(S033)_DBR_MD &amp; SDOC</t>
  </si>
  <si>
    <t>DFN-429</t>
  </si>
  <si>
    <t>MD &amp; SDOC_H1033_Prop Converter_C-015321 MARAD</t>
  </si>
  <si>
    <t>AV4P02C03_Vessel #5_Alarm System Test Procedure_Signed</t>
  </si>
  <si>
    <t>AV4P02C04</t>
  </si>
  <si>
    <t>AV4P02C04_Vessel #5_Arch &amp; HMI Test Procedure_Signed</t>
  </si>
  <si>
    <t>AV4P02C05_Vessel #5_PMS_Test Procedure_Signed</t>
  </si>
  <si>
    <t>DFN-430</t>
  </si>
  <si>
    <t>Vessel #5 Alarm &amp; Monitoring System Test Procedure_Signed</t>
  </si>
  <si>
    <t>Vessel #5_Architecture &amp; HMI Test Report_Signed</t>
  </si>
  <si>
    <t>Vessel #5_Power Management System Test Procedure_Signed</t>
  </si>
  <si>
    <t>Switchboards</t>
  </si>
  <si>
    <t>H1037-Test Report-Distribution Board Function Test Report (1)_2023-10-16</t>
  </si>
  <si>
    <t>H1037-Test Report-Distribution Board Function Test Report (1)_FAT Punch Clearance_2023-10-16</t>
  </si>
  <si>
    <t>H1037-Test Report-Distribution Board Function Test Report (2)_2023-10-16</t>
  </si>
  <si>
    <t>H1037-Test Report-Distribution Board Function Test Report (3)_2023-10-23</t>
  </si>
  <si>
    <t>H1037-Test Report-Distribution Board Function Test Report (4)_2023-10-26</t>
  </si>
  <si>
    <t>H1037-Test Report-Distribution Board Function Test Report (RORO)_2023-10-26</t>
  </si>
  <si>
    <t>H1037-Test Report-LV Main Switchboard Test Record_231128</t>
  </si>
  <si>
    <t>DFN-431</t>
  </si>
  <si>
    <t>H1037</t>
  </si>
  <si>
    <t>H1033 - FAT Report</t>
  </si>
  <si>
    <t>H1034 - FAT Report</t>
  </si>
  <si>
    <t>H1035 - FAT Report</t>
  </si>
  <si>
    <t>H1036 - FAT Report</t>
  </si>
  <si>
    <t>H1037 - FAT Report</t>
  </si>
  <si>
    <t>DFN-432</t>
  </si>
  <si>
    <t>H1037 45kVA Inspection Equipment List</t>
  </si>
  <si>
    <t>H1037 45kVA FAT Inspection Report</t>
  </si>
  <si>
    <t>H1037 45kVA Internal Test Reports_2023-09-08</t>
  </si>
  <si>
    <t>H1037 45kVA Official Test Reports_2023-09-14</t>
  </si>
  <si>
    <t>H1037 45kVA Punch Clearance_2023-09-18</t>
  </si>
  <si>
    <t>H1037_6kVA TR_Test Reports_2023-10-23</t>
  </si>
  <si>
    <t>3499a_H1033_UPS MD &amp; SDOC</t>
  </si>
  <si>
    <t>DFN-433</t>
  </si>
  <si>
    <t>H1037-Test Report-Battery SWBD Test Record_2023-12-13</t>
  </si>
  <si>
    <t>H1037-Test Report-DC110V UPS Test Record_2023-12-13</t>
  </si>
  <si>
    <t>H1037-Test Report-Emcy Load Center Panel_2023-12-13</t>
  </si>
  <si>
    <t>H1037-Test Report-Emcy Switchboard_2023-12-12</t>
  </si>
  <si>
    <t>H1037-Test Report-HV Main Switchboard &amp; AMP Function Test_2023-12-15</t>
  </si>
  <si>
    <t>H1037-Test Report-Load Center Panel_2023-12-13</t>
  </si>
  <si>
    <t>H1037-Test Report-SCB Test Record_2023-12-12</t>
  </si>
  <si>
    <t>DFN-434</t>
  </si>
  <si>
    <t>6144815-A</t>
  </si>
  <si>
    <t>1037_LVMSB_ABS_Equipment Certification Report</t>
  </si>
  <si>
    <t>6165757-A</t>
  </si>
  <si>
    <t>1037_ESBD_ABS_Equipment Certification Report</t>
  </si>
  <si>
    <t>6168753-A</t>
  </si>
  <si>
    <t>1037_BTRY SWBD_ABS_Equipment Certification Report</t>
  </si>
  <si>
    <t>6168753-B</t>
  </si>
  <si>
    <t>1037_Main LCP_ABS_Equipment Certification Report</t>
  </si>
  <si>
    <t>6168753-C</t>
  </si>
  <si>
    <t>1037_DC110V UPS_ABS_Equipment Certification Report</t>
  </si>
  <si>
    <t>6168753-D</t>
  </si>
  <si>
    <t>1037_EMCY LCP_ABS_Equipment Certification Report</t>
  </si>
  <si>
    <t>6170062-A</t>
  </si>
  <si>
    <t>1037_HVMSB_AMP_ABS_Equipment Certification Report</t>
  </si>
  <si>
    <t>5468870-A</t>
  </si>
  <si>
    <t>5699293-A</t>
  </si>
  <si>
    <t>DFN-435</t>
  </si>
  <si>
    <t>T2491944</t>
  </si>
  <si>
    <t>T2491944 LTR_145770043</t>
  </si>
  <si>
    <t>DOC0087598-005</t>
  </si>
  <si>
    <t>DOC0087598-005-EPS DVTP_watermarked_145768828</t>
  </si>
  <si>
    <t>DOC0088231-003</t>
  </si>
  <si>
    <t>DOC0088231-003-EN-EPS PSTP_watermarked_145765763</t>
  </si>
  <si>
    <t>S20021378_009</t>
  </si>
  <si>
    <t>S20021378_009_SYDD_PROPULSION_NSMV_145739551</t>
  </si>
  <si>
    <t>DFN-436</t>
  </si>
  <si>
    <t>H1034 - Vessel 5</t>
  </si>
  <si>
    <t>6103565-A</t>
  </si>
  <si>
    <t>DFN-437</t>
  </si>
  <si>
    <t>6103565-A_H1037_PMS_ABS Equipment Certification Report</t>
  </si>
  <si>
    <t>DFN-438</t>
  </si>
  <si>
    <t>DFN-439</t>
  </si>
  <si>
    <t>6203739-A</t>
  </si>
  <si>
    <t>240119</t>
  </si>
  <si>
    <t>LV Service - 150kVA FZ 1&amp;6</t>
  </si>
  <si>
    <t>H1037_Service Transformers_FAT Report_DT-1</t>
  </si>
  <si>
    <t>H1037_Service Transformers_FAT Report_DT-2</t>
  </si>
  <si>
    <t>H1037_Service Transformers_FAT Report_MT</t>
  </si>
  <si>
    <t>H1037_Service Transformers_Material List_DT-1</t>
  </si>
  <si>
    <t>H1037_Service Transformers_Material List_DT-2</t>
  </si>
  <si>
    <t>H1037_Service Transformers_Material List_MT</t>
  </si>
  <si>
    <t>H1037_Service Transformers_Inspection Equipment List</t>
  </si>
  <si>
    <t>H1037_Service Transformers_Weight Photos</t>
  </si>
  <si>
    <t>SID19056-1_Specification for Transformer_240122_170kVA LV TR</t>
  </si>
  <si>
    <t>SID19056-2_Specification for Transformer_240122_200kVA EMCY TR</t>
  </si>
  <si>
    <t>SID19056-3_Specification for Transformer_240122_45kVA EMCY LC TR</t>
  </si>
  <si>
    <t>SID19056-4_Specification for Transformer_240122_20kVA No.3 Recp TR</t>
  </si>
  <si>
    <t>SID19056-5_Specification for Transformer_240122_150kVA No.2 LCP TR</t>
  </si>
  <si>
    <t>SID19056-6_Specification for Transformer_240122_160kVA No.1 Recp TR</t>
  </si>
  <si>
    <t>SID19056-7_Specification for Transformer_240122_100kVA No.1 LCP TR</t>
  </si>
  <si>
    <t>SID19056-8_Specification for Transformer_240122_130kVA No.2 Recp TR</t>
  </si>
  <si>
    <t>SID19056-9_Specification for Transformer_240122_160kVA Laundry TR</t>
  </si>
  <si>
    <t>SIM19101-1_Specification for Transformer_240119_4100kVA HV TR</t>
  </si>
  <si>
    <t>6203739-A_H1037_Service Transformer_ABS_Equipment Certification Report</t>
  </si>
  <si>
    <t>H1037-Test Report-LGSP Test Report (1)_2024-01-23</t>
  </si>
  <si>
    <t>H1037-Test Report-LGSP Test Report (2)_2024-01-26</t>
  </si>
  <si>
    <t>H1037-Test Report-LGSP Test Report (3)_2024-01-30</t>
  </si>
  <si>
    <t>H1037-Test Report-RPB_2024-01-30</t>
  </si>
  <si>
    <t>H1037-Test Report-Test Panel_2024-01-30</t>
  </si>
  <si>
    <t>KT-19525_1033_Main &amp; EMCY Load Center Panel_AC_2024-01-31</t>
  </si>
  <si>
    <t>RPB</t>
  </si>
  <si>
    <t>DFN-440</t>
  </si>
  <si>
    <t>AC</t>
  </si>
  <si>
    <t>KT-19528_1033_Distribution Board_AK_2024-02-07</t>
  </si>
  <si>
    <t>AK</t>
  </si>
  <si>
    <t>DFN-441</t>
  </si>
  <si>
    <t>DFN-442</t>
  </si>
  <si>
    <t>AV4P04C01_002</t>
  </si>
  <si>
    <t>AV4P04C01_002_Site Acceptance Tests</t>
  </si>
  <si>
    <t>SV1P01C01S04</t>
  </si>
  <si>
    <t>DFN-444</t>
  </si>
  <si>
    <t>NSMV V5 G1 GENSET CSS Report Signed</t>
  </si>
  <si>
    <t>NSMV V5 G2 GENSET CSS Report Signed</t>
  </si>
  <si>
    <t>NSMV V5 G3 GENSET CSS Report Signed</t>
  </si>
  <si>
    <t>NSMV V5 G4 GENSET CSS Report Signed</t>
  </si>
  <si>
    <t>6145848-A</t>
  </si>
  <si>
    <t>6145848-A_H1037_GENSET ABS Certificate V5 G1</t>
  </si>
  <si>
    <t>6114050-A.R1</t>
  </si>
  <si>
    <t>6114050-A.R1_H1037_GENSET ABS Certificate V5 G2</t>
  </si>
  <si>
    <t>6126591-A</t>
  </si>
  <si>
    <t>6126591-A_H1037_GENSET ABS Certificate V5 G3</t>
  </si>
  <si>
    <t>6157989-A</t>
  </si>
  <si>
    <t>6157989-A_H1037_GENSET ABS Certificate V5 G4</t>
  </si>
  <si>
    <t>SV1P01C01S03_004</t>
  </si>
  <si>
    <t>SV1P01C01S03_004_Earthing Diagram</t>
  </si>
  <si>
    <t>84A240615DV_H1034</t>
  </si>
  <si>
    <t>84A240615DV_H1034_Diesel Engine DVTP_NSMV PATRIOT STATE 1SEP23_REV 2_141330639</t>
  </si>
  <si>
    <t>84A240615DV_H1035</t>
  </si>
  <si>
    <t>84A240615DV_H1035_Diesel Engine DVTP_NSMV STATE OF MAINE 1SEP23 REV 2_141324954</t>
  </si>
  <si>
    <t>84A240615DV_H1036</t>
  </si>
  <si>
    <t>84A240615DV_H1036_Diesel Engine DVTP_NSMV LONE STAR STATE 1SEP23 REV 2_141323616</t>
  </si>
  <si>
    <t>84A240615DV_H1037</t>
  </si>
  <si>
    <t>84A240615DV_H1037_Diesel Engine DVTP_NSMV GOLDEN STATE 1SEP23 REV 2_141329420</t>
  </si>
  <si>
    <t>T2525827 WABTEC DVTP_147941704</t>
  </si>
  <si>
    <t>T2525827 Wabtec DVTP10-92_147945531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</si>
</sst>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39">
    <font>
      <sz val="10"/>
      <name val="GE Inspir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name val="GE Inspira"/>
      <family val="2"/>
    </font>
    <font>
      <b/>
      <sz val="10"/>
      <name val="GE Inspira"/>
      <family val="2"/>
    </font>
    <font>
      <b/>
      <sz val="13"/>
      <name val="GE Inspira"/>
      <family val="2"/>
    </font>
    <font>
      <b/>
      <sz val="8"/>
      <name val="Arial"/>
      <family val="2"/>
    </font>
    <font>
      <b/>
      <sz val="18"/>
      <color theme="3"/>
      <name val="Cambria"/>
      <family val="2"/>
      <scheme val="major"/>
    </font>
    <font>
      <b/>
      <sz val="15"/>
      <color theme="3"/>
      <name val="GE Inspira"/>
      <family val="2"/>
    </font>
    <font>
      <b/>
      <sz val="13"/>
      <color theme="3"/>
      <name val="GE Inspira"/>
      <family val="2"/>
    </font>
    <font>
      <b/>
      <sz val="11"/>
      <color theme="3"/>
      <name val="GE Inspira"/>
      <family val="2"/>
    </font>
    <font>
      <sz val="8"/>
      <name val="GE Inspira"/>
      <family val="2"/>
    </font>
    <font>
      <b/>
      <sz val="14"/>
      <name val="GE Inspira"/>
      <family val="2"/>
    </font>
    <font>
      <sz val="10"/>
      <color theme="1"/>
      <name val="GE Inspira"/>
      <family val="2"/>
    </font>
    <font>
      <sz val="9"/>
      <color theme="1"/>
      <name val="GE Inspira"/>
      <family val="2"/>
    </font>
    <font>
      <sz val="11"/>
      <color theme="1"/>
      <name val="GE Inspira"/>
      <family val="2"/>
    </font>
    <font>
      <sz val="10"/>
      <name val="GE Inspira"/>
    </font>
    <font>
      <b/>
      <sz val="12"/>
      <color theme="1"/>
      <name val="GE Inspira"/>
      <family val="2"/>
    </font>
    <font>
      <b/>
      <sz val="10"/>
      <name val="GE Inspira"/>
    </font>
    <font>
      <sz val="9"/>
      <color theme="1"/>
      <name val="Arial"/>
      <family val="2"/>
    </font>
    <font>
      <b/>
      <strike/>
      <sz val="10"/>
      <name val="GE Inspira"/>
      <family val="2"/>
    </font>
    <font>
      <strike/>
      <sz val="10"/>
      <name val="GE Inspira"/>
      <family val="2"/>
    </font>
    <font>
      <sz val="10"/>
      <name val="Arial"/>
      <family val="2"/>
    </font>
    <font>
      <sz val="10"/>
      <name val="GE Inspira"/>
      <family val="2"/>
    </font>
    <font>
      <sz val="11"/>
      <color theme="1"/>
      <name val="Calibri"/>
      <family val="2"/>
    </font>
    <font>
      <i/>
      <sz val="10"/>
      <color theme="1"/>
      <name val="GE Inspira"/>
    </font>
    <font>
      <i/>
      <sz val="10"/>
      <name val="GE Inspira"/>
    </font>
    <font>
      <sz val="10"/>
      <color theme="1"/>
      <name val="Arial"/>
      <family val="2"/>
    </font>
  </fonts>
  <fills count="5">
    <fill>
      <patternFill patternType="none"/>
    </fill>
    <fill>
      <patternFill patternType="gray125"/>
    </fill>
    <fill>
      <patternFill patternType="solid">
        <fgColor indexed="22"/>
        <bgColor indexed="64"/>
      </patternFill>
    </fill>
    <fill>
      <patternFill patternType="solid">
        <fgColor theme="4" tint="0.79998168889431442"/>
        <bgColor indexed="64"/>
      </patternFill>
    </fill>
    <fill>
      <patternFill patternType="solid">
        <fgColor theme="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bottom style="thin">
        <color indexed="64"/>
      </bottom>
      <diagonal/>
    </border>
  </borders>
  <cellStyleXfs count="24">
    <xf numFmtId="0" fontId="0" fillId="0" borderId="0"/>
    <xf numFmtId="0" fontId="17" fillId="0" borderId="1">
      <alignment horizontal="center" vertical="center"/>
    </xf>
    <xf numFmtId="0" fontId="18" fillId="0" borderId="0" applyNumberFormat="0" applyFill="0" applyBorder="0" applyAlignment="0" applyProtection="0"/>
    <xf numFmtId="0" fontId="19" fillId="0" borderId="8" applyNumberFormat="0" applyFill="0" applyAlignment="0" applyProtection="0"/>
    <xf numFmtId="0" fontId="20" fillId="0" borderId="9" applyNumberFormat="0" applyFill="0" applyAlignment="0" applyProtection="0"/>
    <xf numFmtId="0" fontId="21" fillId="0" borderId="10" applyNumberFormat="0" applyFill="0" applyAlignment="0" applyProtection="0"/>
    <xf numFmtId="0" fontId="21" fillId="0" borderId="0" applyNumberFormat="0" applyFill="0" applyBorder="0" applyAlignment="0" applyProtection="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4" fillId="0" borderId="0"/>
    <xf numFmtId="0" fontId="4" fillId="0" borderId="0"/>
    <xf numFmtId="0" fontId="3" fillId="0" borderId="0"/>
    <xf numFmtId="0" fontId="3" fillId="0" borderId="0"/>
    <xf numFmtId="0" fontId="2" fillId="0" borderId="0"/>
    <xf numFmtId="0" fontId="2" fillId="0" borderId="0"/>
    <xf numFmtId="0" fontId="1" fillId="0" borderId="0"/>
    <xf numFmtId="0" fontId="1" fillId="0" borderId="0"/>
  </cellStyleXfs>
  <cellXfs count="279">
    <xf numFmtId="0" fontId="0" fillId="0" borderId="0" xfId="0"/>
    <xf numFmtId="49" fontId="15" fillId="0" borderId="1" xfId="0" applyNumberFormat="1" applyFont="1" applyBorder="1" applyAlignment="1">
      <alignment horizontal="center" vertical="top" wrapText="1"/>
    </xf>
    <xf numFmtId="0" fontId="15" fillId="0" borderId="1" xfId="0" applyFont="1" applyBorder="1" applyAlignment="1">
      <alignment vertical="center" wrapText="1"/>
    </xf>
    <xf numFmtId="0" fontId="0" fillId="0" borderId="1" xfId="0" applyBorder="1" applyAlignment="1">
      <alignment vertical="center" wrapText="1"/>
    </xf>
    <xf numFmtId="0" fontId="0" fillId="0" borderId="1" xfId="0" applyBorder="1" applyAlignment="1">
      <alignment horizontal="left" vertical="center" wrapText="1"/>
    </xf>
    <xf numFmtId="0" fontId="15" fillId="0" borderId="1" xfId="0" applyFont="1" applyBorder="1" applyAlignment="1">
      <alignment vertical="top" wrapText="1"/>
    </xf>
    <xf numFmtId="0" fontId="15" fillId="0" borderId="1" xfId="0" applyFont="1"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center" vertical="top" wrapText="1"/>
    </xf>
    <xf numFmtId="0" fontId="15" fillId="0" borderId="1" xfId="0" applyFont="1" applyBorder="1" applyAlignment="1">
      <alignment horizontal="center" vertical="top" wrapText="1"/>
    </xf>
    <xf numFmtId="0" fontId="0" fillId="0" borderId="1" xfId="0" applyBorder="1" applyAlignment="1">
      <alignment vertical="top" wrapText="1"/>
    </xf>
    <xf numFmtId="0" fontId="0" fillId="0" borderId="0" xfId="0" applyAlignment="1">
      <alignment vertical="center" wrapText="1"/>
    </xf>
    <xf numFmtId="0" fontId="0" fillId="0" borderId="1" xfId="0" applyBorder="1" applyAlignment="1">
      <alignment horizontal="center" vertical="center" wrapText="1"/>
    </xf>
    <xf numFmtId="15" fontId="0" fillId="0" borderId="1" xfId="0" applyNumberFormat="1" applyBorder="1" applyAlignment="1">
      <alignment horizontal="center"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left" vertical="center" wrapText="1"/>
      <protection locked="0"/>
    </xf>
    <xf numFmtId="49" fontId="0" fillId="0" borderId="1" xfId="0" applyNumberFormat="1" applyBorder="1" applyAlignment="1" applyProtection="1">
      <alignment horizontal="center" vertical="center" wrapText="1"/>
      <protection locked="0"/>
    </xf>
    <xf numFmtId="0" fontId="0" fillId="0" borderId="0" xfId="0" applyAlignment="1">
      <alignment horizontal="center" vertical="center" wrapText="1"/>
    </xf>
    <xf numFmtId="15" fontId="0" fillId="0" borderId="0" xfId="0" applyNumberFormat="1" applyAlignment="1">
      <alignment horizontal="center" vertical="center" wrapText="1"/>
    </xf>
    <xf numFmtId="0" fontId="0" fillId="0" borderId="0" xfId="0" applyAlignment="1">
      <alignment horizontal="left" vertical="center" wrapText="1"/>
    </xf>
    <xf numFmtId="0" fontId="14" fillId="0" borderId="0" xfId="0" applyFont="1" applyAlignment="1">
      <alignment horizontal="left" vertical="center"/>
    </xf>
    <xf numFmtId="0" fontId="15" fillId="0" borderId="1" xfId="0" applyFont="1" applyBorder="1"/>
    <xf numFmtId="0" fontId="15" fillId="0" borderId="0" xfId="0" applyFont="1"/>
    <xf numFmtId="0" fontId="15" fillId="2" borderId="11" xfId="0" applyFont="1" applyFill="1" applyBorder="1" applyAlignment="1">
      <alignment horizontal="center" vertical="center" wrapText="1"/>
    </xf>
    <xf numFmtId="15" fontId="15" fillId="2" borderId="11" xfId="0" applyNumberFormat="1" applyFont="1" applyFill="1" applyBorder="1" applyAlignment="1">
      <alignment horizontal="center" vertical="center" wrapText="1"/>
    </xf>
    <xf numFmtId="0" fontId="15" fillId="2" borderId="12" xfId="0" applyFont="1" applyFill="1" applyBorder="1" applyAlignment="1">
      <alignment horizontal="center" vertical="center" wrapText="1"/>
    </xf>
    <xf numFmtId="0" fontId="15" fillId="0" borderId="0" xfId="0" applyFont="1" applyAlignment="1">
      <alignment horizontal="center"/>
    </xf>
    <xf numFmtId="164" fontId="0" fillId="0" borderId="1" xfId="0" applyNumberFormat="1" applyBorder="1" applyAlignment="1" applyProtection="1">
      <alignment horizontal="center" vertical="center" wrapText="1"/>
      <protection locked="0"/>
    </xf>
    <xf numFmtId="0" fontId="15" fillId="0" borderId="7" xfId="0" applyFont="1" applyBorder="1" applyAlignment="1">
      <alignment horizontal="left" vertical="top" wrapText="1"/>
    </xf>
    <xf numFmtId="49" fontId="0" fillId="0" borderId="0" xfId="0" applyNumberFormat="1" applyAlignment="1">
      <alignment horizontal="center" vertical="center" wrapText="1"/>
    </xf>
    <xf numFmtId="49" fontId="15" fillId="0" borderId="1" xfId="0" applyNumberFormat="1" applyFont="1" applyBorder="1" applyAlignment="1">
      <alignment horizontal="center" vertical="center" wrapText="1"/>
    </xf>
    <xf numFmtId="49" fontId="0" fillId="0" borderId="1" xfId="0" applyNumberFormat="1" applyBorder="1" applyAlignment="1">
      <alignment horizontal="center" vertical="center" wrapText="1"/>
    </xf>
    <xf numFmtId="49" fontId="0" fillId="0" borderId="1" xfId="0" applyNumberFormat="1" applyBorder="1" applyAlignment="1">
      <alignment horizontal="center" vertical="top" wrapText="1"/>
    </xf>
    <xf numFmtId="0" fontId="0" fillId="0" borderId="1" xfId="0" applyBorder="1"/>
    <xf numFmtId="0" fontId="15" fillId="0" borderId="1" xfId="0" applyFont="1" applyBorder="1" applyAlignment="1">
      <alignment horizontal="center" vertical="center" wrapText="1"/>
    </xf>
    <xf numFmtId="0" fontId="0" fillId="0" borderId="1" xfId="0" applyBorder="1" applyAlignment="1">
      <alignment horizontal="center"/>
    </xf>
    <xf numFmtId="0" fontId="0" fillId="0" borderId="7" xfId="0" applyBorder="1" applyAlignment="1">
      <alignment horizontal="left" vertical="center" wrapText="1"/>
    </xf>
    <xf numFmtId="49" fontId="15" fillId="2" borderId="11" xfId="0" applyNumberFormat="1" applyFont="1" applyFill="1" applyBorder="1" applyAlignment="1">
      <alignment horizontal="center" vertical="center" wrapText="1"/>
    </xf>
    <xf numFmtId="0" fontId="15" fillId="0" borderId="1" xfId="0" applyFont="1" applyBorder="1" applyAlignment="1">
      <alignment horizontal="left"/>
    </xf>
    <xf numFmtId="0" fontId="15" fillId="0" borderId="1" xfId="0" applyFont="1" applyBorder="1" applyAlignment="1">
      <alignment horizontal="center"/>
    </xf>
    <xf numFmtId="0" fontId="15" fillId="2" borderId="11" xfId="0" applyFont="1" applyFill="1" applyBorder="1" applyAlignment="1">
      <alignment horizontal="left" vertical="center" wrapText="1"/>
    </xf>
    <xf numFmtId="0" fontId="0" fillId="0" borderId="1" xfId="0" applyBorder="1" applyAlignment="1">
      <alignment horizontal="left" wrapText="1"/>
    </xf>
    <xf numFmtId="0" fontId="0" fillId="4" borderId="1" xfId="0" applyFill="1" applyBorder="1" applyAlignment="1">
      <alignment horizontal="left" vertical="center" wrapText="1"/>
    </xf>
    <xf numFmtId="0" fontId="0" fillId="0" borderId="1" xfId="0" applyBorder="1" applyAlignment="1">
      <alignment horizontal="left"/>
    </xf>
    <xf numFmtId="0" fontId="0" fillId="0" borderId="0" xfId="0" applyAlignment="1">
      <alignment horizontal="left" vertical="top" wrapText="1"/>
    </xf>
    <xf numFmtId="0" fontId="0" fillId="0" borderId="0" xfId="0" applyAlignment="1">
      <alignment vertical="top" wrapText="1"/>
    </xf>
    <xf numFmtId="0" fontId="0" fillId="0" borderId="0" xfId="0" applyAlignment="1">
      <alignment horizontal="left" vertical="center"/>
    </xf>
    <xf numFmtId="0" fontId="0" fillId="0" borderId="0" xfId="0" applyAlignment="1">
      <alignment wrapText="1"/>
    </xf>
    <xf numFmtId="49" fontId="0" fillId="0" borderId="0" xfId="0" applyNumberFormat="1" applyAlignment="1">
      <alignment horizontal="center" vertical="top"/>
    </xf>
    <xf numFmtId="49" fontId="16" fillId="0" borderId="0" xfId="0" applyNumberFormat="1" applyFont="1"/>
    <xf numFmtId="49" fontId="0" fillId="0" borderId="1" xfId="0" applyNumberFormat="1" applyBorder="1" applyAlignment="1">
      <alignment horizontal="center" vertical="top"/>
    </xf>
    <xf numFmtId="0" fontId="0" fillId="0" borderId="1" xfId="0" applyBorder="1" applyAlignment="1">
      <alignment wrapText="1"/>
    </xf>
    <xf numFmtId="0" fontId="15" fillId="0" borderId="0" xfId="0" applyFont="1" applyAlignment="1">
      <alignment vertical="center" wrapText="1"/>
    </xf>
    <xf numFmtId="164" fontId="0" fillId="0" borderId="1" xfId="0" applyNumberFormat="1" applyBorder="1" applyAlignment="1">
      <alignment horizontal="center"/>
    </xf>
    <xf numFmtId="0" fontId="0" fillId="0" borderId="1" xfId="0" applyBorder="1" applyAlignment="1">
      <alignment vertical="center"/>
    </xf>
    <xf numFmtId="164" fontId="0" fillId="0" borderId="1" xfId="0" applyNumberFormat="1" applyBorder="1" applyAlignment="1">
      <alignment horizontal="center" vertical="center"/>
    </xf>
    <xf numFmtId="49" fontId="0" fillId="0" borderId="1" xfId="0" applyNumberFormat="1" applyBorder="1" applyAlignment="1">
      <alignment horizontal="center"/>
    </xf>
    <xf numFmtId="0" fontId="27" fillId="0" borderId="1" xfId="0" applyFont="1" applyBorder="1"/>
    <xf numFmtId="0" fontId="27" fillId="0" borderId="1" xfId="0" applyFont="1" applyBorder="1" applyAlignment="1">
      <alignment horizontal="center"/>
    </xf>
    <xf numFmtId="0" fontId="15" fillId="0" borderId="6" xfId="0" applyFont="1" applyBorder="1" applyAlignment="1">
      <alignment horizontal="left"/>
    </xf>
    <xf numFmtId="0" fontId="27" fillId="0" borderId="1" xfId="0" applyFont="1" applyBorder="1" applyAlignment="1">
      <alignment horizontal="left"/>
    </xf>
    <xf numFmtId="0" fontId="15" fillId="0" borderId="1" xfId="0" applyFont="1" applyBorder="1" applyAlignment="1">
      <alignment vertical="center"/>
    </xf>
    <xf numFmtId="0" fontId="0" fillId="0" borderId="1" xfId="0" applyBorder="1" applyAlignment="1">
      <alignment horizontal="center" vertical="center"/>
    </xf>
    <xf numFmtId="0" fontId="15" fillId="0" borderId="0" xfId="0" applyFont="1" applyAlignment="1">
      <alignment vertical="center"/>
    </xf>
    <xf numFmtId="0" fontId="15" fillId="0" borderId="1" xfId="0" applyFont="1" applyBorder="1" applyAlignment="1">
      <alignment horizontal="left" vertical="center"/>
    </xf>
    <xf numFmtId="0" fontId="0" fillId="0" borderId="1" xfId="0" applyBorder="1" applyAlignment="1">
      <alignment horizontal="left" vertical="center"/>
    </xf>
    <xf numFmtId="0" fontId="15" fillId="0" borderId="0" xfId="0" applyFont="1" applyAlignment="1">
      <alignment horizontal="left" vertical="center"/>
    </xf>
    <xf numFmtId="14" fontId="0" fillId="0" borderId="1" xfId="0" applyNumberFormat="1" applyBorder="1" applyAlignment="1">
      <alignment horizontal="center" vertical="center"/>
    </xf>
    <xf numFmtId="14" fontId="0" fillId="0" borderId="1" xfId="0" applyNumberFormat="1" applyBorder="1" applyAlignment="1">
      <alignment horizontal="center" vertical="top" wrapText="1"/>
    </xf>
    <xf numFmtId="14" fontId="27" fillId="0" borderId="1" xfId="0" applyNumberFormat="1" applyFont="1" applyBorder="1" applyAlignment="1">
      <alignment horizontal="center"/>
    </xf>
    <xf numFmtId="0" fontId="24" fillId="0" borderId="1" xfId="0" applyFont="1" applyBorder="1" applyAlignment="1">
      <alignment horizontal="left" vertical="center" wrapText="1"/>
    </xf>
    <xf numFmtId="0" fontId="24" fillId="0" borderId="1" xfId="0" applyFont="1" applyBorder="1" applyAlignment="1">
      <alignment horizontal="center" vertical="center" wrapText="1"/>
    </xf>
    <xf numFmtId="0" fontId="0" fillId="0" borderId="1" xfId="0" quotePrefix="1" applyBorder="1" applyAlignment="1">
      <alignment horizontal="center"/>
    </xf>
    <xf numFmtId="0" fontId="15" fillId="0" borderId="7" xfId="0" applyFont="1" applyBorder="1"/>
    <xf numFmtId="0" fontId="15" fillId="0" borderId="3" xfId="0" applyFont="1" applyBorder="1"/>
    <xf numFmtId="0" fontId="0" fillId="0" borderId="3" xfId="0" applyBorder="1"/>
    <xf numFmtId="0" fontId="0" fillId="0" borderId="7" xfId="0" applyBorder="1"/>
    <xf numFmtId="0" fontId="27" fillId="0" borderId="0" xfId="0" applyFont="1"/>
    <xf numFmtId="0" fontId="27" fillId="0" borderId="1" xfId="0" applyFont="1" applyBorder="1" applyAlignment="1">
      <alignment horizontal="left" indent="1"/>
    </xf>
    <xf numFmtId="0" fontId="0" fillId="0" borderId="6" xfId="0" applyBorder="1" applyAlignment="1">
      <alignment horizontal="left" vertical="center" wrapText="1"/>
    </xf>
    <xf numFmtId="0" fontId="27" fillId="0" borderId="1" xfId="0" applyFont="1" applyBorder="1" applyAlignment="1">
      <alignment horizontal="center" vertical="center" wrapText="1"/>
    </xf>
    <xf numFmtId="0" fontId="15" fillId="0" borderId="4" xfId="0" applyFont="1" applyBorder="1" applyAlignment="1">
      <alignment horizontal="center" vertical="top" wrapText="1"/>
    </xf>
    <xf numFmtId="0" fontId="15" fillId="0" borderId="1" xfId="0" applyFont="1" applyBorder="1" applyAlignment="1">
      <alignment horizontal="left" vertical="center" wrapText="1"/>
    </xf>
    <xf numFmtId="0" fontId="15" fillId="0" borderId="3" xfId="0" applyFont="1" applyBorder="1" applyAlignment="1">
      <alignment horizontal="center" vertical="center" wrapText="1"/>
    </xf>
    <xf numFmtId="0" fontId="15" fillId="0" borderId="7" xfId="0" applyFont="1" applyBorder="1" applyAlignment="1">
      <alignment horizontal="center" vertical="center" wrapText="1"/>
    </xf>
    <xf numFmtId="0" fontId="24" fillId="0" borderId="1" xfId="22" applyFont="1" applyBorder="1" applyAlignment="1">
      <alignment horizontal="center" vertical="center" wrapText="1"/>
    </xf>
    <xf numFmtId="0" fontId="24" fillId="0" borderId="1" xfId="22" applyFont="1" applyBorder="1" applyAlignment="1">
      <alignment horizontal="left" vertical="center" wrapText="1"/>
    </xf>
    <xf numFmtId="0" fontId="15" fillId="0" borderId="2" xfId="0" applyFont="1" applyBorder="1" applyAlignment="1">
      <alignment horizontal="center" vertical="top" wrapText="1"/>
    </xf>
    <xf numFmtId="49" fontId="0" fillId="0" borderId="1" xfId="0" applyNumberFormat="1" applyBorder="1" applyAlignment="1">
      <alignment horizontal="center" vertical="center"/>
    </xf>
    <xf numFmtId="0" fontId="27" fillId="0" borderId="1" xfId="0" applyFont="1" applyBorder="1" applyAlignment="1">
      <alignment vertical="center"/>
    </xf>
    <xf numFmtId="14" fontId="27" fillId="0" borderId="1" xfId="0" applyNumberFormat="1" applyFont="1" applyBorder="1" applyAlignment="1">
      <alignment horizontal="center" vertical="center"/>
    </xf>
    <xf numFmtId="0" fontId="27" fillId="0" borderId="1" xfId="0" applyFont="1" applyBorder="1" applyAlignment="1">
      <alignment horizontal="center" vertical="center"/>
    </xf>
    <xf numFmtId="164" fontId="0" fillId="0" borderId="0" xfId="0" applyNumberFormat="1" applyAlignment="1">
      <alignment horizontal="left" vertical="top" wrapText="1"/>
    </xf>
    <xf numFmtId="164" fontId="0" fillId="0" borderId="0" xfId="0" applyNumberFormat="1" applyAlignment="1">
      <alignment horizontal="center" vertical="top" wrapText="1"/>
    </xf>
    <xf numFmtId="49" fontId="0" fillId="0" borderId="0" xfId="0" applyNumberFormat="1" applyAlignment="1">
      <alignment horizontal="left" vertical="top" wrapText="1"/>
    </xf>
    <xf numFmtId="14" fontId="26" fillId="0" borderId="1" xfId="0" applyNumberFormat="1" applyFont="1" applyBorder="1" applyAlignment="1">
      <alignment horizontal="center"/>
    </xf>
    <xf numFmtId="14" fontId="0" fillId="0" borderId="1" xfId="0" applyNumberFormat="1" applyBorder="1" applyAlignment="1">
      <alignment horizontal="center" vertical="center" wrapText="1"/>
    </xf>
    <xf numFmtId="49" fontId="0" fillId="0" borderId="3" xfId="0" applyNumberFormat="1" applyBorder="1" applyAlignment="1">
      <alignment horizontal="center"/>
    </xf>
    <xf numFmtId="164" fontId="0" fillId="0" borderId="3" xfId="0" applyNumberFormat="1" applyBorder="1" applyAlignment="1">
      <alignment horizontal="center"/>
    </xf>
    <xf numFmtId="0" fontId="0" fillId="0" borderId="3" xfId="0" applyBorder="1" applyAlignment="1">
      <alignment horizontal="center"/>
    </xf>
    <xf numFmtId="0" fontId="27" fillId="0" borderId="2" xfId="0" applyFont="1" applyBorder="1" applyAlignment="1">
      <alignment vertical="center" wrapText="1"/>
    </xf>
    <xf numFmtId="0" fontId="0" fillId="0" borderId="1" xfId="0" applyBorder="1" applyAlignment="1">
      <alignment horizontal="left" vertical="center" wrapText="1" indent="1"/>
    </xf>
    <xf numFmtId="0" fontId="27" fillId="0" borderId="1" xfId="0" quotePrefix="1" applyFont="1" applyBorder="1"/>
    <xf numFmtId="0" fontId="0" fillId="0" borderId="1" xfId="0" applyBorder="1" applyAlignment="1">
      <alignment horizontal="left" vertical="top" wrapText="1" indent="1"/>
    </xf>
    <xf numFmtId="0" fontId="24" fillId="0" borderId="1" xfId="22" quotePrefix="1" applyFont="1" applyBorder="1" applyAlignment="1">
      <alignment horizontal="center" vertical="center" wrapText="1"/>
    </xf>
    <xf numFmtId="49" fontId="0" fillId="0" borderId="5" xfId="0" applyNumberFormat="1" applyBorder="1" applyAlignment="1">
      <alignment horizontal="center"/>
    </xf>
    <xf numFmtId="164" fontId="0" fillId="0" borderId="5" xfId="0" applyNumberFormat="1" applyBorder="1" applyAlignment="1">
      <alignment horizontal="center"/>
    </xf>
    <xf numFmtId="0" fontId="0" fillId="0" borderId="6" xfId="0" applyBorder="1" applyAlignment="1">
      <alignment horizontal="center"/>
    </xf>
    <xf numFmtId="0" fontId="15" fillId="0" borderId="1" xfId="0" quotePrefix="1" applyFont="1" applyBorder="1"/>
    <xf numFmtId="0" fontId="0" fillId="0" borderId="1" xfId="0" applyBorder="1" applyAlignment="1">
      <alignment horizontal="left" indent="1"/>
    </xf>
    <xf numFmtId="0" fontId="0" fillId="0" borderId="7" xfId="0" applyBorder="1" applyAlignment="1">
      <alignment horizontal="center" vertical="top" wrapText="1"/>
    </xf>
    <xf numFmtId="0" fontId="26" fillId="0" borderId="3" xfId="22" applyFont="1" applyBorder="1" applyAlignment="1">
      <alignment horizontal="center"/>
    </xf>
    <xf numFmtId="0" fontId="26" fillId="0" borderId="1" xfId="22" applyFont="1" applyBorder="1" applyAlignment="1">
      <alignment horizontal="center"/>
    </xf>
    <xf numFmtId="0" fontId="26" fillId="0" borderId="1" xfId="0" applyFont="1" applyBorder="1" applyAlignment="1">
      <alignment horizontal="center"/>
    </xf>
    <xf numFmtId="0" fontId="26" fillId="0" borderId="3" xfId="0" applyFont="1" applyBorder="1" applyAlignment="1">
      <alignment horizontal="center"/>
    </xf>
    <xf numFmtId="0" fontId="15" fillId="0" borderId="2" xfId="0" applyFont="1" applyBorder="1" applyAlignment="1">
      <alignment horizontal="left" vertical="center" wrapText="1"/>
    </xf>
    <xf numFmtId="0" fontId="15" fillId="0" borderId="5" xfId="0" applyFont="1" applyBorder="1" applyAlignment="1">
      <alignment horizontal="left" vertical="center" wrapText="1"/>
    </xf>
    <xf numFmtId="0" fontId="26" fillId="0" borderId="0" xfId="0" applyFont="1" applyAlignment="1">
      <alignment horizontal="center"/>
    </xf>
    <xf numFmtId="0" fontId="28" fillId="0" borderId="1" xfId="0" applyFont="1" applyBorder="1" applyAlignment="1">
      <alignment horizontal="center"/>
    </xf>
    <xf numFmtId="0" fontId="24" fillId="0" borderId="1" xfId="0" applyFont="1" applyBorder="1" applyAlignment="1">
      <alignment vertical="center" wrapText="1"/>
    </xf>
    <xf numFmtId="11" fontId="24" fillId="0" borderId="1" xfId="0" applyNumberFormat="1" applyFont="1" applyBorder="1" applyAlignment="1">
      <alignment horizontal="center" vertical="center" wrapText="1"/>
    </xf>
    <xf numFmtId="0" fontId="24" fillId="0" borderId="3" xfId="0" applyFont="1" applyBorder="1" applyAlignment="1">
      <alignment horizontal="center" vertical="center" wrapText="1"/>
    </xf>
    <xf numFmtId="0" fontId="24" fillId="0" borderId="3" xfId="0" applyFont="1" applyBorder="1" applyAlignment="1">
      <alignment vertical="center" wrapText="1"/>
    </xf>
    <xf numFmtId="0" fontId="26" fillId="0" borderId="1" xfId="15" applyFont="1" applyBorder="1" applyAlignment="1">
      <alignment horizontal="center"/>
    </xf>
    <xf numFmtId="14" fontId="26" fillId="0" borderId="1" xfId="15" applyNumberFormat="1" applyFont="1" applyBorder="1" applyAlignment="1">
      <alignment horizontal="center"/>
    </xf>
    <xf numFmtId="0" fontId="24" fillId="0" borderId="1" xfId="15" applyFont="1" applyBorder="1" applyAlignment="1">
      <alignment horizontal="center" vertical="center" wrapText="1"/>
    </xf>
    <xf numFmtId="0" fontId="24" fillId="0" borderId="1" xfId="15" applyFont="1" applyBorder="1" applyAlignment="1">
      <alignment horizontal="left" vertical="center" wrapText="1"/>
    </xf>
    <xf numFmtId="14" fontId="26" fillId="0" borderId="3" xfId="0" applyNumberFormat="1" applyFont="1" applyBorder="1" applyAlignment="1">
      <alignment horizontal="center"/>
    </xf>
    <xf numFmtId="14" fontId="26" fillId="0" borderId="2" xfId="0" applyNumberFormat="1" applyFont="1" applyBorder="1" applyAlignment="1">
      <alignment horizontal="center"/>
    </xf>
    <xf numFmtId="0" fontId="30" fillId="0" borderId="0" xfId="0" applyFont="1"/>
    <xf numFmtId="0" fontId="15" fillId="0" borderId="19" xfId="0" applyFont="1" applyBorder="1" applyAlignment="1">
      <alignment horizontal="center" vertical="center" wrapText="1"/>
    </xf>
    <xf numFmtId="0" fontId="15" fillId="0" borderId="0" xfId="0" applyFont="1" applyAlignment="1">
      <alignment horizontal="center" vertical="center" wrapText="1"/>
    </xf>
    <xf numFmtId="0" fontId="0" fillId="0" borderId="5" xfId="0" applyBorder="1" applyAlignment="1">
      <alignment horizontal="center" vertical="center" wrapText="1"/>
    </xf>
    <xf numFmtId="15" fontId="0" fillId="0" borderId="5" xfId="0" applyNumberFormat="1" applyBorder="1" applyAlignment="1">
      <alignment horizontal="center" vertical="center" wrapText="1"/>
    </xf>
    <xf numFmtId="0" fontId="26" fillId="0" borderId="4" xfId="22" applyFont="1" applyBorder="1" applyAlignment="1">
      <alignment horizontal="center"/>
    </xf>
    <xf numFmtId="0" fontId="15" fillId="0" borderId="2" xfId="0" applyFont="1" applyBorder="1" applyAlignment="1">
      <alignment horizontal="center" vertical="center" wrapText="1"/>
    </xf>
    <xf numFmtId="0" fontId="15" fillId="0" borderId="6" xfId="0" applyFont="1" applyBorder="1" applyAlignment="1">
      <alignment vertical="center" wrapText="1"/>
    </xf>
    <xf numFmtId="15" fontId="0" fillId="0" borderId="6" xfId="0" applyNumberFormat="1" applyBorder="1" applyAlignment="1">
      <alignment horizontal="center" vertical="center" wrapText="1"/>
    </xf>
    <xf numFmtId="0" fontId="0" fillId="0" borderId="6" xfId="0" applyBorder="1" applyAlignment="1">
      <alignment horizontal="center" vertical="center" wrapText="1"/>
    </xf>
    <xf numFmtId="0" fontId="0" fillId="0" borderId="2" xfId="0" applyBorder="1" applyAlignment="1">
      <alignment vertical="center" wrapText="1"/>
    </xf>
    <xf numFmtId="164" fontId="0" fillId="0" borderId="2" xfId="0" applyNumberFormat="1" applyBorder="1" applyAlignment="1">
      <alignment horizontal="center"/>
    </xf>
    <xf numFmtId="0" fontId="0" fillId="0" borderId="7" xfId="0" applyBorder="1" applyAlignment="1">
      <alignment horizontal="center"/>
    </xf>
    <xf numFmtId="0" fontId="0" fillId="0" borderId="23" xfId="0" applyBorder="1" applyAlignment="1">
      <alignment horizontal="center"/>
    </xf>
    <xf numFmtId="0" fontId="15" fillId="0" borderId="4" xfId="0" applyFont="1" applyBorder="1"/>
    <xf numFmtId="164" fontId="0" fillId="0" borderId="4" xfId="0" applyNumberFormat="1" applyBorder="1" applyAlignment="1">
      <alignment horizontal="center"/>
    </xf>
    <xf numFmtId="0" fontId="0" fillId="0" borderId="4" xfId="0" applyBorder="1" applyAlignment="1">
      <alignment horizontal="center"/>
    </xf>
    <xf numFmtId="0" fontId="26" fillId="0" borderId="4" xfId="0" applyFont="1" applyBorder="1" applyAlignment="1">
      <alignment horizontal="center"/>
    </xf>
    <xf numFmtId="0" fontId="0" fillId="0" borderId="1" xfId="0" applyBorder="1" applyAlignment="1">
      <alignment horizontal="left" vertical="center" indent="1"/>
    </xf>
    <xf numFmtId="0" fontId="31" fillId="0" borderId="1" xfId="0" applyFont="1" applyBorder="1" applyAlignment="1">
      <alignment horizontal="center" vertical="top" wrapText="1"/>
    </xf>
    <xf numFmtId="49" fontId="32" fillId="0" borderId="1" xfId="0" applyNumberFormat="1" applyFont="1" applyBorder="1" applyAlignment="1">
      <alignment horizontal="center" vertical="top" wrapText="1"/>
    </xf>
    <xf numFmtId="0" fontId="32" fillId="0" borderId="1" xfId="0" applyFont="1" applyBorder="1" applyAlignment="1">
      <alignment horizontal="center" vertical="top" wrapText="1"/>
    </xf>
    <xf numFmtId="0" fontId="0" fillId="0" borderId="1" xfId="0" applyBorder="1" applyAlignment="1">
      <alignment horizontal="left" indent="2"/>
    </xf>
    <xf numFmtId="49" fontId="15" fillId="0" borderId="1" xfId="0" applyNumberFormat="1" applyFont="1" applyBorder="1" applyAlignment="1">
      <alignment horizontal="right" vertical="top" wrapText="1"/>
    </xf>
    <xf numFmtId="0" fontId="24" fillId="0" borderId="1" xfId="0" applyFont="1" applyBorder="1" applyAlignment="1">
      <alignment horizontal="left" vertical="center" wrapText="1" indent="1"/>
    </xf>
    <xf numFmtId="0" fontId="32" fillId="0" borderId="1" xfId="0" applyFont="1" applyBorder="1"/>
    <xf numFmtId="0" fontId="34" fillId="0" borderId="1" xfId="0" applyFont="1" applyBorder="1" applyAlignment="1">
      <alignment horizontal="left" vertical="center" wrapText="1"/>
    </xf>
    <xf numFmtId="0" fontId="33" fillId="0" borderId="1" xfId="0" applyFont="1" applyBorder="1" applyAlignment="1">
      <alignment horizontal="left" indent="1"/>
    </xf>
    <xf numFmtId="0" fontId="33" fillId="0" borderId="1" xfId="0" applyFont="1" applyBorder="1" applyAlignment="1">
      <alignment horizontal="left"/>
    </xf>
    <xf numFmtId="164" fontId="0" fillId="0" borderId="1" xfId="0" applyNumberFormat="1" applyBorder="1" applyAlignment="1">
      <alignment horizontal="center" vertical="center" wrapText="1"/>
    </xf>
    <xf numFmtId="0" fontId="0" fillId="0" borderId="2" xfId="0" applyBorder="1" applyAlignment="1">
      <alignment horizontal="center" vertical="top" wrapText="1"/>
    </xf>
    <xf numFmtId="0" fontId="0" fillId="0" borderId="1" xfId="0" applyBorder="1" applyAlignment="1">
      <alignment horizontal="left" vertical="center" indent="2"/>
    </xf>
    <xf numFmtId="0" fontId="24" fillId="0" borderId="2" xfId="0" applyFont="1" applyBorder="1" applyAlignment="1">
      <alignment horizontal="center" vertical="center" wrapText="1"/>
    </xf>
    <xf numFmtId="0" fontId="24" fillId="0" borderId="6" xfId="0" applyFont="1" applyBorder="1" applyAlignment="1">
      <alignment horizontal="center" vertical="center" wrapText="1"/>
    </xf>
    <xf numFmtId="15" fontId="27" fillId="0" borderId="1" xfId="0" applyNumberFormat="1" applyFont="1" applyBorder="1" applyAlignment="1">
      <alignment horizontal="center"/>
    </xf>
    <xf numFmtId="15" fontId="0" fillId="0" borderId="1" xfId="0" applyNumberFormat="1" applyBorder="1" applyAlignment="1">
      <alignment horizontal="center"/>
    </xf>
    <xf numFmtId="49" fontId="15" fillId="0" borderId="1" xfId="0" applyNumberFormat="1" applyFont="1" applyBorder="1" applyAlignment="1">
      <alignment horizontal="center"/>
    </xf>
    <xf numFmtId="49" fontId="27" fillId="0" borderId="1" xfId="0" applyNumberFormat="1" applyFont="1" applyBorder="1" applyAlignment="1">
      <alignment horizontal="center"/>
    </xf>
    <xf numFmtId="0" fontId="35" fillId="0" borderId="1" xfId="0" applyFont="1" applyBorder="1" applyAlignment="1">
      <alignment horizontal="center"/>
    </xf>
    <xf numFmtId="0" fontId="0" fillId="0" borderId="1" xfId="0" applyBorder="1" applyAlignment="1">
      <alignment horizontal="left" wrapText="1" indent="2"/>
    </xf>
    <xf numFmtId="0" fontId="24" fillId="0" borderId="1" xfId="0" applyFont="1" applyBorder="1" applyAlignment="1">
      <alignment horizontal="left" vertical="center" wrapText="1" indent="2"/>
    </xf>
    <xf numFmtId="11" fontId="24" fillId="0" borderId="1" xfId="0" applyNumberFormat="1" applyFont="1" applyBorder="1" applyAlignment="1">
      <alignment horizontal="left" vertical="center" wrapText="1"/>
    </xf>
    <xf numFmtId="164" fontId="0" fillId="0" borderId="6" xfId="0" applyNumberFormat="1" applyBorder="1" applyAlignment="1">
      <alignment horizontal="center"/>
    </xf>
    <xf numFmtId="0" fontId="24" fillId="0" borderId="3" xfId="0" applyFont="1" applyBorder="1" applyAlignment="1">
      <alignment horizontal="left" vertical="center" wrapText="1"/>
    </xf>
    <xf numFmtId="0" fontId="0" fillId="0" borderId="1" xfId="0" applyBorder="1" applyAlignment="1">
      <alignment horizontal="right"/>
    </xf>
    <xf numFmtId="0" fontId="0" fillId="0" borderId="2" xfId="0" applyBorder="1" applyAlignment="1">
      <alignment horizontal="center" vertical="center" wrapText="1"/>
    </xf>
    <xf numFmtId="0" fontId="0" fillId="0" borderId="1" xfId="0" applyBorder="1" applyAlignment="1">
      <alignment horizontal="left" vertical="center" wrapText="1" indent="2"/>
    </xf>
    <xf numFmtId="0" fontId="37" fillId="0" borderId="1" xfId="0" applyFont="1" applyBorder="1"/>
    <xf numFmtId="49" fontId="29" fillId="0" borderId="1" xfId="0" applyNumberFormat="1" applyFont="1" applyBorder="1" applyAlignment="1">
      <alignment horizontal="center"/>
    </xf>
    <xf numFmtId="0" fontId="29" fillId="0" borderId="1" xfId="0" quotePrefix="1" applyFont="1" applyBorder="1" applyAlignment="1">
      <alignment horizontal="center"/>
    </xf>
    <xf numFmtId="0" fontId="38" fillId="0" borderId="0" xfId="0" applyFont="1"/>
    <xf numFmtId="0" fontId="0" fillId="0" borderId="0" xfId="0" applyAlignment="1">
      <alignment horizontal="left" vertical="top" wrapText="1"/>
    </xf>
    <xf numFmtId="0" fontId="14" fillId="0" borderId="0" xfId="0" applyFont="1" applyAlignment="1">
      <alignment horizontal="left" vertical="top" wrapText="1"/>
    </xf>
    <xf numFmtId="0" fontId="26" fillId="0" borderId="3" xfId="0" applyFont="1" applyBorder="1" applyAlignment="1">
      <alignment horizontal="center"/>
    </xf>
    <xf numFmtId="0" fontId="26" fillId="0" borderId="4" xfId="0" applyFont="1" applyBorder="1" applyAlignment="1">
      <alignment horizontal="center"/>
    </xf>
    <xf numFmtId="0" fontId="24" fillId="0" borderId="2" xfId="0" applyFont="1" applyBorder="1" applyAlignment="1">
      <alignment horizontal="center" vertical="center" wrapText="1"/>
    </xf>
    <xf numFmtId="0" fontId="24" fillId="0" borderId="6" xfId="0" applyFont="1" applyBorder="1" applyAlignment="1">
      <alignment horizontal="center" vertical="center" wrapText="1"/>
    </xf>
    <xf numFmtId="0" fontId="26" fillId="0" borderId="7" xfId="0" applyFont="1" applyBorder="1" applyAlignment="1">
      <alignment horizontal="center"/>
    </xf>
    <xf numFmtId="0" fontId="24" fillId="0" borderId="2" xfId="22" applyFont="1" applyBorder="1" applyAlignment="1">
      <alignment horizontal="center" vertical="center" wrapText="1"/>
    </xf>
    <xf numFmtId="0" fontId="24" fillId="0" borderId="6" xfId="22" applyFont="1" applyBorder="1" applyAlignment="1">
      <alignment horizontal="center" vertical="center" wrapText="1"/>
    </xf>
    <xf numFmtId="0" fontId="26" fillId="0" borderId="3" xfId="22" applyFont="1" applyBorder="1" applyAlignment="1">
      <alignment horizontal="center"/>
    </xf>
    <xf numFmtId="0" fontId="26" fillId="0" borderId="4" xfId="22" applyFont="1" applyBorder="1" applyAlignment="1">
      <alignment horizontal="center"/>
    </xf>
    <xf numFmtId="0" fontId="26" fillId="0" borderId="7" xfId="22" applyFont="1" applyBorder="1" applyAlignment="1">
      <alignment horizontal="center"/>
    </xf>
    <xf numFmtId="0" fontId="26" fillId="0" borderId="1" xfId="0" applyFont="1" applyBorder="1" applyAlignment="1">
      <alignment horizontal="center"/>
    </xf>
    <xf numFmtId="0" fontId="26" fillId="0" borderId="17" xfId="0" applyFont="1" applyBorder="1" applyAlignment="1">
      <alignment horizontal="center"/>
    </xf>
    <xf numFmtId="0" fontId="26" fillId="0" borderId="18" xfId="0" applyFont="1" applyBorder="1" applyAlignment="1">
      <alignment horizontal="center"/>
    </xf>
    <xf numFmtId="0" fontId="24" fillId="0" borderId="2" xfId="15" applyFont="1" applyBorder="1" applyAlignment="1">
      <alignment horizontal="center" vertical="center" wrapText="1"/>
    </xf>
    <xf numFmtId="0" fontId="24" fillId="0" borderId="6" xfId="15" applyFont="1" applyBorder="1" applyAlignment="1">
      <alignment horizontal="center" vertical="center" wrapText="1"/>
    </xf>
    <xf numFmtId="0" fontId="26" fillId="0" borderId="3" xfId="15" applyFont="1" applyBorder="1" applyAlignment="1">
      <alignment horizontal="center"/>
    </xf>
    <xf numFmtId="0" fontId="26" fillId="0" borderId="4" xfId="15" applyFont="1" applyBorder="1" applyAlignment="1">
      <alignment horizontal="center"/>
    </xf>
    <xf numFmtId="0" fontId="26" fillId="0" borderId="2" xfId="0" applyFont="1" applyBorder="1" applyAlignment="1">
      <alignment horizontal="center"/>
    </xf>
    <xf numFmtId="0" fontId="26" fillId="0" borderId="5" xfId="0" applyFont="1" applyBorder="1" applyAlignment="1">
      <alignment horizontal="center"/>
    </xf>
    <xf numFmtId="0" fontId="26" fillId="0" borderId="6" xfId="0" applyFont="1" applyBorder="1" applyAlignment="1">
      <alignment horizontal="center"/>
    </xf>
    <xf numFmtId="0" fontId="25" fillId="0" borderId="2" xfId="0" applyFont="1" applyBorder="1" applyAlignment="1">
      <alignment horizontal="center" vertical="center" wrapText="1"/>
    </xf>
    <xf numFmtId="0" fontId="25" fillId="0" borderId="6" xfId="0" applyFont="1" applyBorder="1" applyAlignment="1">
      <alignment horizontal="center" vertical="center" wrapText="1"/>
    </xf>
    <xf numFmtId="14" fontId="26" fillId="0" borderId="3" xfId="0" applyNumberFormat="1" applyFont="1" applyBorder="1" applyAlignment="1">
      <alignment horizontal="center"/>
    </xf>
    <xf numFmtId="14" fontId="26" fillId="0" borderId="4" xfId="0" applyNumberFormat="1" applyFont="1" applyBorder="1" applyAlignment="1">
      <alignment horizontal="center"/>
    </xf>
    <xf numFmtId="14" fontId="26" fillId="0" borderId="7" xfId="0" applyNumberFormat="1" applyFont="1" applyBorder="1" applyAlignment="1">
      <alignment horizontal="center"/>
    </xf>
    <xf numFmtId="0" fontId="24" fillId="0" borderId="2" xfId="0" applyFont="1" applyBorder="1" applyAlignment="1">
      <alignment horizontal="center"/>
    </xf>
    <xf numFmtId="0" fontId="24" fillId="0" borderId="6" xfId="0" applyFont="1" applyBorder="1" applyAlignment="1">
      <alignment horizontal="center"/>
    </xf>
    <xf numFmtId="0" fontId="15" fillId="0" borderId="3" xfId="0" applyFont="1" applyBorder="1" applyAlignment="1">
      <alignment horizontal="center" vertical="center" wrapText="1"/>
    </xf>
    <xf numFmtId="0" fontId="15" fillId="0" borderId="4" xfId="0" applyFont="1" applyBorder="1" applyAlignment="1">
      <alignment horizontal="center" vertical="center" wrapText="1"/>
    </xf>
    <xf numFmtId="0" fontId="15" fillId="0" borderId="7" xfId="0" applyFont="1"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23" fillId="3" borderId="2" xfId="0" applyFont="1" applyFill="1" applyBorder="1" applyAlignment="1">
      <alignment vertical="center" wrapText="1"/>
    </xf>
    <xf numFmtId="0" fontId="23" fillId="3" borderId="5" xfId="0" applyFont="1" applyFill="1" applyBorder="1" applyAlignment="1">
      <alignment vertical="center" wrapText="1"/>
    </xf>
    <xf numFmtId="0" fontId="23" fillId="3" borderId="6" xfId="0" applyFont="1" applyFill="1" applyBorder="1" applyAlignment="1">
      <alignment vertical="center" wrapText="1"/>
    </xf>
    <xf numFmtId="0" fontId="15" fillId="0" borderId="2" xfId="0" applyFont="1" applyBorder="1" applyAlignment="1">
      <alignment horizontal="left" vertical="center" wrapText="1"/>
    </xf>
    <xf numFmtId="0" fontId="15" fillId="0" borderId="5" xfId="0" applyFont="1" applyBorder="1" applyAlignment="1">
      <alignment horizontal="left" vertical="center" wrapText="1"/>
    </xf>
    <xf numFmtId="0" fontId="15" fillId="0" borderId="6" xfId="0" applyFont="1" applyBorder="1" applyAlignment="1">
      <alignment horizontal="left" vertical="center" wrapText="1"/>
    </xf>
    <xf numFmtId="0" fontId="15" fillId="0" borderId="17" xfId="0" applyFont="1" applyBorder="1" applyAlignment="1">
      <alignment horizontal="center" vertical="top" wrapText="1"/>
    </xf>
    <xf numFmtId="0" fontId="15" fillId="0" borderId="19" xfId="0" applyFont="1" applyBorder="1" applyAlignment="1">
      <alignment horizontal="center" vertical="top" wrapText="1"/>
    </xf>
    <xf numFmtId="0" fontId="15" fillId="0" borderId="18" xfId="0" applyFont="1" applyBorder="1" applyAlignment="1">
      <alignment horizontal="center" vertical="top" wrapText="1"/>
    </xf>
    <xf numFmtId="0" fontId="15" fillId="0" borderId="3" xfId="0" applyFont="1" applyBorder="1" applyAlignment="1">
      <alignment horizontal="center" vertical="top" wrapText="1"/>
    </xf>
    <xf numFmtId="0" fontId="15" fillId="0" borderId="4" xfId="0" applyFont="1" applyBorder="1" applyAlignment="1">
      <alignment horizontal="center" vertical="top" wrapText="1"/>
    </xf>
    <xf numFmtId="0" fontId="15" fillId="0" borderId="7" xfId="0" applyFont="1" applyBorder="1" applyAlignment="1">
      <alignment horizontal="center" vertical="top" wrapText="1"/>
    </xf>
    <xf numFmtId="0" fontId="15" fillId="0" borderId="2" xfId="0" applyFont="1" applyBorder="1" applyAlignment="1">
      <alignment horizontal="left" vertical="top" wrapText="1"/>
    </xf>
    <xf numFmtId="0" fontId="15" fillId="0" borderId="5" xfId="0" applyFont="1" applyBorder="1" applyAlignment="1">
      <alignment horizontal="left" vertical="top" wrapText="1"/>
    </xf>
    <xf numFmtId="0" fontId="15" fillId="0" borderId="6" xfId="0" applyFont="1" applyBorder="1" applyAlignment="1">
      <alignment horizontal="left" vertical="top" wrapText="1"/>
    </xf>
    <xf numFmtId="0" fontId="29" fillId="0" borderId="2" xfId="0" applyFont="1" applyBorder="1" applyAlignment="1">
      <alignment horizontal="left"/>
    </xf>
    <xf numFmtId="0" fontId="29" fillId="0" borderId="6" xfId="0" applyFont="1" applyBorder="1" applyAlignment="1">
      <alignment horizontal="left"/>
    </xf>
    <xf numFmtId="0" fontId="15" fillId="0" borderId="1" xfId="0" applyFont="1" applyBorder="1" applyAlignment="1">
      <alignment horizontal="center" vertical="top" wrapText="1"/>
    </xf>
    <xf numFmtId="0" fontId="15" fillId="0" borderId="1" xfId="0" applyFont="1" applyBorder="1" applyAlignment="1">
      <alignment horizontal="left" vertical="center" wrapText="1"/>
    </xf>
    <xf numFmtId="0" fontId="0" fillId="0" borderId="1" xfId="0" applyBorder="1" applyAlignment="1">
      <alignment horizontal="center" vertical="center" wrapText="1"/>
    </xf>
    <xf numFmtId="0" fontId="29" fillId="0" borderId="2" xfId="0" applyFont="1" applyBorder="1" applyAlignment="1">
      <alignment horizontal="center" vertical="top" wrapText="1"/>
    </xf>
    <xf numFmtId="0" fontId="29" fillId="0" borderId="6" xfId="0" applyFont="1" applyBorder="1" applyAlignment="1">
      <alignment horizontal="center" vertical="top" wrapText="1"/>
    </xf>
    <xf numFmtId="0" fontId="15" fillId="0" borderId="1" xfId="0" applyFont="1"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18" xfId="0" applyBorder="1" applyAlignment="1">
      <alignment horizontal="center" vertical="center" wrapText="1"/>
    </xf>
    <xf numFmtId="0" fontId="15" fillId="2" borderId="16" xfId="0" applyFont="1" applyFill="1" applyBorder="1" applyAlignment="1">
      <alignment horizontal="left" vertical="center" wrapText="1"/>
    </xf>
    <xf numFmtId="0" fontId="15" fillId="2" borderId="15" xfId="0" applyFont="1" applyFill="1" applyBorder="1" applyAlignment="1">
      <alignment horizontal="left" vertical="center" wrapText="1"/>
    </xf>
    <xf numFmtId="0" fontId="15" fillId="2" borderId="14" xfId="0" applyFont="1" applyFill="1" applyBorder="1" applyAlignment="1">
      <alignment horizontal="left" vertical="center" wrapText="1"/>
    </xf>
    <xf numFmtId="0" fontId="15" fillId="0" borderId="20" xfId="0" applyFont="1" applyBorder="1" applyAlignment="1">
      <alignment horizontal="left" vertical="center" wrapText="1"/>
    </xf>
    <xf numFmtId="0" fontId="15" fillId="0" borderId="21" xfId="0" applyFont="1" applyBorder="1" applyAlignment="1">
      <alignment horizontal="left" vertical="center" wrapText="1"/>
    </xf>
    <xf numFmtId="0" fontId="15" fillId="0" borderId="22" xfId="0" applyFont="1" applyBorder="1" applyAlignment="1">
      <alignment horizontal="left" vertical="center" wrapText="1"/>
    </xf>
    <xf numFmtId="0" fontId="0" fillId="0" borderId="17" xfId="0" applyBorder="1" applyAlignment="1">
      <alignment horizontal="left" vertical="center" wrapText="1"/>
    </xf>
    <xf numFmtId="0" fontId="0" fillId="0" borderId="19" xfId="0" applyBorder="1" applyAlignment="1">
      <alignment horizontal="left" vertical="center" wrapText="1"/>
    </xf>
    <xf numFmtId="0" fontId="0" fillId="0" borderId="18" xfId="0" applyBorder="1" applyAlignment="1">
      <alignment horizontal="left" vertical="center" wrapText="1"/>
    </xf>
    <xf numFmtId="0" fontId="0" fillId="0" borderId="1" xfId="0" applyBorder="1" applyAlignment="1">
      <alignment horizontal="left" vertical="center" wrapText="1"/>
    </xf>
    <xf numFmtId="0" fontId="15" fillId="0" borderId="1" xfId="0" applyFont="1" applyBorder="1" applyAlignment="1">
      <alignment horizontal="left" vertical="top" wrapText="1"/>
    </xf>
    <xf numFmtId="0" fontId="15" fillId="0" borderId="17" xfId="0" applyFont="1" applyBorder="1" applyAlignment="1">
      <alignment horizontal="center" vertical="center" wrapText="1"/>
    </xf>
    <xf numFmtId="0" fontId="15" fillId="0" borderId="19" xfId="0" applyFont="1" applyBorder="1" applyAlignment="1">
      <alignment horizontal="center" vertical="center" wrapText="1"/>
    </xf>
    <xf numFmtId="0" fontId="15" fillId="0" borderId="18" xfId="0" applyFont="1" applyBorder="1" applyAlignment="1">
      <alignment horizontal="center" vertical="center" wrapText="1"/>
    </xf>
    <xf numFmtId="0" fontId="15" fillId="0" borderId="1" xfId="0" applyFont="1" applyBorder="1" applyAlignment="1">
      <alignment horizontal="center"/>
    </xf>
    <xf numFmtId="0" fontId="15" fillId="0" borderId="2" xfId="0" applyFont="1" applyBorder="1" applyAlignment="1">
      <alignment horizontal="left"/>
    </xf>
    <xf numFmtId="0" fontId="15" fillId="0" borderId="5" xfId="0" applyFont="1" applyBorder="1" applyAlignment="1">
      <alignment horizontal="left"/>
    </xf>
    <xf numFmtId="0" fontId="15" fillId="0" borderId="6" xfId="0" applyFont="1" applyBorder="1" applyAlignment="1">
      <alignment horizontal="left"/>
    </xf>
    <xf numFmtId="0" fontId="29" fillId="0" borderId="2" xfId="0" applyFont="1" applyBorder="1" applyAlignment="1">
      <alignment horizontal="left" vertical="top" wrapText="1"/>
    </xf>
    <xf numFmtId="0" fontId="29" fillId="0" borderId="5" xfId="0" applyFont="1" applyBorder="1" applyAlignment="1">
      <alignment horizontal="left" vertical="top" wrapText="1"/>
    </xf>
    <xf numFmtId="0" fontId="29" fillId="0" borderId="6" xfId="0" applyFont="1" applyBorder="1" applyAlignment="1">
      <alignment horizontal="left" vertical="top" wrapText="1"/>
    </xf>
    <xf numFmtId="0" fontId="15" fillId="0" borderId="4" xfId="0" applyFont="1" applyBorder="1" applyAlignment="1">
      <alignment horizontal="center"/>
    </xf>
    <xf numFmtId="0" fontId="15" fillId="0" borderId="3" xfId="0" applyFont="1" applyBorder="1" applyAlignment="1">
      <alignment horizontal="center"/>
    </xf>
    <xf numFmtId="0" fontId="15" fillId="0" borderId="7" xfId="0" applyFont="1" applyBorder="1" applyAlignment="1">
      <alignment horizontal="center"/>
    </xf>
    <xf numFmtId="0" fontId="15" fillId="0" borderId="1" xfId="0" applyFont="1" applyBorder="1" applyAlignment="1">
      <alignment horizontal="left"/>
    </xf>
    <xf numFmtId="0" fontId="27" fillId="0" borderId="2" xfId="0" applyFont="1" applyBorder="1" applyAlignment="1">
      <alignment horizontal="left" vertical="center" wrapText="1"/>
    </xf>
    <xf numFmtId="0" fontId="27" fillId="0" borderId="5" xfId="0" applyFont="1" applyBorder="1" applyAlignment="1">
      <alignment horizontal="left" vertical="center" wrapText="1"/>
    </xf>
    <xf numFmtId="0" fontId="27" fillId="0" borderId="6" xfId="0" applyFont="1" applyBorder="1" applyAlignment="1">
      <alignment horizontal="left" vertical="center" wrapText="1"/>
    </xf>
    <xf numFmtId="0" fontId="0" fillId="0" borderId="2"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15" fillId="0" borderId="23" xfId="0" applyFont="1" applyBorder="1" applyAlignment="1">
      <alignment horizontal="left"/>
    </xf>
    <xf numFmtId="0" fontId="15" fillId="0" borderId="17" xfId="0" applyFont="1" applyBorder="1" applyAlignment="1">
      <alignment horizontal="center"/>
    </xf>
    <xf numFmtId="0" fontId="15" fillId="0" borderId="19" xfId="0" applyFont="1" applyBorder="1" applyAlignment="1">
      <alignment horizontal="center"/>
    </xf>
    <xf numFmtId="0" fontId="15" fillId="0" borderId="18" xfId="0" applyFont="1" applyBorder="1" applyAlignment="1">
      <alignment horizontal="center"/>
    </xf>
    <xf numFmtId="0" fontId="15" fillId="2" borderId="13" xfId="0" applyFont="1" applyFill="1" applyBorder="1" applyAlignment="1">
      <alignment horizontal="left" vertical="center" wrapText="1"/>
    </xf>
    <xf numFmtId="0" fontId="15" fillId="2" borderId="11" xfId="0" applyFont="1" applyFill="1" applyBorder="1" applyAlignment="1">
      <alignment horizontal="left" vertical="center" wrapText="1"/>
    </xf>
    <xf numFmtId="0" fontId="15" fillId="0" borderId="7" xfId="0" applyFont="1" applyBorder="1" applyAlignment="1">
      <alignment horizontal="left" vertical="center" wrapText="1"/>
    </xf>
  </cellXfs>
  <cellStyles count="24">
    <cellStyle name="Heading 1" xfId="3" builtinId="16" hidden="1"/>
    <cellStyle name="Heading 2" xfId="4" builtinId="17" hidden="1"/>
    <cellStyle name="Heading 3" xfId="5" builtinId="18" hidden="1"/>
    <cellStyle name="Heading 4" xfId="6" builtinId="19" hidden="1"/>
    <cellStyle name="Normal" xfId="0" builtinId="0" customBuiltin="1"/>
    <cellStyle name="Normal 10" xfId="15" xr:uid="{0D412F53-819B-4E4A-A3EE-9D7144E92E44}"/>
    <cellStyle name="Normal 10 2" xfId="17" xr:uid="{933DC1A9-8B29-4A23-A426-647E7273ADD5}"/>
    <cellStyle name="Normal 10 3" xfId="19" xr:uid="{C83836CD-6A86-4110-A5AB-83F91056B50C}"/>
    <cellStyle name="Normal 10 4" xfId="21" xr:uid="{63021B4B-1788-4FC4-9FFF-0CB780490BD2}"/>
    <cellStyle name="Normal 10 5" xfId="23" xr:uid="{C0303AF5-5600-4797-9CC6-C019751DA7D5}"/>
    <cellStyle name="Normal 11" xfId="16" xr:uid="{D787E05F-3AB2-46F7-A50E-F6E7B7D7CA24}"/>
    <cellStyle name="Normal 12" xfId="18" xr:uid="{AC13F3F9-CF63-47DB-85D0-6611DE095CFA}"/>
    <cellStyle name="Normal 13" xfId="20" xr:uid="{35A11A27-326B-45A7-A892-DF61E233553E}"/>
    <cellStyle name="Normal 14" xfId="22" xr:uid="{9893E7E6-4C88-45F8-B1B0-B9DBF15000D9}"/>
    <cellStyle name="Normal 2" xfId="7" xr:uid="{89880369-3DC4-4832-88E3-BE5137427724}"/>
    <cellStyle name="Normal 3" xfId="8" xr:uid="{56A6D65D-053D-4590-A654-B244676762F8}"/>
    <cellStyle name="Normal 4" xfId="9" xr:uid="{26B8B717-C67B-4A37-AEC9-1F136D9DC65E}"/>
    <cellStyle name="Normal 5" xfId="10" xr:uid="{A71EA3F4-5242-4856-92E9-8D235138A91B}"/>
    <cellStyle name="Normal 6" xfId="11" xr:uid="{5D5E0249-B94C-4EC9-8AC1-710BAF4D2B8A}"/>
    <cellStyle name="Normal 7" xfId="12" xr:uid="{15451DEE-3F78-4179-B5F6-38FF717BA353}"/>
    <cellStyle name="Normal 8" xfId="13" xr:uid="{3CDF57B0-33D9-4055-98EC-706C4DBF90ED}"/>
    <cellStyle name="Normal 9" xfId="14" xr:uid="{18E29E04-78EB-47DA-8794-EAFCDBD8AFE4}"/>
    <cellStyle name="SmallBold" xfId="1" xr:uid="{00000000-0005-0000-0000-000005000000}"/>
    <cellStyle name="Title" xfId="2" builtinId="15"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105062561/AppData/Local/Microsoft/Windows/Temporary%20Internet%20Files/Content.IE5/UHR7LRS9/V0P01C01-1_001_Document%20Map%20Showing%20All%20Docs.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templates/office/2010/Z_ExcelAddIn.xlam" TargetMode="External"/><Relationship Id="rId1" Type="http://schemas.openxmlformats.org/officeDocument/2006/relationships/externalLinkPath" Target="file:///c:/templates/office/2010/Z_Excel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oter"/>
      <sheetName val="FrontPage"/>
      <sheetName val="Document Map"/>
      <sheetName val="ModRecord"/>
    </sheetNames>
    <sheetDataSet>
      <sheetData sheetId="0">
        <row r="2">
          <cell r="H2" t="str">
            <v>RM-Rugby</v>
          </cell>
        </row>
        <row r="3">
          <cell r="H3" t="str">
            <v>RM-Yantai</v>
          </cell>
        </row>
        <row r="4">
          <cell r="H4" t="str">
            <v>RM-Nancy</v>
          </cell>
        </row>
        <row r="5">
          <cell r="H5" t="str">
            <v>SD-Rugby</v>
          </cell>
        </row>
        <row r="6">
          <cell r="H6" t="str">
            <v>SD-Kidsgrove</v>
          </cell>
        </row>
        <row r="7">
          <cell r="H7" t="str">
            <v>SD-Glasgow</v>
          </cell>
        </row>
        <row r="8">
          <cell r="H8" t="str">
            <v>SD-Massy</v>
          </cell>
        </row>
        <row r="9">
          <cell r="H9" t="str">
            <v>SD-Belfort</v>
          </cell>
        </row>
        <row r="10">
          <cell r="H10" t="str">
            <v>SD-Berlin</v>
          </cell>
        </row>
        <row r="11">
          <cell r="H11" t="str">
            <v>SD-Pittsburgh</v>
          </cell>
        </row>
      </sheetData>
      <sheetData sheetId="1" refreshError="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Sheet3"/>
      <sheetName val="Z_ExcelAddIn"/>
    </sheetNames>
    <definedNames>
      <definedName name="GetBuiltInDocProp"/>
      <definedName name="GetCustomDocProp"/>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21F6-101B-47B3-A1E3-52FA1273229B}">
  <sheetPr codeName="Sheet5"/>
  <dimension ref="A6:E19"/>
  <sheetViews>
    <sheetView zoomScaleNormal="100" workbookViewId="0"/>
  </sheetViews>
  <sheetFormatPr baseColWidth="10" defaultColWidth="9.19921875" defaultRowHeight="13"/>
  <cols>
    <col min="1" max="1" width="46.3984375" customWidth="1"/>
    <col min="2" max="4" width="12.796875" customWidth="1"/>
    <col min="5" max="5" width="10.3984375" customWidth="1"/>
    <col min="6" max="6" width="9" customWidth="1"/>
  </cols>
  <sheetData>
    <row r="6" spans="1:5" ht="29.25" customHeight="1">
      <c r="A6" s="181" t="str">
        <f>[2]!GetCustomDocProp("CustName")</f>
        <v>DSEC</v>
      </c>
      <c r="B6" s="181"/>
      <c r="C6" s="181"/>
      <c r="D6" s="181"/>
      <c r="E6" s="181"/>
    </row>
    <row r="7" spans="1:5" ht="31.5" customHeight="1">
      <c r="A7" s="181" t="str">
        <f xml:space="preserve"> [2]!GetCustomDocProp("ProjName")</f>
        <v>National Security Multi-Mission Vessel</v>
      </c>
      <c r="B7" s="181"/>
      <c r="C7" s="181"/>
      <c r="D7" s="181"/>
      <c r="E7" s="181"/>
    </row>
    <row r="8" spans="1:5" ht="39" customHeight="1">
      <c r="A8" s="181" t="str">
        <f>[2]!GetBuiltInDocProp("Title")</f>
        <v>Contract Document and Drawing List</v>
      </c>
      <c r="B8" s="181"/>
      <c r="C8" s="181"/>
      <c r="D8" s="181"/>
      <c r="E8" s="181"/>
    </row>
    <row r="9" spans="1:5" ht="25.5" customHeight="1">
      <c r="A9" s="20" t="str">
        <f>[2]!GetCustomDocProp("OptSubTit1")</f>
        <v/>
      </c>
    </row>
    <row r="10" spans="1:5" ht="25.5" customHeight="1">
      <c r="A10" s="46" t="str">
        <f>[2]!GetCustomDocProp("OptSubTit2")</f>
        <v/>
      </c>
    </row>
    <row r="11" spans="1:5" ht="14">
      <c r="A11" s="45" t="s">
        <v>0</v>
      </c>
      <c r="B11" s="180" t="str">
        <f xml:space="preserve"> [2]!GetBuiltInDocProp("Author")</f>
        <v>Halitsky, Craig</v>
      </c>
      <c r="C11" s="180"/>
      <c r="D11" s="180"/>
      <c r="E11" s="180"/>
    </row>
    <row r="12" spans="1:5" ht="14">
      <c r="A12" s="45" t="s">
        <v>2</v>
      </c>
      <c r="B12" s="94" t="s">
        <v>654</v>
      </c>
      <c r="C12" s="44"/>
      <c r="D12" s="44"/>
      <c r="E12" s="44"/>
    </row>
    <row r="13" spans="1:5" ht="14">
      <c r="A13" s="45" t="s">
        <v>4</v>
      </c>
      <c r="B13" s="92">
        <v>44469</v>
      </c>
      <c r="C13" s="44"/>
      <c r="D13" s="44"/>
      <c r="E13" s="44"/>
    </row>
    <row r="14" spans="1:5" ht="14">
      <c r="A14" s="45" t="s">
        <v>5</v>
      </c>
      <c r="B14" s="180" t="s">
        <v>1240</v>
      </c>
      <c r="C14" s="180"/>
      <c r="D14" s="180"/>
      <c r="E14" s="180"/>
    </row>
    <row r="15" spans="1:5">
      <c r="A15" s="180" t="s">
        <v>7</v>
      </c>
      <c r="B15" s="180"/>
      <c r="C15" s="180"/>
      <c r="D15" s="180"/>
      <c r="E15" s="180"/>
    </row>
    <row r="16" spans="1:5" ht="12.75" customHeight="1">
      <c r="A16" s="44" t="s">
        <v>8</v>
      </c>
      <c r="B16" s="44" t="str">
        <f>[2]!GetCustomDocProp("OrigTechSource")</f>
        <v/>
      </c>
      <c r="C16" s="44"/>
      <c r="D16" s="44"/>
      <c r="E16" s="44"/>
    </row>
    <row r="17" spans="1:5" ht="26.25" customHeight="1">
      <c r="A17" s="45" t="s">
        <v>9</v>
      </c>
      <c r="B17" s="44" t="str">
        <f>[2]!GetCustomDocProp("Tag1")</f>
        <v>Not Tagged</v>
      </c>
      <c r="C17" s="44" t="str">
        <f>[2]!GetCustomDocProp("Tag2")</f>
        <v/>
      </c>
      <c r="D17" s="44" t="str">
        <f>[2]!GetCustomDocProp("Tag3")</f>
        <v/>
      </c>
    </row>
    <row r="19" spans="1:5" ht="102.75" customHeight="1">
      <c r="A19" s="180" t="str">
        <f>"©COPYRIGHT "&amp;[2]!GetCustomDocProp("DocCreateYear")&amp;" GENERAL ELECTRIC COMPANY AND/OR ITS AFFILIATES. All rights reserved."&amp;"  This document and the information it contains is the property of the General Electric Company and/or its affiliates."&amp;" It has been provided solely for private use."&amp;" Copying, reproducing, selling, importing, exporting, displaying, transmitting or distributing this document"&amp;" and any of the information it contains is strictly prohibited except as expressly authorized in writing by the General Electric Company and/or its affiliates."</f>
        <v>©COPYRIGHT 2021 GENERAL ELECTRIC COMPANY AND/OR ITS AFFILIATES. All rights reserved.  This document and the information it contains is the property of the General Electric Company and/or its affiliates. It has been provided solely for private use. Copying, reproducing, selling, importing, exporting, displaying, transmitting or distributing this document and any of the information it contains is strictly prohibited except as expressly authorized in writing by the General Electric Company and/or its affiliates.</v>
      </c>
      <c r="B19" s="180"/>
      <c r="C19" s="180"/>
      <c r="D19" s="180"/>
      <c r="E19" s="180"/>
    </row>
  </sheetData>
  <sheetProtection sheet="1" objects="1" scenarios="1" selectLockedCells="1"/>
  <dataConsolidate link="1"/>
  <mergeCells count="7">
    <mergeCell ref="A19:E19"/>
    <mergeCell ref="A6:E6"/>
    <mergeCell ref="A7:E7"/>
    <mergeCell ref="A8:E8"/>
    <mergeCell ref="B11:E11"/>
    <mergeCell ref="B14:E14"/>
    <mergeCell ref="A15:E15"/>
  </mergeCells>
  <pageMargins left="0.74803149606299213" right="0.27559055118110232" top="1.0629921259842521" bottom="1.1811023622047243" header="0.4724409448818897" footer="0.19685039370078738"/>
  <pageSetup orientation="landscape" r:id="rId1"/>
  <headerFooter alignWithMargins="0">
    <oddHeader>&amp;R&amp;G&amp;L&amp;G</oddHeader>
    <oddFooter>&amp;L_x000D_Contract Document and Drawing List_x000D_&amp;F_x000D__x000D_&amp;C_x000D__x000D_© 2021 GENERAL ELECTRIC COMPANY AND/OR ITS AFFILIATES. All rights reserved._x000D_&amp;RCLASS II (GE INTERNAL NON-CRITICAL)_x000D_V0P01C01_x000D_Rev002_x000D_2021-09-30_x000D_Page &amp;P /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C6F34-FF29-4DD4-9B10-415D2B4321BB}">
  <dimension ref="B1:H2501"/>
  <sheetViews>
    <sheetView topLeftCell="A2361" zoomScale="115" zoomScaleNormal="115" workbookViewId="0">
      <pane xSplit="5" topLeftCell="F1" activePane="topRight" state="frozen"/>
      <selection pane="topRight" activeCell="B2394" sqref="B2394"/>
    </sheetView>
  </sheetViews>
  <sheetFormatPr baseColWidth="10" defaultColWidth="9" defaultRowHeight="14"/>
  <cols>
    <col min="1" max="1" width="2" customWidth="1"/>
    <col min="2" max="2" width="20.19921875" style="117" bestFit="1" customWidth="1"/>
    <col min="3" max="3" width="21.19921875" style="117" bestFit="1" customWidth="1"/>
    <col min="4" max="4" width="34.59765625" style="117" bestFit="1" customWidth="1"/>
    <col min="5" max="5" width="26.3984375" style="117" customWidth="1"/>
    <col min="6" max="6" width="98.3984375" style="117" bestFit="1" customWidth="1"/>
  </cols>
  <sheetData>
    <row r="1" spans="2:6" ht="7.5" customHeight="1"/>
    <row r="2" spans="2:6" ht="16">
      <c r="B2" s="118" t="s">
        <v>410</v>
      </c>
      <c r="C2" s="118" t="s">
        <v>411</v>
      </c>
      <c r="D2" s="118" t="s">
        <v>412</v>
      </c>
      <c r="E2" s="118" t="s">
        <v>413</v>
      </c>
      <c r="F2" s="118" t="s">
        <v>414</v>
      </c>
    </row>
    <row r="3" spans="2:6">
      <c r="B3" s="113">
        <v>1</v>
      </c>
      <c r="C3" s="95">
        <v>44071</v>
      </c>
      <c r="D3" s="113" t="s">
        <v>415</v>
      </c>
      <c r="E3" s="184"/>
      <c r="F3" s="185"/>
    </row>
    <row r="4" spans="2:6">
      <c r="B4" s="182"/>
      <c r="C4" s="204"/>
      <c r="D4" s="182"/>
      <c r="E4" s="71" t="s">
        <v>416</v>
      </c>
      <c r="F4" s="119" t="s">
        <v>417</v>
      </c>
    </row>
    <row r="5" spans="2:6">
      <c r="B5" s="183"/>
      <c r="C5" s="205"/>
      <c r="D5" s="183"/>
      <c r="E5" s="71" t="s">
        <v>418</v>
      </c>
      <c r="F5" s="119" t="s">
        <v>419</v>
      </c>
    </row>
    <row r="6" spans="2:6">
      <c r="B6" s="183"/>
      <c r="C6" s="205"/>
      <c r="D6" s="183"/>
      <c r="E6" s="71" t="s">
        <v>420</v>
      </c>
      <c r="F6" s="119" t="s">
        <v>421</v>
      </c>
    </row>
    <row r="7" spans="2:6">
      <c r="B7" s="183"/>
      <c r="C7" s="205"/>
      <c r="D7" s="183"/>
      <c r="E7" s="71" t="s">
        <v>422</v>
      </c>
      <c r="F7" s="119" t="s">
        <v>423</v>
      </c>
    </row>
    <row r="8" spans="2:6">
      <c r="B8" s="183"/>
      <c r="C8" s="205"/>
      <c r="D8" s="183"/>
      <c r="E8" s="71" t="s">
        <v>424</v>
      </c>
      <c r="F8" s="119" t="s">
        <v>425</v>
      </c>
    </row>
    <row r="9" spans="2:6">
      <c r="B9" s="183"/>
      <c r="C9" s="205"/>
      <c r="D9" s="183"/>
      <c r="E9" s="120" t="s">
        <v>426</v>
      </c>
      <c r="F9" s="119" t="s">
        <v>427</v>
      </c>
    </row>
    <row r="10" spans="2:6">
      <c r="B10" s="186"/>
      <c r="C10" s="206"/>
      <c r="D10" s="186"/>
      <c r="E10" s="71" t="s">
        <v>428</v>
      </c>
      <c r="F10" s="119" t="s">
        <v>429</v>
      </c>
    </row>
    <row r="11" spans="2:6">
      <c r="B11" s="113">
        <v>2</v>
      </c>
      <c r="C11" s="95">
        <v>44071</v>
      </c>
      <c r="D11" s="113" t="s">
        <v>430</v>
      </c>
      <c r="E11" s="207"/>
      <c r="F11" s="208"/>
    </row>
    <row r="12" spans="2:6">
      <c r="B12" s="182"/>
      <c r="C12" s="204"/>
      <c r="D12" s="182"/>
      <c r="E12" s="71" t="s">
        <v>377</v>
      </c>
      <c r="F12" s="119" t="s">
        <v>431</v>
      </c>
    </row>
    <row r="13" spans="2:6">
      <c r="B13" s="183"/>
      <c r="C13" s="205"/>
      <c r="D13" s="183"/>
      <c r="E13" s="71" t="s">
        <v>45</v>
      </c>
      <c r="F13" s="119" t="s">
        <v>432</v>
      </c>
    </row>
    <row r="14" spans="2:6">
      <c r="B14" s="183"/>
      <c r="C14" s="205"/>
      <c r="D14" s="183"/>
      <c r="E14" s="71" t="s">
        <v>45</v>
      </c>
      <c r="F14" s="119" t="s">
        <v>433</v>
      </c>
    </row>
    <row r="15" spans="2:6">
      <c r="B15" s="183"/>
      <c r="C15" s="205"/>
      <c r="D15" s="183"/>
      <c r="E15" s="71" t="s">
        <v>45</v>
      </c>
      <c r="F15" s="119" t="s">
        <v>434</v>
      </c>
    </row>
    <row r="16" spans="2:6">
      <c r="B16" s="183"/>
      <c r="C16" s="205"/>
      <c r="D16" s="183"/>
      <c r="E16" s="71" t="s">
        <v>45</v>
      </c>
      <c r="F16" s="119" t="s">
        <v>435</v>
      </c>
    </row>
    <row r="17" spans="2:6">
      <c r="B17" s="183"/>
      <c r="C17" s="205"/>
      <c r="D17" s="183"/>
      <c r="E17" s="121" t="s">
        <v>45</v>
      </c>
      <c r="F17" s="122" t="s">
        <v>436</v>
      </c>
    </row>
    <row r="18" spans="2:6">
      <c r="B18" s="113">
        <v>3</v>
      </c>
      <c r="C18" s="95">
        <v>44071</v>
      </c>
      <c r="D18" s="113" t="s">
        <v>79</v>
      </c>
      <c r="E18" s="202"/>
      <c r="F18" s="203"/>
    </row>
    <row r="19" spans="2:6">
      <c r="B19" s="182"/>
      <c r="C19" s="204"/>
      <c r="D19" s="182"/>
      <c r="E19" s="71" t="s">
        <v>357</v>
      </c>
      <c r="F19" s="70" t="s">
        <v>270</v>
      </c>
    </row>
    <row r="20" spans="2:6">
      <c r="B20" s="183"/>
      <c r="C20" s="205"/>
      <c r="D20" s="183"/>
      <c r="E20" s="71" t="s">
        <v>353</v>
      </c>
      <c r="F20" s="70" t="s">
        <v>273</v>
      </c>
    </row>
    <row r="21" spans="2:6">
      <c r="B21" s="183"/>
      <c r="C21" s="205"/>
      <c r="D21" s="183"/>
      <c r="E21" s="71" t="s">
        <v>356</v>
      </c>
      <c r="F21" s="70" t="s">
        <v>437</v>
      </c>
    </row>
    <row r="22" spans="2:6">
      <c r="B22" s="183"/>
      <c r="C22" s="205"/>
      <c r="D22" s="183"/>
      <c r="E22" s="71" t="s">
        <v>379</v>
      </c>
      <c r="F22" s="70" t="s">
        <v>378</v>
      </c>
    </row>
    <row r="23" spans="2:6">
      <c r="B23" s="183"/>
      <c r="C23" s="205"/>
      <c r="D23" s="183"/>
      <c r="E23" s="71" t="s">
        <v>360</v>
      </c>
      <c r="F23" s="70" t="s">
        <v>438</v>
      </c>
    </row>
    <row r="24" spans="2:6">
      <c r="B24" s="183"/>
      <c r="C24" s="205"/>
      <c r="D24" s="183"/>
      <c r="E24" s="71" t="s">
        <v>359</v>
      </c>
      <c r="F24" s="70" t="s">
        <v>439</v>
      </c>
    </row>
    <row r="25" spans="2:6">
      <c r="B25" s="183"/>
      <c r="C25" s="205"/>
      <c r="D25" s="183"/>
      <c r="E25" s="71" t="s">
        <v>358</v>
      </c>
      <c r="F25" s="70" t="s">
        <v>440</v>
      </c>
    </row>
    <row r="26" spans="2:6">
      <c r="B26" s="183"/>
      <c r="C26" s="205"/>
      <c r="D26" s="183"/>
      <c r="E26" s="71" t="s">
        <v>362</v>
      </c>
      <c r="F26" s="70" t="s">
        <v>179</v>
      </c>
    </row>
    <row r="27" spans="2:6">
      <c r="B27" s="183"/>
      <c r="C27" s="205"/>
      <c r="D27" s="183"/>
      <c r="E27" s="71" t="s">
        <v>363</v>
      </c>
      <c r="F27" s="70" t="s">
        <v>268</v>
      </c>
    </row>
    <row r="28" spans="2:6">
      <c r="B28" s="183"/>
      <c r="C28" s="205"/>
      <c r="D28" s="183"/>
      <c r="E28" s="71" t="s">
        <v>364</v>
      </c>
      <c r="F28" s="70" t="s">
        <v>441</v>
      </c>
    </row>
    <row r="29" spans="2:6">
      <c r="B29" s="183"/>
      <c r="C29" s="205"/>
      <c r="D29" s="183"/>
      <c r="E29" s="71" t="s">
        <v>361</v>
      </c>
      <c r="F29" s="70" t="s">
        <v>281</v>
      </c>
    </row>
    <row r="30" spans="2:6">
      <c r="B30" s="183"/>
      <c r="C30" s="205"/>
      <c r="D30" s="183"/>
      <c r="E30" s="71" t="s">
        <v>365</v>
      </c>
      <c r="F30" s="70" t="s">
        <v>282</v>
      </c>
    </row>
    <row r="31" spans="2:6">
      <c r="B31" s="183"/>
      <c r="C31" s="205"/>
      <c r="D31" s="183"/>
      <c r="E31" s="71" t="s">
        <v>366</v>
      </c>
      <c r="F31" s="70" t="s">
        <v>442</v>
      </c>
    </row>
    <row r="32" spans="2:6">
      <c r="B32" s="183"/>
      <c r="C32" s="205"/>
      <c r="D32" s="183"/>
      <c r="E32" s="71" t="s">
        <v>367</v>
      </c>
      <c r="F32" s="70" t="s">
        <v>284</v>
      </c>
    </row>
    <row r="33" spans="2:6">
      <c r="B33" s="183"/>
      <c r="C33" s="205"/>
      <c r="D33" s="183"/>
      <c r="E33" s="71" t="s">
        <v>368</v>
      </c>
      <c r="F33" s="70" t="s">
        <v>443</v>
      </c>
    </row>
    <row r="34" spans="2:6">
      <c r="B34" s="183"/>
      <c r="C34" s="205"/>
      <c r="D34" s="183"/>
      <c r="E34" s="71" t="s">
        <v>369</v>
      </c>
      <c r="F34" s="70" t="s">
        <v>286</v>
      </c>
    </row>
    <row r="35" spans="2:6">
      <c r="B35" s="183"/>
      <c r="C35" s="205"/>
      <c r="D35" s="183"/>
      <c r="E35" s="71" t="s">
        <v>370</v>
      </c>
      <c r="F35" s="70" t="s">
        <v>287</v>
      </c>
    </row>
    <row r="36" spans="2:6">
      <c r="B36" s="183"/>
      <c r="C36" s="205"/>
      <c r="D36" s="183"/>
      <c r="E36" s="71" t="s">
        <v>371</v>
      </c>
      <c r="F36" s="70" t="s">
        <v>444</v>
      </c>
    </row>
    <row r="37" spans="2:6">
      <c r="B37" s="183"/>
      <c r="C37" s="205"/>
      <c r="D37" s="183"/>
      <c r="E37" s="71" t="s">
        <v>376</v>
      </c>
      <c r="F37" s="70" t="s">
        <v>445</v>
      </c>
    </row>
    <row r="38" spans="2:6">
      <c r="B38" s="183"/>
      <c r="C38" s="205"/>
      <c r="D38" s="183"/>
      <c r="E38" s="71" t="s">
        <v>375</v>
      </c>
      <c r="F38" s="70" t="s">
        <v>446</v>
      </c>
    </row>
    <row r="39" spans="2:6">
      <c r="B39" s="183"/>
      <c r="C39" s="205"/>
      <c r="D39" s="183"/>
      <c r="E39" s="71" t="s">
        <v>374</v>
      </c>
      <c r="F39" s="70" t="s">
        <v>447</v>
      </c>
    </row>
    <row r="40" spans="2:6">
      <c r="B40" s="183"/>
      <c r="C40" s="205"/>
      <c r="D40" s="183"/>
      <c r="E40" s="71" t="s">
        <v>373</v>
      </c>
      <c r="F40" s="70" t="s">
        <v>264</v>
      </c>
    </row>
    <row r="41" spans="2:6">
      <c r="B41" s="183"/>
      <c r="C41" s="205"/>
      <c r="D41" s="183"/>
      <c r="E41" s="71" t="s">
        <v>372</v>
      </c>
      <c r="F41" s="70" t="s">
        <v>448</v>
      </c>
    </row>
    <row r="42" spans="2:6">
      <c r="B42" s="183"/>
      <c r="C42" s="205"/>
      <c r="D42" s="183"/>
      <c r="E42" s="71" t="s">
        <v>355</v>
      </c>
      <c r="F42" s="70" t="s">
        <v>37</v>
      </c>
    </row>
    <row r="43" spans="2:6">
      <c r="B43" s="186"/>
      <c r="C43" s="206"/>
      <c r="D43" s="186"/>
      <c r="E43" s="71" t="s">
        <v>354</v>
      </c>
      <c r="F43" s="70" t="s">
        <v>449</v>
      </c>
    </row>
    <row r="44" spans="2:6">
      <c r="B44" s="113" t="s">
        <v>450</v>
      </c>
      <c r="C44" s="95">
        <v>44074</v>
      </c>
      <c r="D44" s="113" t="s">
        <v>224</v>
      </c>
      <c r="E44" s="199"/>
      <c r="F44" s="201"/>
    </row>
    <row r="45" spans="2:6">
      <c r="B45" s="192"/>
      <c r="C45" s="192"/>
      <c r="D45" s="192"/>
      <c r="E45" s="71" t="s">
        <v>451</v>
      </c>
      <c r="F45" s="70" t="s">
        <v>452</v>
      </c>
    </row>
    <row r="46" spans="2:6">
      <c r="B46" s="192"/>
      <c r="C46" s="192"/>
      <c r="D46" s="192"/>
      <c r="E46" s="71" t="s">
        <v>453</v>
      </c>
      <c r="F46" s="70" t="s">
        <v>454</v>
      </c>
    </row>
    <row r="47" spans="2:6">
      <c r="B47" s="192"/>
      <c r="C47" s="192"/>
      <c r="D47" s="192"/>
      <c r="E47" s="71" t="s">
        <v>455</v>
      </c>
      <c r="F47" s="70" t="s">
        <v>456</v>
      </c>
    </row>
    <row r="48" spans="2:6">
      <c r="B48" s="113">
        <v>5</v>
      </c>
      <c r="C48" s="95">
        <v>44078</v>
      </c>
      <c r="D48" s="113" t="s">
        <v>415</v>
      </c>
      <c r="E48" s="199"/>
      <c r="F48" s="201"/>
    </row>
    <row r="49" spans="2:6">
      <c r="B49" s="192"/>
      <c r="C49" s="192"/>
      <c r="D49" s="192"/>
      <c r="E49" s="71" t="s">
        <v>457</v>
      </c>
      <c r="F49" s="70" t="s">
        <v>458</v>
      </c>
    </row>
    <row r="50" spans="2:6">
      <c r="B50" s="192"/>
      <c r="C50" s="192"/>
      <c r="D50" s="192"/>
      <c r="E50" s="71" t="s">
        <v>459</v>
      </c>
      <c r="F50" s="70" t="s">
        <v>460</v>
      </c>
    </row>
    <row r="51" spans="2:6">
      <c r="B51" s="192"/>
      <c r="C51" s="192"/>
      <c r="D51" s="192"/>
      <c r="E51" s="71" t="s">
        <v>461</v>
      </c>
      <c r="F51" s="70" t="s">
        <v>462</v>
      </c>
    </row>
    <row r="52" spans="2:6">
      <c r="B52" s="192"/>
      <c r="C52" s="192"/>
      <c r="D52" s="192"/>
      <c r="E52" s="71" t="s">
        <v>463</v>
      </c>
      <c r="F52" s="70" t="s">
        <v>464</v>
      </c>
    </row>
    <row r="53" spans="2:6">
      <c r="B53" s="192"/>
      <c r="C53" s="192"/>
      <c r="D53" s="192"/>
      <c r="E53" s="71">
        <v>2014500</v>
      </c>
      <c r="F53" s="70" t="s">
        <v>465</v>
      </c>
    </row>
    <row r="54" spans="2:6">
      <c r="B54" s="113">
        <v>6</v>
      </c>
      <c r="C54" s="95">
        <v>44081</v>
      </c>
      <c r="D54" s="113" t="s">
        <v>466</v>
      </c>
      <c r="E54" s="199"/>
      <c r="F54" s="201"/>
    </row>
    <row r="55" spans="2:6">
      <c r="B55" s="182"/>
      <c r="C55" s="182"/>
      <c r="D55" s="182"/>
      <c r="E55" s="71" t="s">
        <v>392</v>
      </c>
      <c r="F55" s="70" t="s">
        <v>307</v>
      </c>
    </row>
    <row r="56" spans="2:6">
      <c r="B56" s="183"/>
      <c r="C56" s="183"/>
      <c r="D56" s="183"/>
      <c r="E56" s="71" t="s">
        <v>395</v>
      </c>
      <c r="F56" s="70" t="s">
        <v>467</v>
      </c>
    </row>
    <row r="57" spans="2:6">
      <c r="B57" s="183"/>
      <c r="C57" s="183"/>
      <c r="D57" s="183"/>
      <c r="E57" s="71" t="s">
        <v>398</v>
      </c>
      <c r="F57" s="70" t="s">
        <v>468</v>
      </c>
    </row>
    <row r="58" spans="2:6">
      <c r="B58" s="183"/>
      <c r="C58" s="183"/>
      <c r="D58" s="183"/>
      <c r="E58" s="71" t="s">
        <v>397</v>
      </c>
      <c r="F58" s="70" t="s">
        <v>469</v>
      </c>
    </row>
    <row r="59" spans="2:6">
      <c r="B59" s="183"/>
      <c r="C59" s="183"/>
      <c r="D59" s="183"/>
      <c r="E59" s="71" t="s">
        <v>391</v>
      </c>
      <c r="F59" s="70" t="s">
        <v>470</v>
      </c>
    </row>
    <row r="60" spans="2:6">
      <c r="B60" s="183"/>
      <c r="C60" s="183"/>
      <c r="D60" s="183"/>
      <c r="E60" s="71" t="s">
        <v>394</v>
      </c>
      <c r="F60" s="70" t="s">
        <v>471</v>
      </c>
    </row>
    <row r="61" spans="2:6">
      <c r="B61" s="186"/>
      <c r="C61" s="186"/>
      <c r="D61" s="186"/>
      <c r="E61" s="71" t="s">
        <v>472</v>
      </c>
      <c r="F61" s="70" t="s">
        <v>473</v>
      </c>
    </row>
    <row r="62" spans="2:6">
      <c r="B62" s="113">
        <v>7</v>
      </c>
      <c r="C62" s="95">
        <v>44081</v>
      </c>
      <c r="D62" s="113" t="s">
        <v>224</v>
      </c>
      <c r="E62" s="184"/>
      <c r="F62" s="185"/>
    </row>
    <row r="63" spans="2:6">
      <c r="B63" s="113"/>
      <c r="C63" s="113"/>
      <c r="D63" s="113"/>
      <c r="E63" s="71" t="s">
        <v>474</v>
      </c>
      <c r="F63" s="70" t="s">
        <v>475</v>
      </c>
    </row>
    <row r="64" spans="2:6">
      <c r="B64" s="113">
        <v>8</v>
      </c>
      <c r="C64" s="95">
        <v>44082</v>
      </c>
      <c r="D64" s="113" t="s">
        <v>466</v>
      </c>
      <c r="E64" s="184"/>
      <c r="F64" s="185"/>
    </row>
    <row r="65" spans="2:6">
      <c r="B65" s="182"/>
      <c r="C65" s="182"/>
      <c r="D65" s="182"/>
      <c r="E65" s="71" t="s">
        <v>399</v>
      </c>
      <c r="F65" s="70" t="s">
        <v>476</v>
      </c>
    </row>
    <row r="66" spans="2:6">
      <c r="B66" s="186"/>
      <c r="C66" s="186"/>
      <c r="D66" s="186"/>
      <c r="E66" s="71" t="s">
        <v>408</v>
      </c>
      <c r="F66" s="70" t="s">
        <v>477</v>
      </c>
    </row>
    <row r="67" spans="2:6">
      <c r="B67" s="113">
        <v>9</v>
      </c>
      <c r="C67" s="95">
        <v>44084</v>
      </c>
      <c r="D67" s="113" t="s">
        <v>415</v>
      </c>
      <c r="E67" s="184"/>
      <c r="F67" s="185"/>
    </row>
    <row r="68" spans="2:6">
      <c r="B68" s="113"/>
      <c r="C68" s="113"/>
      <c r="D68" s="113"/>
      <c r="E68" s="71" t="s">
        <v>478</v>
      </c>
      <c r="F68" s="70" t="s">
        <v>479</v>
      </c>
    </row>
    <row r="69" spans="2:6">
      <c r="B69" s="113">
        <v>10</v>
      </c>
      <c r="C69" s="95">
        <v>44085</v>
      </c>
      <c r="D69" s="113" t="s">
        <v>187</v>
      </c>
      <c r="E69" s="184"/>
      <c r="F69" s="185"/>
    </row>
    <row r="70" spans="2:6">
      <c r="B70" s="182"/>
      <c r="C70" s="182"/>
      <c r="D70" s="182"/>
      <c r="E70" s="71" t="s">
        <v>406</v>
      </c>
      <c r="F70" s="70" t="s">
        <v>257</v>
      </c>
    </row>
    <row r="71" spans="2:6">
      <c r="B71" s="183"/>
      <c r="C71" s="183"/>
      <c r="D71" s="183"/>
      <c r="E71" s="71" t="s">
        <v>403</v>
      </c>
      <c r="F71" s="70" t="s">
        <v>480</v>
      </c>
    </row>
    <row r="72" spans="2:6">
      <c r="B72" s="183"/>
      <c r="C72" s="183"/>
      <c r="D72" s="183"/>
      <c r="E72" s="71" t="s">
        <v>404</v>
      </c>
      <c r="F72" s="70" t="s">
        <v>481</v>
      </c>
    </row>
    <row r="73" spans="2:6">
      <c r="B73" s="186"/>
      <c r="C73" s="186"/>
      <c r="D73" s="186"/>
      <c r="E73" s="71" t="s">
        <v>407</v>
      </c>
      <c r="F73" s="70" t="s">
        <v>482</v>
      </c>
    </row>
    <row r="74" spans="2:6">
      <c r="B74" s="113">
        <v>11</v>
      </c>
      <c r="C74" s="95">
        <v>44092</v>
      </c>
      <c r="D74" s="113" t="s">
        <v>415</v>
      </c>
      <c r="E74" s="184"/>
      <c r="F74" s="185"/>
    </row>
    <row r="75" spans="2:6">
      <c r="B75" s="113"/>
      <c r="C75" s="113"/>
      <c r="D75" s="113"/>
      <c r="E75" s="71" t="s">
        <v>483</v>
      </c>
      <c r="F75" s="70" t="s">
        <v>484</v>
      </c>
    </row>
    <row r="76" spans="2:6">
      <c r="B76" s="113">
        <v>12</v>
      </c>
      <c r="C76" s="95">
        <v>44095</v>
      </c>
      <c r="D76" s="113" t="s">
        <v>415</v>
      </c>
      <c r="E76" s="184"/>
      <c r="F76" s="185"/>
    </row>
    <row r="77" spans="2:6">
      <c r="B77" s="113"/>
      <c r="C77" s="113"/>
      <c r="D77" s="113"/>
      <c r="E77" s="71" t="s">
        <v>463</v>
      </c>
      <c r="F77" s="70" t="s">
        <v>485</v>
      </c>
    </row>
    <row r="78" spans="2:6">
      <c r="B78" s="113">
        <v>13</v>
      </c>
      <c r="C78" s="95">
        <v>44099</v>
      </c>
      <c r="D78" s="113" t="s">
        <v>62</v>
      </c>
      <c r="E78" s="184"/>
      <c r="F78" s="185"/>
    </row>
    <row r="79" spans="2:6">
      <c r="B79" s="182"/>
      <c r="C79" s="182"/>
      <c r="D79" s="182"/>
      <c r="E79" s="71" t="s">
        <v>488</v>
      </c>
      <c r="F79" s="70" t="s">
        <v>64</v>
      </c>
    </row>
    <row r="80" spans="2:6">
      <c r="B80" s="183"/>
      <c r="C80" s="183"/>
      <c r="D80" s="183"/>
      <c r="E80" s="71" t="s">
        <v>489</v>
      </c>
      <c r="F80" s="70" t="s">
        <v>66</v>
      </c>
    </row>
    <row r="81" spans="2:6">
      <c r="B81" s="183"/>
      <c r="C81" s="183"/>
      <c r="D81" s="183"/>
      <c r="E81" s="71" t="s">
        <v>490</v>
      </c>
      <c r="F81" s="70" t="s">
        <v>68</v>
      </c>
    </row>
    <row r="82" spans="2:6">
      <c r="B82" s="183"/>
      <c r="C82" s="183"/>
      <c r="D82" s="183"/>
      <c r="E82" s="71" t="s">
        <v>491</v>
      </c>
      <c r="F82" s="70" t="s">
        <v>70</v>
      </c>
    </row>
    <row r="83" spans="2:6">
      <c r="B83" s="183"/>
      <c r="C83" s="183"/>
      <c r="D83" s="183"/>
      <c r="E83" s="71" t="s">
        <v>492</v>
      </c>
      <c r="F83" s="70" t="s">
        <v>72</v>
      </c>
    </row>
    <row r="84" spans="2:6">
      <c r="B84" s="186"/>
      <c r="C84" s="186"/>
      <c r="D84" s="186"/>
      <c r="E84" s="71" t="s">
        <v>493</v>
      </c>
      <c r="F84" s="70" t="s">
        <v>74</v>
      </c>
    </row>
    <row r="85" spans="2:6">
      <c r="B85" s="113">
        <v>14</v>
      </c>
      <c r="C85" s="95">
        <v>44099</v>
      </c>
      <c r="D85" s="113" t="s">
        <v>187</v>
      </c>
      <c r="E85" s="184"/>
      <c r="F85" s="185"/>
    </row>
    <row r="86" spans="2:6">
      <c r="B86" s="182"/>
      <c r="C86" s="182"/>
      <c r="D86" s="182"/>
      <c r="E86" s="71" t="s">
        <v>498</v>
      </c>
      <c r="F86" s="70" t="s">
        <v>499</v>
      </c>
    </row>
    <row r="87" spans="2:6">
      <c r="B87" s="183"/>
      <c r="C87" s="183"/>
      <c r="D87" s="183"/>
      <c r="E87" s="71" t="s">
        <v>500</v>
      </c>
      <c r="F87" s="70" t="s">
        <v>499</v>
      </c>
    </row>
    <row r="88" spans="2:6">
      <c r="B88" s="186"/>
      <c r="C88" s="186"/>
      <c r="D88" s="186"/>
      <c r="E88" s="71" t="s">
        <v>497</v>
      </c>
      <c r="F88" s="70" t="s">
        <v>501</v>
      </c>
    </row>
    <row r="89" spans="2:6">
      <c r="B89" s="113">
        <v>15</v>
      </c>
      <c r="C89" s="95">
        <v>44105</v>
      </c>
      <c r="D89" s="113" t="s">
        <v>466</v>
      </c>
      <c r="E89" s="184"/>
      <c r="F89" s="185"/>
    </row>
    <row r="90" spans="2:6">
      <c r="B90" s="182"/>
      <c r="C90" s="182"/>
      <c r="D90" s="182"/>
      <c r="E90" s="71" t="s">
        <v>526</v>
      </c>
      <c r="F90" s="70" t="s">
        <v>529</v>
      </c>
    </row>
    <row r="91" spans="2:6">
      <c r="B91" s="183"/>
      <c r="C91" s="183"/>
      <c r="D91" s="183"/>
      <c r="E91" s="71" t="s">
        <v>527</v>
      </c>
      <c r="F91" s="70" t="s">
        <v>530</v>
      </c>
    </row>
    <row r="92" spans="2:6">
      <c r="B92" s="186"/>
      <c r="C92" s="186"/>
      <c r="D92" s="186"/>
      <c r="E92" s="71" t="s">
        <v>523</v>
      </c>
      <c r="F92" s="70" t="s">
        <v>477</v>
      </c>
    </row>
    <row r="93" spans="2:6">
      <c r="B93" s="113">
        <v>16</v>
      </c>
      <c r="C93" s="95">
        <v>44111</v>
      </c>
      <c r="D93" s="113" t="s">
        <v>531</v>
      </c>
      <c r="E93" s="184"/>
      <c r="F93" s="185"/>
    </row>
    <row r="94" spans="2:6">
      <c r="B94" s="113" t="s">
        <v>532</v>
      </c>
      <c r="C94" s="95">
        <v>44116</v>
      </c>
      <c r="D94" s="182"/>
      <c r="E94" s="71" t="s">
        <v>533</v>
      </c>
      <c r="F94" s="70" t="s">
        <v>534</v>
      </c>
    </row>
    <row r="95" spans="2:6">
      <c r="B95" s="183"/>
      <c r="C95" s="183"/>
      <c r="D95" s="183"/>
      <c r="E95" s="71" t="s">
        <v>533</v>
      </c>
      <c r="F95" s="70" t="s">
        <v>535</v>
      </c>
    </row>
    <row r="96" spans="2:6">
      <c r="B96" s="183"/>
      <c r="C96" s="183"/>
      <c r="D96" s="183"/>
      <c r="E96" s="71" t="s">
        <v>536</v>
      </c>
      <c r="F96" s="70" t="s">
        <v>479</v>
      </c>
    </row>
    <row r="97" spans="2:6">
      <c r="B97" s="183"/>
      <c r="C97" s="183"/>
      <c r="D97" s="183"/>
      <c r="E97" s="71" t="s">
        <v>537</v>
      </c>
      <c r="F97" s="70" t="s">
        <v>464</v>
      </c>
    </row>
    <row r="98" spans="2:6">
      <c r="B98" s="183"/>
      <c r="C98" s="183"/>
      <c r="D98" s="183"/>
      <c r="E98" s="71" t="s">
        <v>537</v>
      </c>
      <c r="F98" s="70" t="s">
        <v>465</v>
      </c>
    </row>
    <row r="99" spans="2:6">
      <c r="B99" s="183"/>
      <c r="C99" s="183"/>
      <c r="D99" s="183"/>
      <c r="E99" s="71" t="s">
        <v>537</v>
      </c>
      <c r="F99" s="70" t="s">
        <v>538</v>
      </c>
    </row>
    <row r="100" spans="2:6" ht="28">
      <c r="B100" s="183"/>
      <c r="C100" s="183"/>
      <c r="D100" s="183"/>
      <c r="E100" s="71" t="s">
        <v>539</v>
      </c>
      <c r="F100" s="70" t="s">
        <v>540</v>
      </c>
    </row>
    <row r="101" spans="2:6">
      <c r="B101" s="183"/>
      <c r="C101" s="183"/>
      <c r="D101" s="183"/>
      <c r="E101" s="71" t="s">
        <v>522</v>
      </c>
      <c r="F101" s="70" t="s">
        <v>477</v>
      </c>
    </row>
    <row r="102" spans="2:6">
      <c r="B102" s="186"/>
      <c r="C102" s="186"/>
      <c r="D102" s="186"/>
      <c r="E102" s="71" t="s">
        <v>541</v>
      </c>
      <c r="F102" s="70" t="s">
        <v>542</v>
      </c>
    </row>
    <row r="103" spans="2:6">
      <c r="B103" s="113">
        <v>17</v>
      </c>
      <c r="C103" s="95">
        <v>44113</v>
      </c>
      <c r="D103" s="113" t="s">
        <v>187</v>
      </c>
      <c r="E103" s="184"/>
      <c r="F103" s="185"/>
    </row>
    <row r="104" spans="2:6">
      <c r="B104" s="182"/>
      <c r="C104" s="182"/>
      <c r="D104" s="182"/>
      <c r="E104" s="71" t="s">
        <v>520</v>
      </c>
      <c r="F104" s="70" t="s">
        <v>182</v>
      </c>
    </row>
    <row r="105" spans="2:6">
      <c r="B105" s="186"/>
      <c r="C105" s="186"/>
      <c r="D105" s="186"/>
      <c r="E105" s="71" t="s">
        <v>519</v>
      </c>
      <c r="F105" s="70" t="s">
        <v>543</v>
      </c>
    </row>
    <row r="106" spans="2:6">
      <c r="B106" s="113">
        <v>18</v>
      </c>
      <c r="C106" s="95">
        <v>44123</v>
      </c>
      <c r="D106" s="113" t="s">
        <v>187</v>
      </c>
      <c r="E106" s="184"/>
      <c r="F106" s="185"/>
    </row>
    <row r="107" spans="2:6">
      <c r="B107" s="182"/>
      <c r="C107" s="182"/>
      <c r="D107" s="182"/>
      <c r="E107" s="71" t="s">
        <v>550</v>
      </c>
      <c r="F107" s="70" t="s">
        <v>549</v>
      </c>
    </row>
    <row r="108" spans="2:6">
      <c r="B108" s="183"/>
      <c r="C108" s="183"/>
      <c r="D108" s="183"/>
      <c r="E108" s="71" t="s">
        <v>547</v>
      </c>
      <c r="F108" s="70" t="s">
        <v>480</v>
      </c>
    </row>
    <row r="109" spans="2:6">
      <c r="B109" s="183"/>
      <c r="C109" s="183"/>
      <c r="D109" s="183"/>
      <c r="E109" s="71" t="s">
        <v>554</v>
      </c>
      <c r="F109" s="70" t="s">
        <v>555</v>
      </c>
    </row>
    <row r="110" spans="2:6">
      <c r="B110" s="183"/>
      <c r="C110" s="183"/>
      <c r="D110" s="183"/>
      <c r="E110" s="71" t="s">
        <v>548</v>
      </c>
      <c r="F110" s="70" t="s">
        <v>481</v>
      </c>
    </row>
    <row r="111" spans="2:6">
      <c r="B111" s="186"/>
      <c r="C111" s="186"/>
      <c r="D111" s="186"/>
      <c r="E111" s="71" t="s">
        <v>556</v>
      </c>
      <c r="F111" s="70" t="s">
        <v>557</v>
      </c>
    </row>
    <row r="112" spans="2:6">
      <c r="B112" s="113">
        <v>19</v>
      </c>
      <c r="C112" s="95">
        <v>44126</v>
      </c>
      <c r="D112" s="113" t="s">
        <v>473</v>
      </c>
      <c r="E112" s="184"/>
      <c r="F112" s="185"/>
    </row>
    <row r="113" spans="2:6">
      <c r="B113" s="182"/>
      <c r="C113" s="182"/>
      <c r="D113" s="182"/>
      <c r="E113" s="71" t="s">
        <v>552</v>
      </c>
      <c r="F113" s="70" t="s">
        <v>558</v>
      </c>
    </row>
    <row r="114" spans="2:6">
      <c r="B114" s="186"/>
      <c r="C114" s="186"/>
      <c r="D114" s="186"/>
      <c r="E114" s="71" t="s">
        <v>552</v>
      </c>
      <c r="F114" s="70" t="s">
        <v>559</v>
      </c>
    </row>
    <row r="115" spans="2:6">
      <c r="B115" s="113">
        <v>20</v>
      </c>
      <c r="C115" s="95">
        <v>44132</v>
      </c>
      <c r="D115" s="113" t="s">
        <v>597</v>
      </c>
      <c r="E115" s="184"/>
      <c r="F115" s="185"/>
    </row>
    <row r="116" spans="2:6">
      <c r="B116" s="182"/>
      <c r="C116" s="182"/>
      <c r="D116" s="182"/>
      <c r="E116" s="71" t="s">
        <v>598</v>
      </c>
      <c r="F116" s="70" t="s">
        <v>599</v>
      </c>
    </row>
    <row r="117" spans="2:6">
      <c r="B117" s="183"/>
      <c r="C117" s="183"/>
      <c r="D117" s="183"/>
      <c r="E117" s="71" t="s">
        <v>600</v>
      </c>
      <c r="F117" s="70" t="s">
        <v>601</v>
      </c>
    </row>
    <row r="118" spans="2:6">
      <c r="B118" s="186"/>
      <c r="C118" s="186"/>
      <c r="D118" s="186"/>
      <c r="E118" s="71" t="s">
        <v>602</v>
      </c>
      <c r="F118" s="70" t="s">
        <v>542</v>
      </c>
    </row>
    <row r="119" spans="2:6">
      <c r="B119" s="113">
        <v>21</v>
      </c>
      <c r="C119" s="95">
        <v>44133</v>
      </c>
      <c r="D119" s="113" t="s">
        <v>603</v>
      </c>
      <c r="E119" s="184"/>
      <c r="F119" s="185"/>
    </row>
    <row r="120" spans="2:6">
      <c r="B120" s="182"/>
      <c r="C120" s="182"/>
      <c r="D120" s="182"/>
      <c r="E120" s="71" t="s">
        <v>604</v>
      </c>
      <c r="F120" s="70" t="s">
        <v>479</v>
      </c>
    </row>
    <row r="121" spans="2:6">
      <c r="B121" s="183"/>
      <c r="C121" s="183"/>
      <c r="D121" s="183"/>
      <c r="E121" s="71" t="s">
        <v>605</v>
      </c>
      <c r="F121" s="70" t="s">
        <v>606</v>
      </c>
    </row>
    <row r="122" spans="2:6">
      <c r="B122" s="186"/>
      <c r="C122" s="186"/>
      <c r="D122" s="186"/>
      <c r="E122" s="71" t="s">
        <v>607</v>
      </c>
      <c r="F122" s="70" t="s">
        <v>608</v>
      </c>
    </row>
    <row r="123" spans="2:6">
      <c r="B123" s="113">
        <v>22</v>
      </c>
      <c r="C123" s="95">
        <v>44137</v>
      </c>
      <c r="D123" s="113" t="s">
        <v>179</v>
      </c>
      <c r="E123" s="184"/>
      <c r="F123" s="185"/>
    </row>
    <row r="124" spans="2:6">
      <c r="B124" s="199"/>
      <c r="C124" s="200"/>
      <c r="D124" s="201"/>
      <c r="E124" s="71" t="s">
        <v>334</v>
      </c>
      <c r="F124" s="70" t="s">
        <v>609</v>
      </c>
    </row>
    <row r="125" spans="2:6">
      <c r="B125" s="113">
        <v>23</v>
      </c>
      <c r="C125" s="95">
        <v>44138</v>
      </c>
      <c r="D125" s="113" t="s">
        <v>466</v>
      </c>
      <c r="E125" s="184"/>
      <c r="F125" s="185"/>
    </row>
    <row r="126" spans="2:6">
      <c r="B126" s="192"/>
      <c r="C126" s="192"/>
      <c r="D126" s="192"/>
      <c r="E126" s="71" t="s">
        <v>610</v>
      </c>
      <c r="F126" s="70" t="s">
        <v>611</v>
      </c>
    </row>
    <row r="127" spans="2:6">
      <c r="B127" s="192"/>
      <c r="C127" s="192"/>
      <c r="D127" s="192"/>
      <c r="E127" s="71" t="s">
        <v>612</v>
      </c>
      <c r="F127" s="70" t="s">
        <v>613</v>
      </c>
    </row>
    <row r="128" spans="2:6">
      <c r="B128" s="192"/>
      <c r="C128" s="192"/>
      <c r="D128" s="192"/>
      <c r="E128" s="71" t="s">
        <v>614</v>
      </c>
      <c r="F128" s="70" t="s">
        <v>615</v>
      </c>
    </row>
    <row r="129" spans="2:6">
      <c r="B129" s="192"/>
      <c r="C129" s="192"/>
      <c r="D129" s="192"/>
      <c r="E129" s="71" t="s">
        <v>616</v>
      </c>
      <c r="F129" s="70" t="s">
        <v>617</v>
      </c>
    </row>
    <row r="130" spans="2:6">
      <c r="B130" s="192"/>
      <c r="C130" s="192"/>
      <c r="D130" s="192"/>
      <c r="E130" s="71" t="s">
        <v>618</v>
      </c>
      <c r="F130" s="70" t="s">
        <v>619</v>
      </c>
    </row>
    <row r="131" spans="2:6">
      <c r="B131" s="192"/>
      <c r="C131" s="192"/>
      <c r="D131" s="192"/>
      <c r="E131" s="71" t="s">
        <v>620</v>
      </c>
      <c r="F131" s="70" t="s">
        <v>621</v>
      </c>
    </row>
    <row r="132" spans="2:6">
      <c r="B132" s="192"/>
      <c r="C132" s="192"/>
      <c r="D132" s="192"/>
      <c r="E132" s="71" t="s">
        <v>622</v>
      </c>
      <c r="F132" s="70" t="s">
        <v>623</v>
      </c>
    </row>
    <row r="133" spans="2:6">
      <c r="B133" s="192"/>
      <c r="C133" s="192"/>
      <c r="D133" s="192"/>
      <c r="E133" s="71" t="s">
        <v>579</v>
      </c>
      <c r="F133" s="70" t="s">
        <v>624</v>
      </c>
    </row>
    <row r="134" spans="2:6">
      <c r="B134" s="192"/>
      <c r="C134" s="192"/>
      <c r="D134" s="192"/>
      <c r="E134" s="71" t="s">
        <v>580</v>
      </c>
      <c r="F134" s="70" t="s">
        <v>625</v>
      </c>
    </row>
    <row r="135" spans="2:6">
      <c r="B135" s="192"/>
      <c r="C135" s="192"/>
      <c r="D135" s="192"/>
      <c r="E135" s="71" t="s">
        <v>626</v>
      </c>
      <c r="F135" s="70" t="s">
        <v>627</v>
      </c>
    </row>
    <row r="136" spans="2:6">
      <c r="B136" s="192"/>
      <c r="C136" s="192"/>
      <c r="D136" s="192"/>
      <c r="E136" s="71" t="s">
        <v>628</v>
      </c>
      <c r="F136" s="70" t="s">
        <v>629</v>
      </c>
    </row>
    <row r="137" spans="2:6">
      <c r="B137" s="192"/>
      <c r="C137" s="192"/>
      <c r="D137" s="192"/>
      <c r="E137" s="71" t="s">
        <v>630</v>
      </c>
      <c r="F137" s="70" t="s">
        <v>631</v>
      </c>
    </row>
    <row r="138" spans="2:6">
      <c r="B138" s="192"/>
      <c r="C138" s="192"/>
      <c r="D138" s="192"/>
      <c r="E138" s="71" t="s">
        <v>632</v>
      </c>
      <c r="F138" s="70" t="s">
        <v>633</v>
      </c>
    </row>
    <row r="139" spans="2:6">
      <c r="B139" s="192"/>
      <c r="C139" s="192"/>
      <c r="D139" s="192"/>
      <c r="E139" s="71" t="s">
        <v>634</v>
      </c>
      <c r="F139" s="70" t="s">
        <v>635</v>
      </c>
    </row>
    <row r="140" spans="2:6">
      <c r="B140" s="192"/>
      <c r="C140" s="192"/>
      <c r="D140" s="192"/>
      <c r="E140" s="71" t="s">
        <v>636</v>
      </c>
      <c r="F140" s="70" t="s">
        <v>637</v>
      </c>
    </row>
    <row r="141" spans="2:6">
      <c r="B141" s="192"/>
      <c r="C141" s="192"/>
      <c r="D141" s="192"/>
      <c r="E141" s="71" t="s">
        <v>583</v>
      </c>
      <c r="F141" s="70" t="s">
        <v>468</v>
      </c>
    </row>
    <row r="142" spans="2:6">
      <c r="B142" s="192"/>
      <c r="C142" s="192"/>
      <c r="D142" s="192"/>
      <c r="E142" s="71" t="s">
        <v>638</v>
      </c>
      <c r="F142" s="70" t="s">
        <v>639</v>
      </c>
    </row>
    <row r="143" spans="2:6">
      <c r="B143" s="192"/>
      <c r="C143" s="192"/>
      <c r="D143" s="192"/>
      <c r="E143" s="71" t="s">
        <v>640</v>
      </c>
      <c r="F143" s="70" t="s">
        <v>641</v>
      </c>
    </row>
    <row r="144" spans="2:6">
      <c r="B144" s="192"/>
      <c r="C144" s="192"/>
      <c r="D144" s="192"/>
      <c r="E144" s="71" t="s">
        <v>583</v>
      </c>
      <c r="F144" s="70" t="s">
        <v>642</v>
      </c>
    </row>
    <row r="145" spans="2:6">
      <c r="B145" s="192"/>
      <c r="C145" s="192"/>
      <c r="D145" s="192"/>
      <c r="E145" s="71" t="s">
        <v>589</v>
      </c>
      <c r="F145" s="70" t="s">
        <v>182</v>
      </c>
    </row>
    <row r="146" spans="2:6">
      <c r="B146" s="192"/>
      <c r="C146" s="192"/>
      <c r="D146" s="192"/>
      <c r="E146" s="71" t="s">
        <v>592</v>
      </c>
      <c r="F146" s="70" t="s">
        <v>590</v>
      </c>
    </row>
    <row r="147" spans="2:6">
      <c r="B147" s="192"/>
      <c r="C147" s="192"/>
      <c r="D147" s="192"/>
      <c r="E147" s="71" t="s">
        <v>593</v>
      </c>
      <c r="F147" s="70" t="s">
        <v>591</v>
      </c>
    </row>
    <row r="148" spans="2:6" ht="28">
      <c r="B148" s="192"/>
      <c r="C148" s="192"/>
      <c r="D148" s="192"/>
      <c r="E148" s="71" t="s">
        <v>643</v>
      </c>
      <c r="F148" s="70" t="s">
        <v>240</v>
      </c>
    </row>
    <row r="149" spans="2:6">
      <c r="B149" s="192"/>
      <c r="C149" s="192"/>
      <c r="D149" s="192"/>
      <c r="E149" s="71" t="s">
        <v>644</v>
      </c>
      <c r="F149" s="70" t="s">
        <v>645</v>
      </c>
    </row>
    <row r="150" spans="2:6">
      <c r="B150" s="192"/>
      <c r="C150" s="192"/>
      <c r="D150" s="192"/>
      <c r="E150" s="71" t="s">
        <v>646</v>
      </c>
      <c r="F150" s="70" t="s">
        <v>647</v>
      </c>
    </row>
    <row r="151" spans="2:6">
      <c r="B151" s="113">
        <v>24</v>
      </c>
      <c r="C151" s="95">
        <v>44144</v>
      </c>
      <c r="D151" s="113" t="s">
        <v>187</v>
      </c>
      <c r="E151" s="184"/>
      <c r="F151" s="185"/>
    </row>
    <row r="152" spans="2:6">
      <c r="B152" s="182"/>
      <c r="C152" s="182"/>
      <c r="D152" s="182"/>
      <c r="E152" s="71" t="s">
        <v>547</v>
      </c>
      <c r="F152" s="70" t="s">
        <v>657</v>
      </c>
    </row>
    <row r="153" spans="2:6">
      <c r="B153" s="183"/>
      <c r="C153" s="183"/>
      <c r="D153" s="183"/>
      <c r="E153" s="71" t="s">
        <v>548</v>
      </c>
      <c r="F153" s="70" t="s">
        <v>658</v>
      </c>
    </row>
    <row r="154" spans="2:6">
      <c r="B154" s="113">
        <v>25</v>
      </c>
      <c r="C154" s="95">
        <v>44144</v>
      </c>
      <c r="D154" s="113" t="s">
        <v>415</v>
      </c>
      <c r="E154" s="184"/>
      <c r="F154" s="185"/>
    </row>
    <row r="155" spans="2:6">
      <c r="B155" s="182"/>
      <c r="C155" s="182"/>
      <c r="D155" s="182"/>
      <c r="E155" s="71" t="s">
        <v>659</v>
      </c>
      <c r="F155" s="70" t="s">
        <v>479</v>
      </c>
    </row>
    <row r="156" spans="2:6">
      <c r="B156" s="183"/>
      <c r="C156" s="183"/>
      <c r="D156" s="183"/>
      <c r="E156" s="71" t="s">
        <v>660</v>
      </c>
      <c r="F156" s="70" t="s">
        <v>484</v>
      </c>
    </row>
    <row r="157" spans="2:6">
      <c r="B157" s="113">
        <v>26</v>
      </c>
      <c r="C157" s="95">
        <v>44145</v>
      </c>
      <c r="D157" s="113" t="s">
        <v>415</v>
      </c>
      <c r="E157" s="184"/>
      <c r="F157" s="185"/>
    </row>
    <row r="158" spans="2:6">
      <c r="B158" s="182"/>
      <c r="C158" s="182"/>
      <c r="D158" s="182"/>
      <c r="E158" s="71" t="s">
        <v>661</v>
      </c>
      <c r="F158" s="70" t="s">
        <v>464</v>
      </c>
    </row>
    <row r="159" spans="2:6">
      <c r="B159" s="183"/>
      <c r="C159" s="183"/>
      <c r="D159" s="183"/>
      <c r="E159" s="71" t="s">
        <v>661</v>
      </c>
      <c r="F159" s="70" t="s">
        <v>662</v>
      </c>
    </row>
    <row r="160" spans="2:6">
      <c r="B160" s="186"/>
      <c r="C160" s="186"/>
      <c r="D160" s="186"/>
      <c r="E160" s="71" t="s">
        <v>661</v>
      </c>
      <c r="F160" s="70" t="s">
        <v>663</v>
      </c>
    </row>
    <row r="161" spans="2:6">
      <c r="B161" s="113">
        <v>27</v>
      </c>
      <c r="C161" s="95">
        <v>44148</v>
      </c>
      <c r="D161" s="113" t="s">
        <v>430</v>
      </c>
      <c r="E161" s="184"/>
      <c r="F161" s="185"/>
    </row>
    <row r="162" spans="2:6">
      <c r="B162" s="114"/>
      <c r="C162" s="114"/>
      <c r="D162" s="114"/>
      <c r="E162" s="71" t="s">
        <v>664</v>
      </c>
      <c r="F162" s="70" t="s">
        <v>431</v>
      </c>
    </row>
    <row r="163" spans="2:6">
      <c r="B163" s="113">
        <v>28</v>
      </c>
      <c r="C163" s="95">
        <v>44152</v>
      </c>
      <c r="D163" s="113" t="s">
        <v>187</v>
      </c>
      <c r="E163" s="184"/>
      <c r="F163" s="185"/>
    </row>
    <row r="164" spans="2:6">
      <c r="B164" s="114"/>
      <c r="C164" s="114"/>
      <c r="D164" s="114"/>
      <c r="E164" s="71" t="s">
        <v>665</v>
      </c>
      <c r="F164" s="70" t="s">
        <v>253</v>
      </c>
    </row>
    <row r="165" spans="2:6">
      <c r="B165" s="113">
        <v>29</v>
      </c>
      <c r="C165" s="95">
        <v>44154</v>
      </c>
      <c r="D165" s="113" t="s">
        <v>666</v>
      </c>
      <c r="E165" s="184"/>
      <c r="F165" s="185"/>
    </row>
    <row r="166" spans="2:6">
      <c r="B166" s="114"/>
      <c r="C166" s="114"/>
      <c r="D166" s="114"/>
      <c r="E166" s="71" t="s">
        <v>667</v>
      </c>
      <c r="F166" s="70" t="s">
        <v>668</v>
      </c>
    </row>
    <row r="167" spans="2:6">
      <c r="B167" s="113">
        <v>30</v>
      </c>
      <c r="C167" s="95">
        <v>44160</v>
      </c>
      <c r="D167" s="113" t="s">
        <v>415</v>
      </c>
      <c r="E167" s="184"/>
      <c r="F167" s="185"/>
    </row>
    <row r="168" spans="2:6">
      <c r="B168" s="182"/>
      <c r="C168" s="182"/>
      <c r="D168" s="182"/>
      <c r="E168" s="71" t="s">
        <v>683</v>
      </c>
      <c r="F168" s="70" t="s">
        <v>464</v>
      </c>
    </row>
    <row r="169" spans="2:6">
      <c r="B169" s="183"/>
      <c r="C169" s="183"/>
      <c r="D169" s="183"/>
      <c r="E169" s="71" t="s">
        <v>683</v>
      </c>
      <c r="F169" s="70" t="s">
        <v>662</v>
      </c>
    </row>
    <row r="170" spans="2:6">
      <c r="B170" s="183"/>
      <c r="C170" s="183"/>
      <c r="D170" s="183"/>
      <c r="E170" s="71" t="s">
        <v>683</v>
      </c>
      <c r="F170" s="70" t="s">
        <v>663</v>
      </c>
    </row>
    <row r="171" spans="2:6">
      <c r="B171" s="183"/>
      <c r="C171" s="183"/>
      <c r="D171" s="183"/>
      <c r="E171" s="71" t="s">
        <v>684</v>
      </c>
      <c r="F171" s="70" t="s">
        <v>534</v>
      </c>
    </row>
    <row r="172" spans="2:6">
      <c r="B172" s="113">
        <v>31</v>
      </c>
      <c r="C172" s="95">
        <v>44164</v>
      </c>
      <c r="D172" s="113" t="s">
        <v>685</v>
      </c>
      <c r="E172" s="184"/>
      <c r="F172" s="185"/>
    </row>
    <row r="173" spans="2:6">
      <c r="B173" s="182"/>
      <c r="C173" s="182"/>
      <c r="D173" s="182"/>
      <c r="E173" s="71" t="s">
        <v>675</v>
      </c>
      <c r="F173" s="70" t="s">
        <v>686</v>
      </c>
    </row>
    <row r="174" spans="2:6">
      <c r="B174" s="183"/>
      <c r="C174" s="183"/>
      <c r="D174" s="183"/>
      <c r="E174" s="71" t="s">
        <v>687</v>
      </c>
      <c r="F174" s="70" t="s">
        <v>688</v>
      </c>
    </row>
    <row r="175" spans="2:6">
      <c r="B175" s="183"/>
      <c r="C175" s="183"/>
      <c r="D175" s="183"/>
      <c r="E175" s="71" t="s">
        <v>689</v>
      </c>
      <c r="F175" s="70" t="s">
        <v>690</v>
      </c>
    </row>
    <row r="176" spans="2:6">
      <c r="B176" s="183"/>
      <c r="C176" s="183"/>
      <c r="D176" s="183"/>
      <c r="E176" s="71" t="s">
        <v>691</v>
      </c>
      <c r="F176" s="70" t="s">
        <v>692</v>
      </c>
    </row>
    <row r="177" spans="2:6">
      <c r="B177" s="183"/>
      <c r="C177" s="183"/>
      <c r="D177" s="183"/>
      <c r="E177" s="71" t="s">
        <v>693</v>
      </c>
      <c r="F177" s="70" t="s">
        <v>694</v>
      </c>
    </row>
    <row r="178" spans="2:6">
      <c r="B178" s="183"/>
      <c r="C178" s="183"/>
      <c r="D178" s="183"/>
      <c r="E178" s="71" t="s">
        <v>670</v>
      </c>
      <c r="F178" s="70" t="s">
        <v>695</v>
      </c>
    </row>
    <row r="179" spans="2:6">
      <c r="B179" s="183"/>
      <c r="C179" s="183"/>
      <c r="D179" s="183"/>
      <c r="E179" s="71" t="s">
        <v>671</v>
      </c>
      <c r="F179" s="70" t="s">
        <v>696</v>
      </c>
    </row>
    <row r="180" spans="2:6">
      <c r="B180" s="183"/>
      <c r="C180" s="183"/>
      <c r="D180" s="183"/>
      <c r="E180" s="71" t="s">
        <v>669</v>
      </c>
      <c r="F180" s="70" t="s">
        <v>697</v>
      </c>
    </row>
    <row r="181" spans="2:6">
      <c r="B181" s="183"/>
      <c r="C181" s="183"/>
      <c r="D181" s="183"/>
      <c r="E181" s="71" t="s">
        <v>698</v>
      </c>
      <c r="F181" s="70" t="s">
        <v>699</v>
      </c>
    </row>
    <row r="182" spans="2:6">
      <c r="B182" s="183"/>
      <c r="C182" s="183"/>
      <c r="D182" s="183"/>
      <c r="E182" s="71" t="s">
        <v>700</v>
      </c>
      <c r="F182" s="70" t="s">
        <v>701</v>
      </c>
    </row>
    <row r="183" spans="2:6">
      <c r="B183" s="183"/>
      <c r="C183" s="183"/>
      <c r="D183" s="183"/>
      <c r="E183" s="71" t="s">
        <v>674</v>
      </c>
      <c r="F183" s="70" t="s">
        <v>702</v>
      </c>
    </row>
    <row r="184" spans="2:6">
      <c r="B184" s="183"/>
      <c r="C184" s="183"/>
      <c r="D184" s="183"/>
      <c r="E184" s="71" t="s">
        <v>673</v>
      </c>
      <c r="F184" s="70" t="s">
        <v>703</v>
      </c>
    </row>
    <row r="185" spans="2:6">
      <c r="B185" s="183"/>
      <c r="C185" s="183"/>
      <c r="D185" s="183"/>
      <c r="E185" s="71" t="s">
        <v>474</v>
      </c>
      <c r="F185" s="70" t="s">
        <v>704</v>
      </c>
    </row>
    <row r="186" spans="2:6">
      <c r="B186" s="183"/>
      <c r="C186" s="183"/>
      <c r="D186" s="183"/>
      <c r="E186" s="71" t="s">
        <v>676</v>
      </c>
      <c r="F186" s="70" t="s">
        <v>705</v>
      </c>
    </row>
    <row r="187" spans="2:6">
      <c r="B187" s="183"/>
      <c r="C187" s="183"/>
      <c r="D187" s="183"/>
      <c r="E187" s="71" t="s">
        <v>677</v>
      </c>
      <c r="F187" s="70" t="s">
        <v>706</v>
      </c>
    </row>
    <row r="188" spans="2:6">
      <c r="B188" s="113">
        <v>32</v>
      </c>
      <c r="C188" s="95">
        <v>44165</v>
      </c>
      <c r="D188" s="113" t="s">
        <v>466</v>
      </c>
      <c r="E188" s="184"/>
      <c r="F188" s="185"/>
    </row>
    <row r="189" spans="2:6">
      <c r="B189" s="182"/>
      <c r="C189" s="182"/>
      <c r="D189" s="182"/>
      <c r="E189" s="71" t="s">
        <v>707</v>
      </c>
      <c r="F189" s="70" t="s">
        <v>708</v>
      </c>
    </row>
    <row r="190" spans="2:6">
      <c r="B190" s="183"/>
      <c r="C190" s="183"/>
      <c r="D190" s="183"/>
      <c r="E190" s="71" t="s">
        <v>709</v>
      </c>
      <c r="F190" s="70" t="s">
        <v>710</v>
      </c>
    </row>
    <row r="191" spans="2:6">
      <c r="B191" s="183"/>
      <c r="C191" s="183"/>
      <c r="D191" s="183"/>
      <c r="E191" s="71" t="s">
        <v>682</v>
      </c>
      <c r="F191" s="70" t="s">
        <v>711</v>
      </c>
    </row>
    <row r="192" spans="2:6">
      <c r="B192" s="113">
        <v>33</v>
      </c>
      <c r="C192" s="95">
        <v>44166</v>
      </c>
      <c r="D192" s="113" t="s">
        <v>415</v>
      </c>
      <c r="E192" s="184"/>
      <c r="F192" s="185"/>
    </row>
    <row r="193" spans="2:6">
      <c r="B193" s="199"/>
      <c r="C193" s="200"/>
      <c r="D193" s="201"/>
      <c r="E193" s="71" t="s">
        <v>716</v>
      </c>
      <c r="F193" s="70" t="s">
        <v>484</v>
      </c>
    </row>
    <row r="194" spans="2:6">
      <c r="B194" s="113">
        <v>34</v>
      </c>
      <c r="C194" s="95">
        <v>44168</v>
      </c>
      <c r="D194" s="113" t="s">
        <v>814</v>
      </c>
      <c r="E194" s="184"/>
      <c r="F194" s="185"/>
    </row>
    <row r="195" spans="2:6">
      <c r="B195" s="199"/>
      <c r="C195" s="200"/>
      <c r="D195" s="201"/>
      <c r="E195" s="71" t="s">
        <v>714</v>
      </c>
      <c r="F195" s="70" t="s">
        <v>717</v>
      </c>
    </row>
    <row r="196" spans="2:6">
      <c r="B196" s="113">
        <v>35</v>
      </c>
      <c r="C196" s="95">
        <v>44169</v>
      </c>
      <c r="D196" s="113" t="s">
        <v>737</v>
      </c>
      <c r="E196" s="184"/>
      <c r="F196" s="185"/>
    </row>
    <row r="197" spans="2:6">
      <c r="B197" s="182"/>
      <c r="C197" s="182"/>
      <c r="D197" s="182"/>
      <c r="E197" s="71" t="s">
        <v>738</v>
      </c>
      <c r="F197" s="70" t="s">
        <v>464</v>
      </c>
    </row>
    <row r="198" spans="2:6">
      <c r="B198" s="183"/>
      <c r="C198" s="183"/>
      <c r="D198" s="183"/>
      <c r="E198" s="71" t="s">
        <v>738</v>
      </c>
      <c r="F198" s="70" t="s">
        <v>662</v>
      </c>
    </row>
    <row r="199" spans="2:6">
      <c r="B199" s="183"/>
      <c r="C199" s="183"/>
      <c r="D199" s="183"/>
      <c r="E199" s="71" t="s">
        <v>738</v>
      </c>
      <c r="F199" s="70" t="s">
        <v>663</v>
      </c>
    </row>
    <row r="200" spans="2:6">
      <c r="B200" s="183"/>
      <c r="C200" s="183"/>
      <c r="D200" s="183"/>
      <c r="E200" s="71" t="s">
        <v>739</v>
      </c>
      <c r="F200" s="70" t="s">
        <v>740</v>
      </c>
    </row>
    <row r="201" spans="2:6">
      <c r="B201" s="183"/>
      <c r="C201" s="183"/>
      <c r="D201" s="183"/>
      <c r="E201" s="71" t="s">
        <v>741</v>
      </c>
      <c r="F201" s="70" t="s">
        <v>742</v>
      </c>
    </row>
    <row r="202" spans="2:6">
      <c r="B202" s="113">
        <v>36</v>
      </c>
      <c r="C202" s="95">
        <v>44174</v>
      </c>
      <c r="D202" s="113" t="s">
        <v>158</v>
      </c>
      <c r="E202" s="184"/>
      <c r="F202" s="185"/>
    </row>
    <row r="203" spans="2:6">
      <c r="B203" s="182"/>
      <c r="C203" s="182"/>
      <c r="D203" s="182"/>
      <c r="E203" s="71" t="s">
        <v>933</v>
      </c>
      <c r="F203" s="70" t="s">
        <v>477</v>
      </c>
    </row>
    <row r="204" spans="2:6">
      <c r="B204" s="183"/>
      <c r="C204" s="183"/>
      <c r="D204" s="183"/>
      <c r="E204" s="71" t="s">
        <v>947</v>
      </c>
      <c r="F204" s="70" t="s">
        <v>743</v>
      </c>
    </row>
    <row r="205" spans="2:6">
      <c r="B205" s="113">
        <v>37</v>
      </c>
      <c r="C205" s="95">
        <v>44174</v>
      </c>
      <c r="D205" s="113" t="s">
        <v>415</v>
      </c>
      <c r="E205" s="184"/>
      <c r="F205" s="185"/>
    </row>
    <row r="206" spans="2:6">
      <c r="B206" s="114"/>
      <c r="C206" s="114"/>
      <c r="D206" s="114"/>
      <c r="E206" s="71" t="s">
        <v>744</v>
      </c>
      <c r="F206" s="70" t="s">
        <v>606</v>
      </c>
    </row>
    <row r="207" spans="2:6">
      <c r="B207" s="113">
        <v>38</v>
      </c>
      <c r="C207" s="95">
        <v>44174</v>
      </c>
      <c r="D207" s="113" t="s">
        <v>745</v>
      </c>
      <c r="E207" s="184"/>
      <c r="F207" s="185"/>
    </row>
    <row r="208" spans="2:6">
      <c r="B208" s="182"/>
      <c r="C208" s="182"/>
      <c r="D208" s="182"/>
      <c r="E208" s="71" t="s">
        <v>746</v>
      </c>
      <c r="F208" s="70" t="s">
        <v>747</v>
      </c>
    </row>
    <row r="209" spans="2:6">
      <c r="B209" s="183"/>
      <c r="C209" s="183"/>
      <c r="D209" s="183"/>
      <c r="E209" s="71" t="s">
        <v>983</v>
      </c>
      <c r="F209" s="70" t="s">
        <v>722</v>
      </c>
    </row>
    <row r="210" spans="2:6">
      <c r="B210" s="113">
        <v>39</v>
      </c>
      <c r="C210" s="95">
        <v>44175</v>
      </c>
      <c r="D210" s="113" t="s">
        <v>268</v>
      </c>
      <c r="E210" s="184"/>
      <c r="F210" s="185"/>
    </row>
    <row r="211" spans="2:6">
      <c r="B211" s="182"/>
      <c r="C211" s="182"/>
      <c r="D211" s="182"/>
      <c r="E211" s="71" t="s">
        <v>735</v>
      </c>
      <c r="F211" s="70" t="s">
        <v>748</v>
      </c>
    </row>
    <row r="212" spans="2:6">
      <c r="B212" s="183"/>
      <c r="C212" s="183"/>
      <c r="D212" s="183"/>
      <c r="E212" s="71" t="s">
        <v>736</v>
      </c>
      <c r="F212" s="70" t="s">
        <v>749</v>
      </c>
    </row>
    <row r="213" spans="2:6">
      <c r="B213" s="183"/>
      <c r="C213" s="183"/>
      <c r="D213" s="183"/>
      <c r="E213" s="71" t="s">
        <v>734</v>
      </c>
      <c r="F213" s="70" t="s">
        <v>264</v>
      </c>
    </row>
    <row r="214" spans="2:6">
      <c r="B214" s="113">
        <v>40</v>
      </c>
      <c r="C214" s="95">
        <v>44175</v>
      </c>
      <c r="D214" s="113" t="s">
        <v>28</v>
      </c>
      <c r="E214" s="184"/>
      <c r="F214" s="185"/>
    </row>
    <row r="215" spans="2:6">
      <c r="B215" s="114"/>
      <c r="C215" s="114"/>
      <c r="D215" s="114"/>
      <c r="E215" s="71" t="s">
        <v>766</v>
      </c>
      <c r="F215" s="70" t="s">
        <v>767</v>
      </c>
    </row>
    <row r="216" spans="2:6">
      <c r="B216" s="113">
        <v>41</v>
      </c>
      <c r="C216" s="95">
        <v>44176</v>
      </c>
      <c r="D216" s="113" t="s">
        <v>768</v>
      </c>
      <c r="E216" s="184"/>
      <c r="F216" s="185"/>
    </row>
    <row r="217" spans="2:6">
      <c r="B217" s="182"/>
      <c r="C217" s="182"/>
      <c r="D217" s="182"/>
      <c r="E217" s="71" t="s">
        <v>670</v>
      </c>
      <c r="F217" s="70" t="s">
        <v>769</v>
      </c>
    </row>
    <row r="218" spans="2:6">
      <c r="B218" s="183"/>
      <c r="C218" s="183"/>
      <c r="D218" s="183"/>
      <c r="E218" s="71" t="s">
        <v>671</v>
      </c>
      <c r="F218" s="70" t="s">
        <v>770</v>
      </c>
    </row>
    <row r="219" spans="2:6">
      <c r="B219" s="183"/>
      <c r="C219" s="183"/>
      <c r="D219" s="183"/>
      <c r="E219" s="71" t="s">
        <v>669</v>
      </c>
      <c r="F219" s="70" t="s">
        <v>771</v>
      </c>
    </row>
    <row r="220" spans="2:6">
      <c r="B220" s="183"/>
      <c r="C220" s="183"/>
      <c r="D220" s="183"/>
      <c r="E220" s="71" t="s">
        <v>687</v>
      </c>
      <c r="F220" s="70" t="s">
        <v>772</v>
      </c>
    </row>
    <row r="221" spans="2:6">
      <c r="B221" s="183"/>
      <c r="C221" s="183"/>
      <c r="D221" s="183"/>
      <c r="E221" s="71" t="s">
        <v>691</v>
      </c>
      <c r="F221" s="70" t="s">
        <v>773</v>
      </c>
    </row>
    <row r="222" spans="2:6">
      <c r="B222" s="183"/>
      <c r="C222" s="183"/>
      <c r="D222" s="183"/>
      <c r="E222" s="71" t="s">
        <v>756</v>
      </c>
      <c r="F222" s="70" t="s">
        <v>774</v>
      </c>
    </row>
    <row r="223" spans="2:6">
      <c r="B223" s="113">
        <v>42</v>
      </c>
      <c r="C223" s="95">
        <v>44179</v>
      </c>
      <c r="D223" s="113" t="s">
        <v>466</v>
      </c>
      <c r="E223" s="184"/>
      <c r="F223" s="185"/>
    </row>
    <row r="224" spans="2:6">
      <c r="B224" s="182"/>
      <c r="C224" s="182"/>
      <c r="D224" s="182"/>
      <c r="E224" s="71" t="s">
        <v>775</v>
      </c>
      <c r="F224" s="70" t="s">
        <v>776</v>
      </c>
    </row>
    <row r="225" spans="2:6">
      <c r="B225" s="183"/>
      <c r="C225" s="183"/>
      <c r="D225" s="183"/>
      <c r="E225" s="71" t="s">
        <v>777</v>
      </c>
      <c r="F225" s="70" t="s">
        <v>776</v>
      </c>
    </row>
    <row r="226" spans="2:6">
      <c r="B226" s="183"/>
      <c r="C226" s="183"/>
      <c r="D226" s="183"/>
      <c r="E226" s="71" t="s">
        <v>764</v>
      </c>
      <c r="F226" s="70" t="s">
        <v>480</v>
      </c>
    </row>
    <row r="227" spans="2:6">
      <c r="B227" s="183"/>
      <c r="C227" s="183"/>
      <c r="D227" s="183"/>
      <c r="E227" s="71" t="s">
        <v>763</v>
      </c>
      <c r="F227" s="70" t="s">
        <v>481</v>
      </c>
    </row>
    <row r="228" spans="2:6">
      <c r="B228" s="183"/>
      <c r="C228" s="183"/>
      <c r="D228" s="183"/>
      <c r="E228" s="71" t="s">
        <v>778</v>
      </c>
      <c r="F228" s="70" t="s">
        <v>544</v>
      </c>
    </row>
    <row r="229" spans="2:6">
      <c r="B229" s="183"/>
      <c r="C229" s="183"/>
      <c r="D229" s="183"/>
      <c r="E229" s="71" t="s">
        <v>779</v>
      </c>
      <c r="F229" s="70" t="s">
        <v>545</v>
      </c>
    </row>
    <row r="230" spans="2:6" ht="28">
      <c r="B230" s="183"/>
      <c r="C230" s="183"/>
      <c r="D230" s="183"/>
      <c r="E230" s="71" t="s">
        <v>780</v>
      </c>
      <c r="F230" s="70" t="s">
        <v>558</v>
      </c>
    </row>
    <row r="231" spans="2:6">
      <c r="B231" s="123">
        <v>43</v>
      </c>
      <c r="C231" s="124">
        <v>44180</v>
      </c>
      <c r="D231" s="123" t="s">
        <v>179</v>
      </c>
      <c r="E231" s="195"/>
      <c r="F231" s="196"/>
    </row>
    <row r="232" spans="2:6">
      <c r="B232" s="197"/>
      <c r="C232" s="197"/>
      <c r="D232" s="197"/>
      <c r="E232" s="125" t="s">
        <v>349</v>
      </c>
      <c r="F232" s="126" t="s">
        <v>781</v>
      </c>
    </row>
    <row r="233" spans="2:6">
      <c r="B233" s="198"/>
      <c r="C233" s="198"/>
      <c r="D233" s="198"/>
      <c r="E233" s="125" t="s">
        <v>349</v>
      </c>
      <c r="F233" s="126" t="s">
        <v>783</v>
      </c>
    </row>
    <row r="234" spans="2:6">
      <c r="B234" s="198"/>
      <c r="C234" s="198"/>
      <c r="D234" s="198"/>
      <c r="E234" s="125" t="s">
        <v>349</v>
      </c>
      <c r="F234" s="126" t="s">
        <v>782</v>
      </c>
    </row>
    <row r="235" spans="2:6">
      <c r="B235" s="198"/>
      <c r="C235" s="198"/>
      <c r="D235" s="198"/>
      <c r="E235" s="125" t="s">
        <v>349</v>
      </c>
      <c r="F235" s="126" t="s">
        <v>784</v>
      </c>
    </row>
    <row r="236" spans="2:6">
      <c r="B236" s="123">
        <v>44</v>
      </c>
      <c r="C236" s="124">
        <v>44181</v>
      </c>
      <c r="D236" s="123" t="s">
        <v>268</v>
      </c>
      <c r="E236" s="195"/>
      <c r="F236" s="196"/>
    </row>
    <row r="237" spans="2:6">
      <c r="B237" s="197"/>
      <c r="C237" s="197"/>
      <c r="D237" s="197"/>
      <c r="E237" s="125" t="s">
        <v>718</v>
      </c>
      <c r="F237" s="126" t="s">
        <v>271</v>
      </c>
    </row>
    <row r="238" spans="2:6">
      <c r="B238" s="198"/>
      <c r="C238" s="198"/>
      <c r="D238" s="198"/>
      <c r="E238" s="125" t="s">
        <v>719</v>
      </c>
      <c r="F238" s="126" t="s">
        <v>815</v>
      </c>
    </row>
    <row r="239" spans="2:6">
      <c r="B239" s="198"/>
      <c r="C239" s="198"/>
      <c r="D239" s="198"/>
      <c r="E239" s="125" t="s">
        <v>787</v>
      </c>
      <c r="F239" s="126" t="s">
        <v>84</v>
      </c>
    </row>
    <row r="240" spans="2:6">
      <c r="B240" s="198"/>
      <c r="C240" s="198"/>
      <c r="D240" s="198"/>
      <c r="E240" s="125" t="s">
        <v>788</v>
      </c>
      <c r="F240" s="126" t="s">
        <v>816</v>
      </c>
    </row>
    <row r="241" spans="2:6">
      <c r="B241" s="113">
        <v>45</v>
      </c>
      <c r="C241" s="95">
        <v>44181</v>
      </c>
      <c r="D241" s="113" t="s">
        <v>466</v>
      </c>
      <c r="E241" s="184"/>
      <c r="F241" s="185"/>
    </row>
    <row r="242" spans="2:6">
      <c r="B242" s="114"/>
      <c r="C242" s="114"/>
      <c r="D242" s="114"/>
      <c r="E242" s="71" t="s">
        <v>817</v>
      </c>
      <c r="F242" s="70" t="s">
        <v>476</v>
      </c>
    </row>
    <row r="243" spans="2:6">
      <c r="B243" s="113">
        <v>46</v>
      </c>
      <c r="C243" s="95">
        <v>44181</v>
      </c>
      <c r="D243" s="113" t="s">
        <v>818</v>
      </c>
      <c r="E243" s="184"/>
      <c r="F243" s="185"/>
    </row>
    <row r="244" spans="2:6">
      <c r="B244" s="182"/>
      <c r="C244" s="182"/>
      <c r="D244" s="182"/>
      <c r="E244" s="71" t="s">
        <v>819</v>
      </c>
      <c r="F244" s="70" t="s">
        <v>820</v>
      </c>
    </row>
    <row r="245" spans="2:6">
      <c r="B245" s="183"/>
      <c r="C245" s="183"/>
      <c r="D245" s="183"/>
      <c r="E245" s="71" t="s">
        <v>349</v>
      </c>
      <c r="F245" s="70" t="s">
        <v>821</v>
      </c>
    </row>
    <row r="246" spans="2:6">
      <c r="B246" s="183"/>
      <c r="C246" s="183"/>
      <c r="D246" s="183"/>
      <c r="E246" s="71" t="s">
        <v>349</v>
      </c>
      <c r="F246" s="70" t="s">
        <v>822</v>
      </c>
    </row>
    <row r="247" spans="2:6">
      <c r="B247" s="186"/>
      <c r="C247" s="186"/>
      <c r="D247" s="186"/>
      <c r="E247" s="71" t="s">
        <v>349</v>
      </c>
      <c r="F247" s="70" t="s">
        <v>823</v>
      </c>
    </row>
    <row r="248" spans="2:6">
      <c r="B248" s="113">
        <v>47</v>
      </c>
      <c r="C248" s="95">
        <v>44181</v>
      </c>
      <c r="D248" s="113" t="s">
        <v>814</v>
      </c>
      <c r="E248" s="184"/>
      <c r="F248" s="185"/>
    </row>
    <row r="249" spans="2:6">
      <c r="B249" s="182"/>
      <c r="C249" s="182"/>
      <c r="D249" s="182"/>
      <c r="E249" s="71" t="s">
        <v>824</v>
      </c>
      <c r="F249" s="70" t="s">
        <v>825</v>
      </c>
    </row>
    <row r="250" spans="2:6">
      <c r="B250" s="183"/>
      <c r="C250" s="183"/>
      <c r="D250" s="183"/>
      <c r="E250" s="71" t="s">
        <v>826</v>
      </c>
      <c r="F250" s="70" t="s">
        <v>827</v>
      </c>
    </row>
    <row r="251" spans="2:6">
      <c r="B251" s="183"/>
      <c r="C251" s="183"/>
      <c r="D251" s="183"/>
      <c r="E251" s="71" t="s">
        <v>828</v>
      </c>
      <c r="F251" s="70" t="s">
        <v>829</v>
      </c>
    </row>
    <row r="252" spans="2:6">
      <c r="B252" s="186"/>
      <c r="C252" s="186"/>
      <c r="D252" s="186"/>
      <c r="E252" s="71" t="s">
        <v>830</v>
      </c>
      <c r="F252" s="70" t="s">
        <v>831</v>
      </c>
    </row>
    <row r="253" spans="2:6">
      <c r="B253" s="113" t="s">
        <v>832</v>
      </c>
      <c r="C253" s="95">
        <v>44182</v>
      </c>
      <c r="D253" s="113" t="s">
        <v>415</v>
      </c>
      <c r="E253" s="184"/>
      <c r="F253" s="185"/>
    </row>
    <row r="254" spans="2:6">
      <c r="B254" s="182"/>
      <c r="C254" s="182"/>
      <c r="D254" s="182"/>
      <c r="E254" s="71" t="s">
        <v>833</v>
      </c>
      <c r="F254" s="70" t="s">
        <v>534</v>
      </c>
    </row>
    <row r="255" spans="2:6">
      <c r="B255" s="183"/>
      <c r="C255" s="183"/>
      <c r="D255" s="183"/>
      <c r="E255" s="71" t="s">
        <v>834</v>
      </c>
      <c r="F255" s="70" t="s">
        <v>835</v>
      </c>
    </row>
    <row r="256" spans="2:6">
      <c r="B256" s="183"/>
      <c r="C256" s="183"/>
      <c r="D256" s="183"/>
      <c r="E256" s="71" t="s">
        <v>834</v>
      </c>
      <c r="F256" s="70" t="s">
        <v>662</v>
      </c>
    </row>
    <row r="257" spans="2:6">
      <c r="B257" s="186"/>
      <c r="C257" s="186"/>
      <c r="D257" s="186"/>
      <c r="E257" s="71" t="s">
        <v>834</v>
      </c>
      <c r="F257" s="70" t="s">
        <v>836</v>
      </c>
    </row>
    <row r="258" spans="2:6">
      <c r="B258" s="113">
        <v>49</v>
      </c>
      <c r="C258" s="95">
        <v>44182</v>
      </c>
      <c r="D258" s="113" t="s">
        <v>837</v>
      </c>
      <c r="E258" s="184"/>
      <c r="F258" s="185"/>
    </row>
    <row r="259" spans="2:6">
      <c r="B259" s="114"/>
      <c r="C259" s="114"/>
      <c r="D259" s="114"/>
      <c r="E259" s="71" t="s">
        <v>838</v>
      </c>
      <c r="F259" s="70" t="s">
        <v>837</v>
      </c>
    </row>
    <row r="260" spans="2:6">
      <c r="B260" s="113">
        <v>50</v>
      </c>
      <c r="C260" s="95">
        <v>44183</v>
      </c>
      <c r="D260" s="113" t="s">
        <v>263</v>
      </c>
      <c r="E260" s="184"/>
      <c r="F260" s="185"/>
    </row>
    <row r="261" spans="2:6">
      <c r="B261" s="114"/>
      <c r="C261" s="114"/>
      <c r="D261" s="114"/>
      <c r="E261" s="71" t="s">
        <v>804</v>
      </c>
      <c r="F261" s="70" t="s">
        <v>263</v>
      </c>
    </row>
    <row r="262" spans="2:6">
      <c r="B262" s="113">
        <v>51</v>
      </c>
      <c r="C262" s="95">
        <v>44181</v>
      </c>
      <c r="D262" s="113" t="s">
        <v>814</v>
      </c>
      <c r="E262" s="184"/>
      <c r="F262" s="185"/>
    </row>
    <row r="263" spans="2:6">
      <c r="B263" s="182"/>
      <c r="C263" s="182"/>
      <c r="D263" s="182"/>
      <c r="E263" s="71" t="s">
        <v>797</v>
      </c>
      <c r="F263" s="70" t="s">
        <v>791</v>
      </c>
    </row>
    <row r="264" spans="2:6">
      <c r="B264" s="183"/>
      <c r="C264" s="183"/>
      <c r="D264" s="183"/>
      <c r="E264" s="71" t="s">
        <v>798</v>
      </c>
      <c r="F264" s="70" t="s">
        <v>792</v>
      </c>
    </row>
    <row r="265" spans="2:6">
      <c r="B265" s="183"/>
      <c r="C265" s="183"/>
      <c r="D265" s="183"/>
      <c r="E265" s="71" t="s">
        <v>799</v>
      </c>
      <c r="F265" s="70" t="s">
        <v>793</v>
      </c>
    </row>
    <row r="266" spans="2:6">
      <c r="B266" s="183"/>
      <c r="C266" s="183"/>
      <c r="D266" s="183"/>
      <c r="E266" s="71" t="s">
        <v>800</v>
      </c>
      <c r="F266" s="70" t="s">
        <v>794</v>
      </c>
    </row>
    <row r="267" spans="2:6">
      <c r="B267" s="183"/>
      <c r="C267" s="183"/>
      <c r="D267" s="183"/>
      <c r="E267" s="71" t="s">
        <v>801</v>
      </c>
      <c r="F267" s="70" t="s">
        <v>795</v>
      </c>
    </row>
    <row r="268" spans="2:6">
      <c r="B268" s="183"/>
      <c r="C268" s="183"/>
      <c r="D268" s="183"/>
      <c r="E268" s="71" t="s">
        <v>802</v>
      </c>
      <c r="F268" s="70" t="s">
        <v>796</v>
      </c>
    </row>
    <row r="269" spans="2:6">
      <c r="B269" s="113">
        <v>52</v>
      </c>
      <c r="C269" s="95">
        <v>44186</v>
      </c>
      <c r="D269" s="113" t="s">
        <v>466</v>
      </c>
      <c r="E269" s="184"/>
      <c r="F269" s="185"/>
    </row>
    <row r="270" spans="2:6">
      <c r="B270" s="182"/>
      <c r="C270" s="182"/>
      <c r="D270" s="182"/>
      <c r="E270" s="71" t="s">
        <v>812</v>
      </c>
      <c r="F270" s="70" t="s">
        <v>839</v>
      </c>
    </row>
    <row r="271" spans="2:6">
      <c r="B271" s="183"/>
      <c r="C271" s="183"/>
      <c r="D271" s="183"/>
      <c r="E271" s="71" t="s">
        <v>840</v>
      </c>
      <c r="F271" s="70" t="s">
        <v>841</v>
      </c>
    </row>
    <row r="272" spans="2:6">
      <c r="B272" s="186"/>
      <c r="C272" s="186"/>
      <c r="D272" s="186"/>
      <c r="E272" s="71" t="s">
        <v>842</v>
      </c>
      <c r="F272" s="70" t="s">
        <v>316</v>
      </c>
    </row>
    <row r="273" spans="2:6">
      <c r="B273" s="113">
        <v>53</v>
      </c>
      <c r="C273" s="95">
        <v>44186</v>
      </c>
      <c r="D273" s="113" t="s">
        <v>415</v>
      </c>
      <c r="E273" s="184"/>
      <c r="F273" s="185"/>
    </row>
    <row r="274" spans="2:6">
      <c r="B274" s="193"/>
      <c r="C274" s="193"/>
      <c r="D274" s="193"/>
      <c r="E274" s="71" t="s">
        <v>349</v>
      </c>
      <c r="F274" s="70" t="s">
        <v>843</v>
      </c>
    </row>
    <row r="275" spans="2:6">
      <c r="B275" s="194"/>
      <c r="C275" s="194"/>
      <c r="D275" s="194"/>
      <c r="E275" s="71" t="s">
        <v>844</v>
      </c>
      <c r="F275" s="70" t="s">
        <v>484</v>
      </c>
    </row>
    <row r="276" spans="2:6">
      <c r="B276" s="113">
        <v>54</v>
      </c>
      <c r="C276" s="95">
        <v>44187</v>
      </c>
      <c r="D276" s="113" t="s">
        <v>466</v>
      </c>
      <c r="E276" s="184"/>
      <c r="F276" s="185"/>
    </row>
    <row r="277" spans="2:6">
      <c r="B277" s="114"/>
      <c r="C277" s="114"/>
      <c r="D277" s="114"/>
      <c r="E277" s="71" t="s">
        <v>845</v>
      </c>
      <c r="F277" s="70" t="s">
        <v>774</v>
      </c>
    </row>
    <row r="278" spans="2:6">
      <c r="B278" s="113">
        <v>55</v>
      </c>
      <c r="C278" s="95">
        <v>44187</v>
      </c>
      <c r="D278" s="113" t="s">
        <v>224</v>
      </c>
      <c r="E278" s="184"/>
      <c r="F278" s="185"/>
    </row>
    <row r="279" spans="2:6">
      <c r="B279" s="193"/>
      <c r="C279" s="193"/>
      <c r="D279" s="193"/>
      <c r="E279" s="71" t="s">
        <v>677</v>
      </c>
      <c r="F279" s="70" t="s">
        <v>385</v>
      </c>
    </row>
    <row r="280" spans="2:6">
      <c r="B280" s="194"/>
      <c r="C280" s="194"/>
      <c r="D280" s="194"/>
      <c r="E280" s="71" t="s">
        <v>676</v>
      </c>
      <c r="F280" s="70" t="s">
        <v>383</v>
      </c>
    </row>
    <row r="281" spans="2:6">
      <c r="B281" s="113">
        <v>56</v>
      </c>
      <c r="C281" s="95">
        <v>44188</v>
      </c>
      <c r="D281" s="113" t="s">
        <v>217</v>
      </c>
      <c r="E281" s="184"/>
      <c r="F281" s="185"/>
    </row>
    <row r="282" spans="2:6">
      <c r="B282" s="114"/>
      <c r="C282" s="114"/>
      <c r="D282" s="114"/>
      <c r="E282" s="71" t="s">
        <v>849</v>
      </c>
      <c r="F282" s="70" t="s">
        <v>728</v>
      </c>
    </row>
    <row r="283" spans="2:6">
      <c r="B283" s="113">
        <v>57</v>
      </c>
      <c r="C283" s="95">
        <v>44188</v>
      </c>
      <c r="D283" s="113" t="s">
        <v>224</v>
      </c>
      <c r="E283" s="184"/>
      <c r="F283" s="185"/>
    </row>
    <row r="284" spans="2:6">
      <c r="B284" s="182"/>
      <c r="C284" s="182"/>
      <c r="D284" s="182"/>
      <c r="E284" s="71" t="s">
        <v>698</v>
      </c>
      <c r="F284" s="70" t="s">
        <v>872</v>
      </c>
    </row>
    <row r="285" spans="2:6">
      <c r="B285" s="183"/>
      <c r="C285" s="183"/>
      <c r="D285" s="183"/>
      <c r="E285" s="71" t="s">
        <v>700</v>
      </c>
      <c r="F285" s="70" t="s">
        <v>873</v>
      </c>
    </row>
    <row r="286" spans="2:6">
      <c r="B286" s="113">
        <v>58</v>
      </c>
      <c r="C286" s="95">
        <v>44194</v>
      </c>
      <c r="D286" s="113" t="s">
        <v>224</v>
      </c>
      <c r="E286" s="184"/>
      <c r="F286" s="185"/>
    </row>
    <row r="287" spans="2:6">
      <c r="B287" s="182"/>
      <c r="C287" s="182"/>
      <c r="D287" s="182"/>
      <c r="E287" s="71" t="s">
        <v>674</v>
      </c>
      <c r="F287" s="70" t="s">
        <v>382</v>
      </c>
    </row>
    <row r="288" spans="2:6">
      <c r="B288" s="183"/>
      <c r="C288" s="183"/>
      <c r="D288" s="183"/>
      <c r="E288" s="71" t="s">
        <v>673</v>
      </c>
      <c r="F288" s="70" t="s">
        <v>874</v>
      </c>
    </row>
    <row r="289" spans="2:6">
      <c r="B289" s="183"/>
      <c r="C289" s="183"/>
      <c r="D289" s="183"/>
      <c r="E289" s="71" t="s">
        <v>474</v>
      </c>
      <c r="F289" s="70" t="s">
        <v>875</v>
      </c>
    </row>
    <row r="290" spans="2:6">
      <c r="B290" s="183"/>
      <c r="C290" s="183"/>
      <c r="D290" s="183"/>
      <c r="E290" s="71" t="s">
        <v>675</v>
      </c>
      <c r="F290" s="70" t="s">
        <v>876</v>
      </c>
    </row>
    <row r="291" spans="2:6">
      <c r="B291" s="113">
        <v>59</v>
      </c>
      <c r="C291" s="95">
        <v>44200</v>
      </c>
      <c r="D291" s="113" t="s">
        <v>466</v>
      </c>
      <c r="E291" s="184"/>
      <c r="F291" s="185"/>
    </row>
    <row r="292" spans="2:6" ht="28">
      <c r="B292" s="182"/>
      <c r="C292" s="182"/>
      <c r="D292" s="182"/>
      <c r="E292" s="71" t="s">
        <v>780</v>
      </c>
      <c r="F292" s="70" t="s">
        <v>559</v>
      </c>
    </row>
    <row r="293" spans="2:6">
      <c r="B293" s="183"/>
      <c r="C293" s="183"/>
      <c r="D293" s="183"/>
      <c r="E293" s="71" t="s">
        <v>877</v>
      </c>
      <c r="F293" s="70" t="s">
        <v>878</v>
      </c>
    </row>
    <row r="294" spans="2:6">
      <c r="B294" s="183"/>
      <c r="C294" s="183"/>
      <c r="D294" s="183"/>
      <c r="E294" s="71" t="s">
        <v>858</v>
      </c>
      <c r="F294" s="70" t="s">
        <v>879</v>
      </c>
    </row>
    <row r="295" spans="2:6">
      <c r="B295" s="183"/>
      <c r="C295" s="183"/>
      <c r="D295" s="183"/>
      <c r="E295" s="71" t="s">
        <v>349</v>
      </c>
      <c r="F295" s="70" t="s">
        <v>880</v>
      </c>
    </row>
    <row r="296" spans="2:6">
      <c r="B296" s="183"/>
      <c r="C296" s="183"/>
      <c r="D296" s="183"/>
      <c r="E296" s="71" t="s">
        <v>881</v>
      </c>
      <c r="F296" s="70" t="s">
        <v>882</v>
      </c>
    </row>
    <row r="297" spans="2:6">
      <c r="B297" s="183"/>
      <c r="C297" s="183"/>
      <c r="D297" s="183"/>
      <c r="E297" s="71" t="s">
        <v>883</v>
      </c>
      <c r="F297" s="70" t="s">
        <v>884</v>
      </c>
    </row>
    <row r="298" spans="2:6">
      <c r="B298" s="183"/>
      <c r="C298" s="183"/>
      <c r="D298" s="183"/>
      <c r="E298" s="71" t="s">
        <v>885</v>
      </c>
      <c r="F298" s="70" t="s">
        <v>886</v>
      </c>
    </row>
    <row r="299" spans="2:6">
      <c r="B299" s="183"/>
      <c r="C299" s="183"/>
      <c r="D299" s="183"/>
      <c r="E299" s="71" t="s">
        <v>887</v>
      </c>
      <c r="F299" s="70" t="s">
        <v>888</v>
      </c>
    </row>
    <row r="300" spans="2:6">
      <c r="B300" s="183"/>
      <c r="C300" s="183"/>
      <c r="D300" s="183"/>
      <c r="E300" s="71" t="s">
        <v>889</v>
      </c>
      <c r="F300" s="70" t="s">
        <v>890</v>
      </c>
    </row>
    <row r="301" spans="2:6">
      <c r="B301" s="183"/>
      <c r="C301" s="183"/>
      <c r="D301" s="183"/>
      <c r="E301" s="71" t="s">
        <v>891</v>
      </c>
      <c r="F301" s="70" t="s">
        <v>892</v>
      </c>
    </row>
    <row r="302" spans="2:6">
      <c r="B302" s="183"/>
      <c r="C302" s="183"/>
      <c r="D302" s="183"/>
      <c r="E302" s="71" t="s">
        <v>856</v>
      </c>
      <c r="F302" s="70" t="s">
        <v>307</v>
      </c>
    </row>
    <row r="303" spans="2:6">
      <c r="B303" s="183"/>
      <c r="C303" s="183"/>
      <c r="D303" s="183"/>
      <c r="E303" s="71" t="s">
        <v>854</v>
      </c>
      <c r="F303" s="70" t="s">
        <v>774</v>
      </c>
    </row>
    <row r="304" spans="2:6">
      <c r="B304" s="183"/>
      <c r="C304" s="183"/>
      <c r="D304" s="183"/>
      <c r="E304" s="71" t="s">
        <v>859</v>
      </c>
      <c r="F304" s="70" t="s">
        <v>893</v>
      </c>
    </row>
    <row r="305" spans="2:6">
      <c r="B305" s="183"/>
      <c r="C305" s="183"/>
      <c r="D305" s="183"/>
      <c r="E305" s="71" t="s">
        <v>894</v>
      </c>
      <c r="F305" s="70" t="s">
        <v>895</v>
      </c>
    </row>
    <row r="306" spans="2:6">
      <c r="B306" s="183"/>
      <c r="C306" s="183"/>
      <c r="D306" s="183"/>
      <c r="E306" s="71" t="s">
        <v>862</v>
      </c>
      <c r="F306" s="70" t="s">
        <v>896</v>
      </c>
    </row>
    <row r="307" spans="2:6">
      <c r="B307" s="183"/>
      <c r="C307" s="183"/>
      <c r="D307" s="183"/>
      <c r="E307" s="71" t="s">
        <v>897</v>
      </c>
      <c r="F307" s="70" t="s">
        <v>898</v>
      </c>
    </row>
    <row r="308" spans="2:6">
      <c r="B308" s="183"/>
      <c r="C308" s="183"/>
      <c r="D308" s="183"/>
      <c r="E308" s="71" t="s">
        <v>899</v>
      </c>
      <c r="F308" s="70" t="s">
        <v>900</v>
      </c>
    </row>
    <row r="309" spans="2:6">
      <c r="B309" s="183"/>
      <c r="C309" s="183"/>
      <c r="D309" s="183"/>
      <c r="E309" s="71" t="s">
        <v>901</v>
      </c>
      <c r="F309" s="70" t="s">
        <v>902</v>
      </c>
    </row>
    <row r="310" spans="2:6">
      <c r="B310" s="183"/>
      <c r="C310" s="183"/>
      <c r="D310" s="183"/>
      <c r="E310" s="71" t="s">
        <v>903</v>
      </c>
      <c r="F310" s="70" t="s">
        <v>904</v>
      </c>
    </row>
    <row r="311" spans="2:6">
      <c r="B311" s="183"/>
      <c r="C311" s="183"/>
      <c r="D311" s="183"/>
      <c r="E311" s="71" t="s">
        <v>905</v>
      </c>
      <c r="F311" s="70" t="s">
        <v>904</v>
      </c>
    </row>
    <row r="312" spans="2:6">
      <c r="B312" s="183"/>
      <c r="C312" s="183"/>
      <c r="D312" s="183"/>
      <c r="E312" s="71" t="s">
        <v>906</v>
      </c>
      <c r="F312" s="70" t="s">
        <v>599</v>
      </c>
    </row>
    <row r="313" spans="2:6">
      <c r="B313" s="183"/>
      <c r="C313" s="183"/>
      <c r="D313" s="183"/>
      <c r="E313" s="71" t="s">
        <v>907</v>
      </c>
      <c r="F313" s="70" t="s">
        <v>601</v>
      </c>
    </row>
    <row r="314" spans="2:6">
      <c r="B314" s="183"/>
      <c r="C314" s="183"/>
      <c r="D314" s="183"/>
      <c r="E314" s="71" t="s">
        <v>857</v>
      </c>
      <c r="F314" s="70" t="s">
        <v>908</v>
      </c>
    </row>
    <row r="315" spans="2:6">
      <c r="B315" s="113">
        <v>60</v>
      </c>
      <c r="C315" s="95">
        <v>44208</v>
      </c>
      <c r="D315" s="113" t="s">
        <v>912</v>
      </c>
      <c r="E315" s="184"/>
      <c r="F315" s="185"/>
    </row>
    <row r="316" spans="2:6">
      <c r="B316" s="114"/>
      <c r="C316" s="114"/>
      <c r="D316" s="114"/>
      <c r="E316" s="71" t="s">
        <v>913</v>
      </c>
      <c r="F316" s="70" t="s">
        <v>912</v>
      </c>
    </row>
    <row r="317" spans="2:6">
      <c r="B317" s="113">
        <v>61</v>
      </c>
      <c r="C317" s="95">
        <v>44209</v>
      </c>
      <c r="D317" s="113" t="s">
        <v>415</v>
      </c>
      <c r="E317" s="184"/>
      <c r="F317" s="185"/>
    </row>
    <row r="318" spans="2:6">
      <c r="B318" s="183"/>
      <c r="C318" s="183"/>
      <c r="D318" s="183"/>
      <c r="E318" s="71" t="s">
        <v>919</v>
      </c>
      <c r="F318" s="70" t="s">
        <v>835</v>
      </c>
    </row>
    <row r="319" spans="2:6">
      <c r="B319" s="183"/>
      <c r="C319" s="183"/>
      <c r="D319" s="183"/>
      <c r="E319" s="71" t="s">
        <v>919</v>
      </c>
      <c r="F319" s="70" t="s">
        <v>662</v>
      </c>
    </row>
    <row r="320" spans="2:6">
      <c r="B320" s="186"/>
      <c r="C320" s="186"/>
      <c r="D320" s="186"/>
      <c r="E320" s="71" t="s">
        <v>919</v>
      </c>
      <c r="F320" s="70" t="s">
        <v>836</v>
      </c>
    </row>
    <row r="321" spans="2:6">
      <c r="B321" s="113">
        <v>62</v>
      </c>
      <c r="C321" s="95">
        <v>44209</v>
      </c>
      <c r="D321" s="113" t="s">
        <v>430</v>
      </c>
      <c r="E321" s="184"/>
      <c r="F321" s="185"/>
    </row>
    <row r="322" spans="2:6">
      <c r="B322" s="114"/>
      <c r="C322" s="114"/>
      <c r="D322" s="114"/>
      <c r="E322" s="71" t="s">
        <v>920</v>
      </c>
      <c r="F322" s="70" t="s">
        <v>431</v>
      </c>
    </row>
    <row r="323" spans="2:6">
      <c r="B323" s="113">
        <v>63</v>
      </c>
      <c r="C323" s="95">
        <v>44215</v>
      </c>
      <c r="D323" s="113" t="s">
        <v>415</v>
      </c>
      <c r="E323" s="71"/>
      <c r="F323" s="70"/>
    </row>
    <row r="324" spans="2:6">
      <c r="B324" s="182"/>
      <c r="C324" s="182"/>
      <c r="D324" s="182"/>
      <c r="E324" s="71" t="s">
        <v>921</v>
      </c>
      <c r="F324" s="70" t="s">
        <v>534</v>
      </c>
    </row>
    <row r="325" spans="2:6" ht="28">
      <c r="B325" s="186"/>
      <c r="C325" s="186"/>
      <c r="D325" s="186"/>
      <c r="E325" s="71" t="s">
        <v>922</v>
      </c>
      <c r="F325" s="70" t="s">
        <v>2605</v>
      </c>
    </row>
    <row r="326" spans="2:6">
      <c r="B326" s="113">
        <v>64</v>
      </c>
      <c r="C326" s="95">
        <v>44215</v>
      </c>
      <c r="D326" s="113" t="s">
        <v>912</v>
      </c>
      <c r="E326" s="184"/>
      <c r="F326" s="185"/>
    </row>
    <row r="327" spans="2:6">
      <c r="B327" s="114"/>
      <c r="C327" s="114"/>
      <c r="D327" s="114"/>
      <c r="E327" s="71" t="s">
        <v>926</v>
      </c>
      <c r="F327" s="70" t="s">
        <v>912</v>
      </c>
    </row>
    <row r="328" spans="2:6">
      <c r="B328" s="113">
        <v>65</v>
      </c>
      <c r="C328" s="95">
        <v>44217</v>
      </c>
      <c r="D328" s="113" t="s">
        <v>466</v>
      </c>
      <c r="E328" s="184"/>
      <c r="F328" s="185"/>
    </row>
    <row r="329" spans="2:6">
      <c r="B329" s="113"/>
      <c r="C329" s="113"/>
      <c r="D329" s="113"/>
      <c r="E329" s="71" t="s">
        <v>927</v>
      </c>
      <c r="F329" s="70" t="s">
        <v>928</v>
      </c>
    </row>
    <row r="330" spans="2:6">
      <c r="B330" s="113">
        <v>66</v>
      </c>
      <c r="C330" s="95">
        <v>44218</v>
      </c>
      <c r="D330" s="113" t="s">
        <v>158</v>
      </c>
      <c r="E330" s="184"/>
      <c r="F330" s="185"/>
    </row>
    <row r="331" spans="2:6">
      <c r="B331" s="113"/>
      <c r="C331" s="113"/>
      <c r="D331" s="113"/>
      <c r="E331" s="71" t="s">
        <v>934</v>
      </c>
      <c r="F331" s="70" t="s">
        <v>477</v>
      </c>
    </row>
    <row r="332" spans="2:6">
      <c r="B332" s="113">
        <v>67</v>
      </c>
      <c r="C332" s="95">
        <v>44221</v>
      </c>
      <c r="D332" s="113" t="s">
        <v>224</v>
      </c>
      <c r="E332" s="184"/>
      <c r="F332" s="185"/>
    </row>
    <row r="333" spans="2:6">
      <c r="B333" s="193"/>
      <c r="C333" s="193"/>
      <c r="D333" s="193"/>
      <c r="E333" s="71" t="s">
        <v>938</v>
      </c>
      <c r="F333" s="33" t="s">
        <v>941</v>
      </c>
    </row>
    <row r="334" spans="2:6" ht="13">
      <c r="B334" s="194"/>
      <c r="C334" s="194"/>
      <c r="D334" s="194"/>
      <c r="E334" s="35" t="s">
        <v>940</v>
      </c>
      <c r="F334" s="57" t="s">
        <v>937</v>
      </c>
    </row>
    <row r="335" spans="2:6">
      <c r="B335" s="113">
        <v>68</v>
      </c>
      <c r="C335" s="95">
        <v>44222</v>
      </c>
      <c r="D335" s="113" t="s">
        <v>415</v>
      </c>
      <c r="E335" s="184"/>
      <c r="F335" s="185"/>
    </row>
    <row r="336" spans="2:6">
      <c r="B336" s="114"/>
      <c r="C336" s="114"/>
      <c r="D336" s="114"/>
      <c r="E336" s="71" t="s">
        <v>942</v>
      </c>
      <c r="F336" s="70" t="s">
        <v>943</v>
      </c>
    </row>
    <row r="337" spans="2:6">
      <c r="B337" s="113">
        <v>69</v>
      </c>
      <c r="C337" s="127">
        <v>44222</v>
      </c>
      <c r="D337" s="113" t="s">
        <v>948</v>
      </c>
      <c r="E337" s="184"/>
      <c r="F337" s="185"/>
    </row>
    <row r="338" spans="2:6">
      <c r="B338" s="113"/>
      <c r="C338" s="95"/>
      <c r="D338" s="113"/>
      <c r="E338" s="71"/>
      <c r="F338" s="70" t="s">
        <v>949</v>
      </c>
    </row>
    <row r="339" spans="2:6">
      <c r="B339" s="113" t="s">
        <v>950</v>
      </c>
      <c r="C339" s="95">
        <v>44223</v>
      </c>
      <c r="D339" s="113" t="s">
        <v>158</v>
      </c>
      <c r="E339" s="184"/>
      <c r="F339" s="185"/>
    </row>
    <row r="340" spans="2:6">
      <c r="B340" s="113"/>
      <c r="C340" s="113"/>
      <c r="D340" s="113"/>
      <c r="E340" s="71" t="s">
        <v>951</v>
      </c>
      <c r="F340" s="70" t="s">
        <v>952</v>
      </c>
    </row>
    <row r="341" spans="2:6">
      <c r="B341" s="113">
        <v>70</v>
      </c>
      <c r="C341" s="95">
        <v>44224</v>
      </c>
      <c r="D341" s="113" t="s">
        <v>415</v>
      </c>
      <c r="E341" s="184"/>
      <c r="F341" s="185"/>
    </row>
    <row r="342" spans="2:6" ht="14.25" customHeight="1">
      <c r="B342" s="182"/>
      <c r="C342" s="182"/>
      <c r="D342" s="182"/>
      <c r="E342" s="71" t="s">
        <v>953</v>
      </c>
      <c r="F342" s="70" t="s">
        <v>954</v>
      </c>
    </row>
    <row r="343" spans="2:6">
      <c r="B343" s="183"/>
      <c r="C343" s="183"/>
      <c r="D343" s="183"/>
      <c r="E343" s="71" t="s">
        <v>955</v>
      </c>
      <c r="F343" s="70" t="s">
        <v>956</v>
      </c>
    </row>
    <row r="344" spans="2:6">
      <c r="B344" s="183"/>
      <c r="C344" s="183"/>
      <c r="D344" s="183"/>
      <c r="E344" s="71" t="s">
        <v>957</v>
      </c>
      <c r="F344" s="70" t="s">
        <v>958</v>
      </c>
    </row>
    <row r="345" spans="2:6">
      <c r="B345" s="183"/>
      <c r="C345" s="183"/>
      <c r="D345" s="183"/>
      <c r="E345" s="71" t="s">
        <v>957</v>
      </c>
      <c r="F345" s="70" t="s">
        <v>959</v>
      </c>
    </row>
    <row r="346" spans="2:6">
      <c r="B346" s="186"/>
      <c r="C346" s="186"/>
      <c r="D346" s="183"/>
      <c r="E346" s="71" t="s">
        <v>957</v>
      </c>
      <c r="F346" s="70" t="s">
        <v>960</v>
      </c>
    </row>
    <row r="347" spans="2:6">
      <c r="B347" s="113">
        <v>71</v>
      </c>
      <c r="C347" s="95">
        <v>44231</v>
      </c>
      <c r="D347" s="113" t="s">
        <v>466</v>
      </c>
      <c r="E347" s="184"/>
      <c r="F347" s="185"/>
    </row>
    <row r="348" spans="2:6" ht="14.25" customHeight="1">
      <c r="B348" s="182"/>
      <c r="C348" s="182"/>
      <c r="D348" s="182"/>
      <c r="E348" s="71" t="s">
        <v>961</v>
      </c>
      <c r="F348" s="70" t="s">
        <v>928</v>
      </c>
    </row>
    <row r="349" spans="2:6" ht="14.25" customHeight="1">
      <c r="B349" s="186"/>
      <c r="C349" s="186"/>
      <c r="D349" s="183"/>
      <c r="E349" s="71" t="s">
        <v>962</v>
      </c>
      <c r="F349" s="70" t="s">
        <v>963</v>
      </c>
    </row>
    <row r="350" spans="2:6">
      <c r="B350" s="113">
        <v>72</v>
      </c>
      <c r="C350" s="128">
        <v>44235</v>
      </c>
      <c r="D350" s="113" t="s">
        <v>948</v>
      </c>
      <c r="E350" s="184"/>
      <c r="F350" s="185"/>
    </row>
    <row r="351" spans="2:6">
      <c r="B351" s="113"/>
      <c r="C351" s="113"/>
      <c r="D351" s="113"/>
      <c r="E351" s="71" t="s">
        <v>968</v>
      </c>
      <c r="F351" s="70" t="s">
        <v>969</v>
      </c>
    </row>
    <row r="352" spans="2:6">
      <c r="B352" s="113">
        <v>73</v>
      </c>
      <c r="C352" s="95">
        <v>44236</v>
      </c>
      <c r="D352" s="113" t="s">
        <v>466</v>
      </c>
      <c r="E352" s="184"/>
      <c r="F352" s="185"/>
    </row>
    <row r="353" spans="2:6">
      <c r="B353" s="113"/>
      <c r="C353" s="113"/>
      <c r="D353" s="113"/>
      <c r="E353" s="71" t="s">
        <v>973</v>
      </c>
      <c r="F353" s="70" t="s">
        <v>974</v>
      </c>
    </row>
    <row r="354" spans="2:6">
      <c r="B354" s="113">
        <v>74</v>
      </c>
      <c r="C354" s="95">
        <v>44238</v>
      </c>
      <c r="D354" s="113" t="s">
        <v>466</v>
      </c>
      <c r="E354" s="184"/>
      <c r="F354" s="185"/>
    </row>
    <row r="355" spans="2:6">
      <c r="B355" s="113"/>
      <c r="C355" s="113"/>
      <c r="D355" s="113"/>
      <c r="E355" s="71" t="s">
        <v>978</v>
      </c>
      <c r="F355" s="70" t="s">
        <v>979</v>
      </c>
    </row>
    <row r="356" spans="2:6">
      <c r="B356" s="113">
        <v>75</v>
      </c>
      <c r="C356" s="95">
        <v>44238</v>
      </c>
      <c r="D356" s="113" t="s">
        <v>745</v>
      </c>
      <c r="E356" s="184"/>
      <c r="F356" s="185"/>
    </row>
    <row r="357" spans="2:6">
      <c r="B357" s="113"/>
      <c r="C357" s="113"/>
      <c r="D357" s="113"/>
      <c r="E357" s="71" t="s">
        <v>982</v>
      </c>
      <c r="F357" s="70" t="s">
        <v>722</v>
      </c>
    </row>
    <row r="358" spans="2:6">
      <c r="B358" s="113">
        <v>76</v>
      </c>
      <c r="C358" s="95">
        <v>44243</v>
      </c>
      <c r="D358" s="113" t="s">
        <v>466</v>
      </c>
      <c r="E358" s="184"/>
      <c r="F358" s="185"/>
    </row>
    <row r="359" spans="2:6">
      <c r="B359" s="182"/>
      <c r="C359" s="182"/>
      <c r="D359" s="182"/>
      <c r="E359" s="71" t="s">
        <v>984</v>
      </c>
      <c r="F359" s="70" t="s">
        <v>985</v>
      </c>
    </row>
    <row r="360" spans="2:6">
      <c r="B360" s="183"/>
      <c r="C360" s="183"/>
      <c r="D360" s="183"/>
      <c r="E360" s="71" t="s">
        <v>986</v>
      </c>
      <c r="F360" s="70" t="s">
        <v>987</v>
      </c>
    </row>
    <row r="361" spans="2:6">
      <c r="B361" s="183"/>
      <c r="C361" s="183"/>
      <c r="D361" s="183"/>
      <c r="E361" s="71" t="s">
        <v>988</v>
      </c>
      <c r="F361" s="70" t="s">
        <v>989</v>
      </c>
    </row>
    <row r="362" spans="2:6">
      <c r="B362" s="183"/>
      <c r="C362" s="183"/>
      <c r="D362" s="183"/>
      <c r="E362" s="71" t="s">
        <v>990</v>
      </c>
      <c r="F362" s="70" t="s">
        <v>991</v>
      </c>
    </row>
    <row r="363" spans="2:6">
      <c r="B363" s="183"/>
      <c r="C363" s="183"/>
      <c r="D363" s="183"/>
      <c r="E363" s="71" t="s">
        <v>992</v>
      </c>
      <c r="F363" s="70" t="s">
        <v>993</v>
      </c>
    </row>
    <row r="364" spans="2:6">
      <c r="B364" s="183"/>
      <c r="C364" s="183"/>
      <c r="D364" s="183"/>
      <c r="E364" s="71" t="s">
        <v>994</v>
      </c>
      <c r="F364" s="70" t="s">
        <v>995</v>
      </c>
    </row>
    <row r="365" spans="2:6">
      <c r="B365" s="183"/>
      <c r="C365" s="183"/>
      <c r="D365" s="183"/>
      <c r="E365" s="71" t="s">
        <v>996</v>
      </c>
      <c r="F365" s="70" t="s">
        <v>997</v>
      </c>
    </row>
    <row r="366" spans="2:6">
      <c r="B366" s="183"/>
      <c r="C366" s="183"/>
      <c r="D366" s="183"/>
      <c r="E366" s="71" t="s">
        <v>998</v>
      </c>
      <c r="F366" s="70" t="s">
        <v>999</v>
      </c>
    </row>
    <row r="367" spans="2:6">
      <c r="B367" s="183"/>
      <c r="C367" s="183"/>
      <c r="D367" s="183"/>
      <c r="E367" s="71" t="s">
        <v>1000</v>
      </c>
      <c r="F367" s="70" t="s">
        <v>1001</v>
      </c>
    </row>
    <row r="368" spans="2:6">
      <c r="B368" s="183"/>
      <c r="C368" s="183"/>
      <c r="D368" s="183"/>
      <c r="E368" s="71" t="s">
        <v>1002</v>
      </c>
      <c r="F368" s="70" t="s">
        <v>1003</v>
      </c>
    </row>
    <row r="369" spans="2:6">
      <c r="B369" s="183"/>
      <c r="C369" s="183"/>
      <c r="D369" s="183"/>
      <c r="E369" s="71" t="s">
        <v>1004</v>
      </c>
      <c r="F369" s="70" t="s">
        <v>1005</v>
      </c>
    </row>
    <row r="370" spans="2:6">
      <c r="B370" s="183"/>
      <c r="C370" s="183"/>
      <c r="D370" s="183"/>
      <c r="E370" s="71" t="s">
        <v>1006</v>
      </c>
      <c r="F370" s="70" t="s">
        <v>1007</v>
      </c>
    </row>
    <row r="371" spans="2:6">
      <c r="B371" s="183"/>
      <c r="C371" s="183"/>
      <c r="D371" s="183"/>
      <c r="E371" s="71" t="s">
        <v>1008</v>
      </c>
      <c r="F371" s="70" t="s">
        <v>1009</v>
      </c>
    </row>
    <row r="372" spans="2:6">
      <c r="B372" s="183"/>
      <c r="C372" s="183"/>
      <c r="D372" s="183"/>
      <c r="E372" s="71" t="s">
        <v>1010</v>
      </c>
      <c r="F372" s="70" t="s">
        <v>1011</v>
      </c>
    </row>
    <row r="373" spans="2:6">
      <c r="B373" s="183"/>
      <c r="C373" s="183"/>
      <c r="D373" s="183"/>
      <c r="E373" s="71" t="s">
        <v>1012</v>
      </c>
      <c r="F373" s="70" t="s">
        <v>1013</v>
      </c>
    </row>
    <row r="374" spans="2:6">
      <c r="B374" s="183"/>
      <c r="C374" s="183"/>
      <c r="D374" s="183"/>
      <c r="E374" s="71" t="s">
        <v>1014</v>
      </c>
      <c r="F374" s="70" t="s">
        <v>1015</v>
      </c>
    </row>
    <row r="375" spans="2:6">
      <c r="B375" s="183"/>
      <c r="C375" s="183"/>
      <c r="D375" s="183"/>
      <c r="E375" s="71" t="s">
        <v>1016</v>
      </c>
      <c r="F375" s="70" t="s">
        <v>1017</v>
      </c>
    </row>
    <row r="376" spans="2:6">
      <c r="B376" s="183"/>
      <c r="C376" s="183"/>
      <c r="D376" s="183"/>
      <c r="E376" s="71" t="s">
        <v>1018</v>
      </c>
      <c r="F376" s="70" t="s">
        <v>1019</v>
      </c>
    </row>
    <row r="377" spans="2:6">
      <c r="B377" s="183"/>
      <c r="C377" s="183"/>
      <c r="D377" s="183"/>
      <c r="E377" s="71" t="s">
        <v>1020</v>
      </c>
      <c r="F377" s="70" t="s">
        <v>1021</v>
      </c>
    </row>
    <row r="378" spans="2:6">
      <c r="B378" s="183"/>
      <c r="C378" s="183"/>
      <c r="D378" s="183"/>
      <c r="E378" s="71" t="s">
        <v>1022</v>
      </c>
      <c r="F378" s="70" t="s">
        <v>1023</v>
      </c>
    </row>
    <row r="379" spans="2:6">
      <c r="B379" s="183"/>
      <c r="C379" s="183"/>
      <c r="D379" s="183"/>
      <c r="E379" s="71" t="s">
        <v>1024</v>
      </c>
      <c r="F379" s="70" t="s">
        <v>1025</v>
      </c>
    </row>
    <row r="380" spans="2:6">
      <c r="B380" s="183"/>
      <c r="C380" s="183"/>
      <c r="D380" s="183"/>
      <c r="E380" s="71" t="s">
        <v>1026</v>
      </c>
      <c r="F380" s="70" t="s">
        <v>1027</v>
      </c>
    </row>
    <row r="381" spans="2:6">
      <c r="B381" s="183"/>
      <c r="C381" s="183"/>
      <c r="D381" s="183"/>
      <c r="E381" s="71" t="s">
        <v>1028</v>
      </c>
      <c r="F381" s="70" t="s">
        <v>1029</v>
      </c>
    </row>
    <row r="382" spans="2:6">
      <c r="B382" s="183"/>
      <c r="C382" s="183"/>
      <c r="D382" s="183"/>
      <c r="E382" s="71" t="s">
        <v>1030</v>
      </c>
      <c r="F382" s="70" t="s">
        <v>1031</v>
      </c>
    </row>
    <row r="383" spans="2:6">
      <c r="B383" s="183"/>
      <c r="C383" s="183"/>
      <c r="D383" s="183"/>
      <c r="E383" s="71" t="s">
        <v>1032</v>
      </c>
      <c r="F383" s="70" t="s">
        <v>1033</v>
      </c>
    </row>
    <row r="384" spans="2:6">
      <c r="B384" s="183"/>
      <c r="C384" s="183"/>
      <c r="D384" s="183"/>
      <c r="E384" s="71" t="s">
        <v>1034</v>
      </c>
      <c r="F384" s="70" t="s">
        <v>1035</v>
      </c>
    </row>
    <row r="385" spans="2:6">
      <c r="B385" s="186"/>
      <c r="C385" s="186"/>
      <c r="D385" s="186"/>
      <c r="E385" s="71" t="s">
        <v>1036</v>
      </c>
      <c r="F385" s="70" t="s">
        <v>1037</v>
      </c>
    </row>
    <row r="386" spans="2:6">
      <c r="B386" s="113">
        <v>77</v>
      </c>
      <c r="C386" s="95">
        <v>44243</v>
      </c>
      <c r="D386" s="113" t="s">
        <v>466</v>
      </c>
      <c r="E386" s="184"/>
      <c r="F386" s="185"/>
    </row>
    <row r="387" spans="2:6">
      <c r="B387" s="182"/>
      <c r="C387" s="182"/>
      <c r="D387" s="182"/>
      <c r="E387" s="71" t="s">
        <v>1038</v>
      </c>
      <c r="F387" s="70" t="s">
        <v>1039</v>
      </c>
    </row>
    <row r="388" spans="2:6">
      <c r="B388" s="186"/>
      <c r="C388" s="186"/>
      <c r="D388" s="186"/>
      <c r="E388" s="71" t="s">
        <v>1040</v>
      </c>
      <c r="F388" s="70" t="s">
        <v>1039</v>
      </c>
    </row>
    <row r="389" spans="2:6">
      <c r="B389" s="113">
        <v>78</v>
      </c>
      <c r="C389" s="95">
        <v>44244</v>
      </c>
      <c r="D389" s="113" t="s">
        <v>466</v>
      </c>
      <c r="E389" s="184"/>
      <c r="F389" s="185"/>
    </row>
    <row r="390" spans="2:6">
      <c r="B390" s="182"/>
      <c r="C390" s="182"/>
      <c r="D390" s="182"/>
      <c r="E390" s="71" t="s">
        <v>1044</v>
      </c>
      <c r="F390" s="70" t="s">
        <v>1041</v>
      </c>
    </row>
    <row r="391" spans="2:6">
      <c r="B391" s="183"/>
      <c r="C391" s="183"/>
      <c r="D391" s="183"/>
      <c r="E391" s="71" t="s">
        <v>1042</v>
      </c>
      <c r="F391" s="70" t="s">
        <v>544</v>
      </c>
    </row>
    <row r="392" spans="2:6">
      <c r="B392" s="186"/>
      <c r="C392" s="186"/>
      <c r="D392" s="186"/>
      <c r="E392" s="71" t="s">
        <v>1043</v>
      </c>
      <c r="F392" s="70" t="s">
        <v>545</v>
      </c>
    </row>
    <row r="393" spans="2:6">
      <c r="B393" s="113">
        <v>79</v>
      </c>
      <c r="C393" s="95">
        <v>44246</v>
      </c>
      <c r="D393" s="113" t="s">
        <v>745</v>
      </c>
      <c r="E393" s="184"/>
      <c r="F393" s="185"/>
    </row>
    <row r="394" spans="2:6">
      <c r="B394" s="113"/>
      <c r="C394" s="113"/>
      <c r="D394" s="113"/>
      <c r="E394" s="71" t="s">
        <v>1086</v>
      </c>
      <c r="F394" s="70" t="s">
        <v>722</v>
      </c>
    </row>
    <row r="395" spans="2:6">
      <c r="B395" s="113">
        <v>80</v>
      </c>
      <c r="C395" s="95">
        <v>44250</v>
      </c>
      <c r="D395" s="113" t="s">
        <v>430</v>
      </c>
      <c r="E395" s="184"/>
      <c r="F395" s="185"/>
    </row>
    <row r="396" spans="2:6">
      <c r="B396" s="113"/>
      <c r="C396" s="113"/>
      <c r="D396" s="113"/>
      <c r="E396" s="71" t="s">
        <v>1088</v>
      </c>
      <c r="F396" s="70" t="s">
        <v>431</v>
      </c>
    </row>
    <row r="397" spans="2:6">
      <c r="B397" s="113">
        <v>81</v>
      </c>
      <c r="C397" s="95">
        <v>44250</v>
      </c>
      <c r="D397" s="113" t="s">
        <v>466</v>
      </c>
      <c r="E397" s="184"/>
      <c r="F397" s="185"/>
    </row>
    <row r="398" spans="2:6">
      <c r="B398" s="182"/>
      <c r="C398" s="182"/>
      <c r="D398" s="182"/>
      <c r="E398" s="71" t="s">
        <v>1089</v>
      </c>
      <c r="F398" s="70" t="s">
        <v>647</v>
      </c>
    </row>
    <row r="399" spans="2:6">
      <c r="B399" s="183"/>
      <c r="C399" s="183"/>
      <c r="D399" s="183"/>
      <c r="E399" s="71" t="s">
        <v>1090</v>
      </c>
      <c r="F399" s="70" t="s">
        <v>708</v>
      </c>
    </row>
    <row r="400" spans="2:6">
      <c r="B400" s="186"/>
      <c r="C400" s="186"/>
      <c r="D400" s="186"/>
      <c r="E400" s="71" t="s">
        <v>1091</v>
      </c>
      <c r="F400" s="70" t="s">
        <v>710</v>
      </c>
    </row>
    <row r="401" spans="2:6">
      <c r="B401" s="113">
        <v>82</v>
      </c>
      <c r="C401" s="95">
        <v>44252</v>
      </c>
      <c r="D401" s="113" t="s">
        <v>415</v>
      </c>
      <c r="E401" s="184"/>
      <c r="F401" s="185"/>
    </row>
    <row r="402" spans="2:6" ht="13">
      <c r="B402" s="182"/>
      <c r="C402" s="182"/>
      <c r="D402" s="182"/>
      <c r="E402" s="71">
        <v>13229</v>
      </c>
      <c r="F402" t="s">
        <v>1095</v>
      </c>
    </row>
    <row r="403" spans="2:6">
      <c r="B403" s="183"/>
      <c r="C403" s="183"/>
      <c r="D403" s="183"/>
      <c r="E403" s="71" t="s">
        <v>416</v>
      </c>
      <c r="F403" s="70" t="s">
        <v>1096</v>
      </c>
    </row>
    <row r="404" spans="2:6">
      <c r="B404" s="186"/>
      <c r="C404" s="186"/>
      <c r="D404" s="186"/>
      <c r="E404" s="71" t="s">
        <v>1097</v>
      </c>
      <c r="F404" s="70" t="s">
        <v>1098</v>
      </c>
    </row>
    <row r="405" spans="2:6">
      <c r="B405" s="113">
        <v>83</v>
      </c>
      <c r="C405" s="95">
        <v>44252</v>
      </c>
      <c r="D405" s="113" t="s">
        <v>466</v>
      </c>
      <c r="E405" s="184"/>
      <c r="F405" s="185"/>
    </row>
    <row r="406" spans="2:6">
      <c r="B406" s="113"/>
      <c r="C406" s="113"/>
      <c r="D406" s="113"/>
      <c r="E406" s="71" t="s">
        <v>1093</v>
      </c>
      <c r="F406" s="70" t="s">
        <v>1099</v>
      </c>
    </row>
    <row r="407" spans="2:6">
      <c r="B407" s="113">
        <v>84</v>
      </c>
      <c r="C407" s="95">
        <v>44253</v>
      </c>
      <c r="D407" s="113" t="s">
        <v>745</v>
      </c>
      <c r="E407" s="184"/>
      <c r="F407" s="185"/>
    </row>
    <row r="408" spans="2:6">
      <c r="B408" s="113"/>
      <c r="C408" s="113"/>
      <c r="D408" s="114"/>
      <c r="E408" s="71" t="s">
        <v>1093</v>
      </c>
      <c r="F408" s="70" t="s">
        <v>747</v>
      </c>
    </row>
    <row r="409" spans="2:6">
      <c r="B409" s="113">
        <v>85</v>
      </c>
      <c r="C409" s="95">
        <v>44253</v>
      </c>
      <c r="D409" s="113" t="s">
        <v>217</v>
      </c>
      <c r="E409" s="184"/>
      <c r="F409" s="185"/>
    </row>
    <row r="410" spans="2:6">
      <c r="B410" s="182"/>
      <c r="C410" s="182"/>
      <c r="D410" s="182"/>
      <c r="E410" s="71" t="s">
        <v>1133</v>
      </c>
      <c r="F410" s="70" t="s">
        <v>1108</v>
      </c>
    </row>
    <row r="411" spans="2:6">
      <c r="B411" s="183"/>
      <c r="C411" s="183"/>
      <c r="D411" s="183"/>
      <c r="E411" s="71" t="s">
        <v>1134</v>
      </c>
      <c r="F411" s="70" t="s">
        <v>1135</v>
      </c>
    </row>
    <row r="412" spans="2:6">
      <c r="B412" s="183"/>
      <c r="C412" s="183"/>
      <c r="D412" s="183"/>
      <c r="E412" s="71" t="s">
        <v>1136</v>
      </c>
      <c r="F412" s="70" t="s">
        <v>1110</v>
      </c>
    </row>
    <row r="413" spans="2:6">
      <c r="B413" s="183"/>
      <c r="C413" s="183"/>
      <c r="D413" s="183"/>
      <c r="E413" s="71" t="s">
        <v>1137</v>
      </c>
      <c r="F413" s="70" t="s">
        <v>1111</v>
      </c>
    </row>
    <row r="414" spans="2:6">
      <c r="B414" s="183"/>
      <c r="C414" s="183"/>
      <c r="D414" s="183"/>
      <c r="E414" s="71" t="s">
        <v>1138</v>
      </c>
      <c r="F414" s="70" t="s">
        <v>1112</v>
      </c>
    </row>
    <row r="415" spans="2:6">
      <c r="B415" s="183"/>
      <c r="C415" s="183"/>
      <c r="D415" s="183"/>
      <c r="E415" s="71" t="s">
        <v>1139</v>
      </c>
      <c r="F415" s="70" t="s">
        <v>1113</v>
      </c>
    </row>
    <row r="416" spans="2:6">
      <c r="B416" s="183"/>
      <c r="C416" s="183"/>
      <c r="D416" s="183"/>
      <c r="E416" s="71" t="s">
        <v>1140</v>
      </c>
      <c r="F416" s="70" t="s">
        <v>1114</v>
      </c>
    </row>
    <row r="417" spans="2:6">
      <c r="B417" s="183"/>
      <c r="C417" s="183"/>
      <c r="D417" s="183"/>
      <c r="E417" s="71" t="s">
        <v>1141</v>
      </c>
      <c r="F417" s="70" t="s">
        <v>1115</v>
      </c>
    </row>
    <row r="418" spans="2:6">
      <c r="B418" s="183"/>
      <c r="C418" s="183"/>
      <c r="D418" s="183"/>
      <c r="E418" s="71" t="s">
        <v>1142</v>
      </c>
      <c r="F418" s="70" t="s">
        <v>1116</v>
      </c>
    </row>
    <row r="419" spans="2:6">
      <c r="B419" s="183"/>
      <c r="C419" s="183"/>
      <c r="D419" s="183"/>
      <c r="E419" s="71" t="s">
        <v>1143</v>
      </c>
      <c r="F419" s="70" t="s">
        <v>1117</v>
      </c>
    </row>
    <row r="420" spans="2:6">
      <c r="B420" s="183"/>
      <c r="C420" s="183"/>
      <c r="D420" s="183"/>
      <c r="E420" s="71" t="s">
        <v>1144</v>
      </c>
      <c r="F420" s="70" t="s">
        <v>1118</v>
      </c>
    </row>
    <row r="421" spans="2:6">
      <c r="B421" s="186"/>
      <c r="C421" s="186"/>
      <c r="D421" s="186"/>
      <c r="E421" s="71" t="s">
        <v>1145</v>
      </c>
      <c r="F421" s="70" t="s">
        <v>1119</v>
      </c>
    </row>
    <row r="422" spans="2:6">
      <c r="B422" s="113">
        <v>86</v>
      </c>
      <c r="C422" s="95">
        <v>44253</v>
      </c>
      <c r="D422" s="113" t="s">
        <v>144</v>
      </c>
      <c r="E422" s="184"/>
      <c r="F422" s="185"/>
    </row>
    <row r="423" spans="2:6" ht="28">
      <c r="B423" s="182"/>
      <c r="C423" s="182"/>
      <c r="D423" s="182"/>
      <c r="E423" s="71" t="s">
        <v>1146</v>
      </c>
      <c r="F423" s="70" t="s">
        <v>1147</v>
      </c>
    </row>
    <row r="424" spans="2:6">
      <c r="B424" s="183"/>
      <c r="C424" s="183"/>
      <c r="D424" s="183"/>
      <c r="E424" s="71" t="s">
        <v>687</v>
      </c>
      <c r="F424" s="70" t="s">
        <v>1148</v>
      </c>
    </row>
    <row r="425" spans="2:6">
      <c r="B425" s="186"/>
      <c r="C425" s="186"/>
      <c r="D425" s="186"/>
      <c r="E425" s="71" t="s">
        <v>691</v>
      </c>
      <c r="F425" s="70" t="s">
        <v>1149</v>
      </c>
    </row>
    <row r="426" spans="2:6">
      <c r="B426" s="113">
        <v>87</v>
      </c>
      <c r="C426" s="95">
        <v>44253</v>
      </c>
      <c r="D426" s="71" t="s">
        <v>466</v>
      </c>
      <c r="E426" s="184"/>
      <c r="F426" s="185"/>
    </row>
    <row r="427" spans="2:6">
      <c r="B427" s="182"/>
      <c r="C427" s="182"/>
      <c r="D427" s="182"/>
      <c r="E427" s="71" t="s">
        <v>1150</v>
      </c>
      <c r="F427" s="70" t="s">
        <v>599</v>
      </c>
    </row>
    <row r="428" spans="2:6">
      <c r="B428" s="186"/>
      <c r="C428" s="186"/>
      <c r="D428" s="186"/>
      <c r="E428" s="71" t="s">
        <v>1151</v>
      </c>
      <c r="F428" s="70" t="s">
        <v>1152</v>
      </c>
    </row>
    <row r="429" spans="2:6">
      <c r="B429" s="113">
        <v>88</v>
      </c>
      <c r="C429" s="95">
        <v>44256</v>
      </c>
      <c r="D429" s="71" t="s">
        <v>466</v>
      </c>
      <c r="E429" s="184"/>
      <c r="F429" s="185"/>
    </row>
    <row r="430" spans="2:6">
      <c r="B430" s="182"/>
      <c r="C430" s="182"/>
      <c r="D430" s="182"/>
      <c r="E430" s="71" t="s">
        <v>1156</v>
      </c>
      <c r="F430" s="70" t="s">
        <v>1157</v>
      </c>
    </row>
    <row r="431" spans="2:6">
      <c r="B431" s="183"/>
      <c r="C431" s="183"/>
      <c r="D431" s="183"/>
      <c r="E431" s="71" t="s">
        <v>1158</v>
      </c>
      <c r="F431" s="70" t="s">
        <v>1159</v>
      </c>
    </row>
    <row r="432" spans="2:6">
      <c r="B432" s="186"/>
      <c r="C432" s="186"/>
      <c r="D432" s="186"/>
      <c r="E432" s="71" t="s">
        <v>1160</v>
      </c>
      <c r="F432" s="70" t="s">
        <v>1159</v>
      </c>
    </row>
    <row r="433" spans="2:6">
      <c r="B433" s="113">
        <v>89</v>
      </c>
      <c r="C433" s="95">
        <v>44257</v>
      </c>
      <c r="D433" s="113" t="s">
        <v>745</v>
      </c>
      <c r="E433" s="184"/>
      <c r="F433" s="185"/>
    </row>
    <row r="434" spans="2:6">
      <c r="B434" s="113"/>
      <c r="C434" s="113"/>
      <c r="D434" s="114"/>
      <c r="E434" s="71" t="s">
        <v>1191</v>
      </c>
      <c r="F434" s="70" t="s">
        <v>747</v>
      </c>
    </row>
    <row r="435" spans="2:6">
      <c r="B435" s="113">
        <v>90</v>
      </c>
      <c r="C435" s="95">
        <v>44258</v>
      </c>
      <c r="D435" s="113" t="s">
        <v>466</v>
      </c>
      <c r="E435" s="184"/>
      <c r="F435" s="185"/>
    </row>
    <row r="436" spans="2:6">
      <c r="B436" s="113"/>
      <c r="C436" s="113"/>
      <c r="D436" s="113"/>
      <c r="E436" s="71" t="s">
        <v>1169</v>
      </c>
      <c r="F436" s="70" t="s">
        <v>307</v>
      </c>
    </row>
    <row r="437" spans="2:6">
      <c r="B437" s="113">
        <v>91</v>
      </c>
      <c r="C437" s="95">
        <v>44258</v>
      </c>
      <c r="D437" s="113" t="s">
        <v>268</v>
      </c>
      <c r="E437" s="184"/>
      <c r="F437" s="185"/>
    </row>
    <row r="438" spans="2:6">
      <c r="B438" s="182"/>
      <c r="C438" s="182"/>
      <c r="D438" s="182"/>
      <c r="E438" s="71" t="s">
        <v>1180</v>
      </c>
      <c r="F438" s="70" t="s">
        <v>1181</v>
      </c>
    </row>
    <row r="439" spans="2:6">
      <c r="B439" s="183"/>
      <c r="C439" s="183"/>
      <c r="D439" s="183"/>
      <c r="E439" s="71" t="s">
        <v>1178</v>
      </c>
      <c r="F439" s="70" t="s">
        <v>1179</v>
      </c>
    </row>
    <row r="440" spans="2:6">
      <c r="B440" s="183"/>
      <c r="C440" s="183"/>
      <c r="D440" s="183"/>
      <c r="E440" s="71" t="s">
        <v>1176</v>
      </c>
      <c r="F440" s="70" t="s">
        <v>1177</v>
      </c>
    </row>
    <row r="441" spans="2:6">
      <c r="B441" s="183"/>
      <c r="C441" s="183"/>
      <c r="D441" s="183"/>
      <c r="E441" s="71" t="s">
        <v>1174</v>
      </c>
      <c r="F441" s="70" t="s">
        <v>1175</v>
      </c>
    </row>
    <row r="442" spans="2:6">
      <c r="B442" s="183"/>
      <c r="C442" s="183"/>
      <c r="D442" s="183"/>
      <c r="E442" s="71" t="s">
        <v>1172</v>
      </c>
      <c r="F442" s="70" t="s">
        <v>1173</v>
      </c>
    </row>
    <row r="443" spans="2:6">
      <c r="B443" s="186"/>
      <c r="C443" s="186"/>
      <c r="D443" s="186"/>
      <c r="E443" s="71" t="s">
        <v>1170</v>
      </c>
      <c r="F443" s="70" t="s">
        <v>1171</v>
      </c>
    </row>
    <row r="444" spans="2:6">
      <c r="B444" s="113">
        <v>92</v>
      </c>
      <c r="C444" s="95">
        <v>44258</v>
      </c>
      <c r="D444" s="113" t="s">
        <v>415</v>
      </c>
      <c r="E444" s="184"/>
      <c r="F444" s="185"/>
    </row>
    <row r="445" spans="2:6">
      <c r="B445" s="114"/>
      <c r="C445" s="114"/>
      <c r="D445" s="114"/>
      <c r="E445" s="71" t="s">
        <v>1183</v>
      </c>
      <c r="F445" t="s">
        <v>1182</v>
      </c>
    </row>
    <row r="446" spans="2:6">
      <c r="B446" s="113">
        <v>93</v>
      </c>
      <c r="C446" s="95">
        <v>44263</v>
      </c>
      <c r="D446" s="113" t="s">
        <v>466</v>
      </c>
      <c r="E446" s="184"/>
      <c r="F446" s="185"/>
    </row>
    <row r="447" spans="2:6">
      <c r="B447" s="113"/>
      <c r="C447" s="113"/>
      <c r="D447" s="113"/>
      <c r="E447" s="71" t="s">
        <v>1189</v>
      </c>
      <c r="F447" s="70" t="s">
        <v>1192</v>
      </c>
    </row>
    <row r="448" spans="2:6">
      <c r="B448" s="113">
        <v>94</v>
      </c>
      <c r="C448" s="113" t="s">
        <v>1193</v>
      </c>
      <c r="D448" s="113" t="s">
        <v>1194</v>
      </c>
      <c r="E448" s="184"/>
      <c r="F448" s="185"/>
    </row>
    <row r="449" spans="2:6">
      <c r="B449" s="182"/>
      <c r="C449" s="182"/>
      <c r="D449" s="182"/>
      <c r="E449" s="71" t="s">
        <v>676</v>
      </c>
      <c r="F449" s="70" t="s">
        <v>1195</v>
      </c>
    </row>
    <row r="450" spans="2:6">
      <c r="B450" s="183"/>
      <c r="C450" s="183"/>
      <c r="D450" s="183"/>
      <c r="E450" s="71" t="s">
        <v>1218</v>
      </c>
      <c r="F450" s="70" t="s">
        <v>1196</v>
      </c>
    </row>
    <row r="451" spans="2:6">
      <c r="B451" s="183"/>
      <c r="C451" s="183"/>
      <c r="D451" s="183"/>
      <c r="E451" s="71" t="s">
        <v>1462</v>
      </c>
      <c r="F451" s="70" t="s">
        <v>1197</v>
      </c>
    </row>
    <row r="452" spans="2:6">
      <c r="B452" s="183"/>
      <c r="C452" s="183"/>
      <c r="D452" s="183"/>
      <c r="E452" s="71" t="s">
        <v>673</v>
      </c>
      <c r="F452" s="70" t="s">
        <v>1198</v>
      </c>
    </row>
    <row r="453" spans="2:6">
      <c r="B453" s="183"/>
      <c r="C453" s="183"/>
      <c r="D453" s="183"/>
      <c r="E453" s="71" t="s">
        <v>698</v>
      </c>
      <c r="F453" s="70" t="s">
        <v>1199</v>
      </c>
    </row>
    <row r="454" spans="2:6">
      <c r="B454" s="183"/>
      <c r="C454" s="183"/>
      <c r="D454" s="183"/>
      <c r="E454" s="71" t="s">
        <v>700</v>
      </c>
      <c r="F454" s="70" t="s">
        <v>1200</v>
      </c>
    </row>
    <row r="455" spans="2:6">
      <c r="B455" s="183"/>
      <c r="C455" s="183"/>
      <c r="D455" s="183"/>
      <c r="E455" s="71" t="s">
        <v>474</v>
      </c>
      <c r="F455" s="70" t="s">
        <v>1201</v>
      </c>
    </row>
    <row r="456" spans="2:6">
      <c r="B456" s="183"/>
      <c r="C456" s="183"/>
      <c r="D456" s="183"/>
      <c r="E456" s="71" t="s">
        <v>938</v>
      </c>
      <c r="F456" s="70" t="s">
        <v>1202</v>
      </c>
    </row>
    <row r="457" spans="2:6">
      <c r="B457" s="183"/>
      <c r="C457" s="183"/>
      <c r="D457" s="183"/>
      <c r="E457" s="71" t="s">
        <v>474</v>
      </c>
      <c r="F457" s="70" t="s">
        <v>1203</v>
      </c>
    </row>
    <row r="458" spans="2:6">
      <c r="B458" s="183"/>
      <c r="C458" s="183"/>
      <c r="D458" s="183"/>
      <c r="E458" s="71" t="s">
        <v>1463</v>
      </c>
      <c r="F458" s="70" t="s">
        <v>1204</v>
      </c>
    </row>
    <row r="459" spans="2:6">
      <c r="B459" s="186"/>
      <c r="C459" s="186"/>
      <c r="D459" s="186"/>
      <c r="E459" s="71" t="s">
        <v>677</v>
      </c>
      <c r="F459" s="70" t="s">
        <v>1205</v>
      </c>
    </row>
    <row r="460" spans="2:6">
      <c r="B460" s="113">
        <v>95</v>
      </c>
      <c r="C460" s="95">
        <v>44263</v>
      </c>
      <c r="D460" s="113" t="s">
        <v>415</v>
      </c>
      <c r="E460" s="184"/>
      <c r="F460" s="185"/>
    </row>
    <row r="461" spans="2:6">
      <c r="B461" s="182"/>
      <c r="C461" s="182"/>
      <c r="D461" s="182"/>
      <c r="E461" s="71" t="s">
        <v>1206</v>
      </c>
      <c r="F461" s="33" t="s">
        <v>1211</v>
      </c>
    </row>
    <row r="462" spans="2:6">
      <c r="B462" s="183"/>
      <c r="C462" s="183"/>
      <c r="D462" s="183"/>
      <c r="E462" s="71" t="s">
        <v>1208</v>
      </c>
      <c r="F462" s="70" t="s">
        <v>1207</v>
      </c>
    </row>
    <row r="463" spans="2:6">
      <c r="B463" s="183"/>
      <c r="C463" s="183"/>
      <c r="D463" s="183"/>
      <c r="E463" s="71" t="s">
        <v>1208</v>
      </c>
      <c r="F463" s="70" t="s">
        <v>1209</v>
      </c>
    </row>
    <row r="464" spans="2:6">
      <c r="B464" s="183"/>
      <c r="C464" s="183"/>
      <c r="D464" s="183"/>
      <c r="E464" s="71" t="s">
        <v>1210</v>
      </c>
      <c r="F464" s="70" t="s">
        <v>1207</v>
      </c>
    </row>
    <row r="465" spans="2:6">
      <c r="B465" s="183"/>
      <c r="C465" s="183"/>
      <c r="D465" s="183"/>
      <c r="E465" s="71" t="s">
        <v>1210</v>
      </c>
      <c r="F465" s="70" t="s">
        <v>1211</v>
      </c>
    </row>
    <row r="466" spans="2:6">
      <c r="B466" s="186"/>
      <c r="C466" s="186"/>
      <c r="D466" s="186"/>
      <c r="E466" s="71" t="s">
        <v>1210</v>
      </c>
      <c r="F466" s="70" t="s">
        <v>1209</v>
      </c>
    </row>
    <row r="467" spans="2:6">
      <c r="B467" s="113">
        <v>96</v>
      </c>
      <c r="C467" s="95">
        <v>44264</v>
      </c>
      <c r="D467" s="113" t="s">
        <v>1212</v>
      </c>
      <c r="E467" s="184"/>
      <c r="F467" s="185"/>
    </row>
    <row r="468" spans="2:6">
      <c r="B468" s="113"/>
      <c r="C468" s="113"/>
      <c r="D468" s="113"/>
      <c r="E468" s="71" t="s">
        <v>1213</v>
      </c>
      <c r="F468" s="70" t="s">
        <v>1212</v>
      </c>
    </row>
    <row r="469" spans="2:6">
      <c r="B469" s="113">
        <v>97</v>
      </c>
      <c r="C469" s="95">
        <v>44266</v>
      </c>
      <c r="D469" s="113" t="s">
        <v>187</v>
      </c>
      <c r="E469" s="184"/>
      <c r="F469" s="185"/>
    </row>
    <row r="470" spans="2:6">
      <c r="B470" s="182"/>
      <c r="C470" s="182"/>
      <c r="D470" s="182"/>
      <c r="E470" s="71" t="s">
        <v>1226</v>
      </c>
      <c r="F470" s="70" t="s">
        <v>599</v>
      </c>
    </row>
    <row r="471" spans="2:6">
      <c r="B471" s="183"/>
      <c r="C471" s="183"/>
      <c r="D471" s="183"/>
      <c r="E471" s="71" t="s">
        <v>1227</v>
      </c>
      <c r="F471" s="70" t="s">
        <v>1152</v>
      </c>
    </row>
    <row r="472" spans="2:6">
      <c r="B472" s="186"/>
      <c r="C472" s="186"/>
      <c r="D472" s="186"/>
      <c r="E472" s="71" t="s">
        <v>1228</v>
      </c>
      <c r="F472" s="70" t="s">
        <v>1229</v>
      </c>
    </row>
    <row r="473" spans="2:6">
      <c r="B473" s="113">
        <v>98</v>
      </c>
      <c r="C473" s="95">
        <v>44266</v>
      </c>
      <c r="D473" s="113" t="s">
        <v>466</v>
      </c>
      <c r="E473" s="184"/>
      <c r="F473" s="185"/>
    </row>
    <row r="474" spans="2:6">
      <c r="B474" s="192"/>
      <c r="C474" s="192"/>
      <c r="D474" s="192"/>
      <c r="E474" s="71" t="s">
        <v>1241</v>
      </c>
      <c r="F474" s="70" t="s">
        <v>1242</v>
      </c>
    </row>
    <row r="475" spans="2:6">
      <c r="B475" s="192"/>
      <c r="C475" s="192"/>
      <c r="D475" s="192"/>
      <c r="E475" s="71" t="s">
        <v>1243</v>
      </c>
      <c r="F475" s="70" t="s">
        <v>257</v>
      </c>
    </row>
    <row r="476" spans="2:6">
      <c r="B476" s="112">
        <v>99</v>
      </c>
      <c r="C476" s="95">
        <v>44266</v>
      </c>
      <c r="D476" s="112" t="s">
        <v>28</v>
      </c>
      <c r="E476" s="187"/>
      <c r="F476" s="188"/>
    </row>
    <row r="477" spans="2:6">
      <c r="B477" s="112"/>
      <c r="C477" s="112"/>
      <c r="D477" s="112"/>
      <c r="E477" s="85" t="s">
        <v>1245</v>
      </c>
      <c r="F477" s="86" t="s">
        <v>1246</v>
      </c>
    </row>
    <row r="478" spans="2:6">
      <c r="B478" s="112">
        <v>100</v>
      </c>
      <c r="C478" s="95">
        <v>44267</v>
      </c>
      <c r="D478" s="112" t="s">
        <v>144</v>
      </c>
      <c r="E478" s="187"/>
      <c r="F478" s="188"/>
    </row>
    <row r="479" spans="2:6">
      <c r="B479" s="112"/>
      <c r="C479" s="112"/>
      <c r="D479" s="112"/>
      <c r="E479" s="85" t="s">
        <v>1247</v>
      </c>
      <c r="F479" s="86" t="s">
        <v>1248</v>
      </c>
    </row>
    <row r="480" spans="2:6">
      <c r="B480" s="113">
        <v>101</v>
      </c>
      <c r="C480" s="95">
        <v>44270</v>
      </c>
      <c r="D480" s="113" t="s">
        <v>268</v>
      </c>
      <c r="E480" s="184"/>
      <c r="F480" s="185"/>
    </row>
    <row r="481" spans="2:6">
      <c r="B481" s="182"/>
      <c r="C481" s="182"/>
      <c r="D481" s="182"/>
      <c r="E481" s="71" t="s">
        <v>1250</v>
      </c>
      <c r="F481" s="70" t="s">
        <v>1251</v>
      </c>
    </row>
    <row r="482" spans="2:6">
      <c r="B482" s="183"/>
      <c r="C482" s="183"/>
      <c r="D482" s="183"/>
      <c r="E482" s="71" t="s">
        <v>1252</v>
      </c>
      <c r="F482" s="70" t="s">
        <v>271</v>
      </c>
    </row>
    <row r="483" spans="2:6">
      <c r="B483" s="183"/>
      <c r="C483" s="183"/>
      <c r="D483" s="183"/>
      <c r="E483" s="71" t="s">
        <v>1253</v>
      </c>
      <c r="F483" s="70" t="s">
        <v>1254</v>
      </c>
    </row>
    <row r="484" spans="2:6">
      <c r="B484" s="183"/>
      <c r="C484" s="183"/>
      <c r="D484" s="183"/>
      <c r="E484" s="71" t="s">
        <v>1255</v>
      </c>
      <c r="F484" s="70" t="s">
        <v>1256</v>
      </c>
    </row>
    <row r="485" spans="2:6">
      <c r="B485" s="112">
        <v>102</v>
      </c>
      <c r="C485" s="95">
        <v>44273</v>
      </c>
      <c r="D485" s="112" t="s">
        <v>430</v>
      </c>
      <c r="E485" s="187"/>
      <c r="F485" s="188"/>
    </row>
    <row r="486" spans="2:6">
      <c r="B486" s="112"/>
      <c r="C486" s="112"/>
      <c r="D486" s="112"/>
      <c r="E486" s="85" t="s">
        <v>1258</v>
      </c>
      <c r="F486" s="86" t="s">
        <v>431</v>
      </c>
    </row>
    <row r="487" spans="2:6">
      <c r="B487" s="113">
        <v>103</v>
      </c>
      <c r="C487" s="95">
        <v>44277</v>
      </c>
      <c r="D487" s="113" t="s">
        <v>1262</v>
      </c>
      <c r="E487" s="184"/>
      <c r="F487" s="185"/>
    </row>
    <row r="488" spans="2:6">
      <c r="B488" s="182"/>
      <c r="C488" s="182"/>
      <c r="D488" s="182"/>
      <c r="E488" s="71" t="s">
        <v>372</v>
      </c>
      <c r="F488" s="70" t="s">
        <v>1261</v>
      </c>
    </row>
    <row r="489" spans="2:6">
      <c r="B489" s="183"/>
      <c r="C489" s="183"/>
      <c r="D489" s="183"/>
      <c r="E489" s="85" t="s">
        <v>1264</v>
      </c>
      <c r="F489" s="86" t="s">
        <v>1273</v>
      </c>
    </row>
    <row r="490" spans="2:6">
      <c r="B490" s="183"/>
      <c r="C490" s="183"/>
      <c r="D490" s="183"/>
      <c r="E490" s="85" t="s">
        <v>1265</v>
      </c>
      <c r="F490" s="86" t="s">
        <v>1274</v>
      </c>
    </row>
    <row r="491" spans="2:6">
      <c r="B491" s="183"/>
      <c r="C491" s="183"/>
      <c r="D491" s="183"/>
      <c r="E491" s="85" t="s">
        <v>1266</v>
      </c>
      <c r="F491" s="86" t="s">
        <v>1275</v>
      </c>
    </row>
    <row r="492" spans="2:6">
      <c r="B492" s="183"/>
      <c r="C492" s="183"/>
      <c r="D492" s="183"/>
      <c r="E492" s="85" t="s">
        <v>1267</v>
      </c>
      <c r="F492" s="86" t="s">
        <v>1276</v>
      </c>
    </row>
    <row r="493" spans="2:6">
      <c r="B493" s="183"/>
      <c r="C493" s="183"/>
      <c r="D493" s="183"/>
      <c r="E493" s="85" t="s">
        <v>1268</v>
      </c>
      <c r="F493" s="86" t="s">
        <v>1277</v>
      </c>
    </row>
    <row r="494" spans="2:6">
      <c r="B494" s="183"/>
      <c r="C494" s="183"/>
      <c r="D494" s="183"/>
      <c r="E494" s="85" t="s">
        <v>1269</v>
      </c>
      <c r="F494" s="86" t="s">
        <v>1278</v>
      </c>
    </row>
    <row r="495" spans="2:6">
      <c r="B495" s="183"/>
      <c r="C495" s="183"/>
      <c r="D495" s="183"/>
      <c r="E495" s="85" t="s">
        <v>1270</v>
      </c>
      <c r="F495" s="86" t="s">
        <v>1279</v>
      </c>
    </row>
    <row r="496" spans="2:6">
      <c r="B496" s="183"/>
      <c r="C496" s="183"/>
      <c r="D496" s="183"/>
      <c r="E496" s="85" t="s">
        <v>1271</v>
      </c>
      <c r="F496" s="86" t="s">
        <v>1280</v>
      </c>
    </row>
    <row r="497" spans="2:8">
      <c r="B497" s="186"/>
      <c r="C497" s="186"/>
      <c r="D497" s="186"/>
      <c r="E497" s="85" t="s">
        <v>1272</v>
      </c>
      <c r="F497" s="86" t="s">
        <v>1281</v>
      </c>
    </row>
    <row r="498" spans="2:8">
      <c r="B498" s="113">
        <v>104</v>
      </c>
      <c r="C498" s="95">
        <v>44277</v>
      </c>
      <c r="D498" s="113" t="s">
        <v>814</v>
      </c>
      <c r="E498" s="184"/>
      <c r="F498" s="185"/>
    </row>
    <row r="499" spans="2:8">
      <c r="B499" s="182"/>
      <c r="C499" s="182"/>
      <c r="D499" s="182"/>
      <c r="E499" s="71" t="s">
        <v>1291</v>
      </c>
      <c r="F499" s="70" t="s">
        <v>1282</v>
      </c>
      <c r="H499" s="129"/>
    </row>
    <row r="500" spans="2:8">
      <c r="B500" s="183"/>
      <c r="C500" s="183"/>
      <c r="D500" s="183"/>
      <c r="E500" s="85" t="s">
        <v>1292</v>
      </c>
      <c r="F500" s="86" t="s">
        <v>1283</v>
      </c>
      <c r="H500" s="129"/>
    </row>
    <row r="501" spans="2:8">
      <c r="B501" s="183"/>
      <c r="C501" s="183"/>
      <c r="D501" s="183"/>
      <c r="E501" s="85" t="s">
        <v>1293</v>
      </c>
      <c r="F501" s="86" t="s">
        <v>1284</v>
      </c>
      <c r="H501" s="129"/>
    </row>
    <row r="502" spans="2:8">
      <c r="B502" s="183"/>
      <c r="C502" s="183"/>
      <c r="D502" s="183"/>
      <c r="E502" s="85" t="s">
        <v>1294</v>
      </c>
      <c r="F502" s="86" t="s">
        <v>1285</v>
      </c>
      <c r="H502" s="129"/>
    </row>
    <row r="503" spans="2:8">
      <c r="B503" s="183"/>
      <c r="C503" s="183"/>
      <c r="D503" s="183"/>
      <c r="E503" s="85" t="s">
        <v>1295</v>
      </c>
      <c r="F503" s="86" t="s">
        <v>1286</v>
      </c>
      <c r="H503" s="129"/>
    </row>
    <row r="504" spans="2:8">
      <c r="B504" s="183"/>
      <c r="C504" s="183"/>
      <c r="D504" s="183"/>
      <c r="E504" s="85" t="s">
        <v>1296</v>
      </c>
      <c r="F504" s="86" t="s">
        <v>1287</v>
      </c>
      <c r="H504" s="129"/>
    </row>
    <row r="505" spans="2:8">
      <c r="B505" s="183"/>
      <c r="C505" s="183"/>
      <c r="D505" s="183"/>
      <c r="E505" s="85" t="s">
        <v>1297</v>
      </c>
      <c r="F505" s="86" t="s">
        <v>1288</v>
      </c>
      <c r="H505" s="129"/>
    </row>
    <row r="506" spans="2:8">
      <c r="B506" s="183"/>
      <c r="C506" s="183"/>
      <c r="D506" s="183"/>
      <c r="E506" s="85" t="s">
        <v>1298</v>
      </c>
      <c r="F506" s="86" t="s">
        <v>1289</v>
      </c>
      <c r="H506" s="129"/>
    </row>
    <row r="507" spans="2:8">
      <c r="B507" s="183"/>
      <c r="C507" s="183"/>
      <c r="D507" s="183"/>
      <c r="E507" s="85" t="s">
        <v>1299</v>
      </c>
      <c r="F507" s="86" t="s">
        <v>1290</v>
      </c>
      <c r="H507" s="129"/>
    </row>
    <row r="508" spans="2:8">
      <c r="B508" s="112">
        <v>105</v>
      </c>
      <c r="C508" s="95">
        <v>44279</v>
      </c>
      <c r="D508" s="112" t="s">
        <v>430</v>
      </c>
      <c r="E508" s="187"/>
      <c r="F508" s="188"/>
    </row>
    <row r="509" spans="2:8">
      <c r="B509" s="189"/>
      <c r="C509" s="189"/>
      <c r="D509" s="189"/>
      <c r="E509" s="85" t="s">
        <v>1317</v>
      </c>
      <c r="F509" s="86" t="s">
        <v>1319</v>
      </c>
    </row>
    <row r="510" spans="2:8">
      <c r="B510" s="191"/>
      <c r="C510" s="191"/>
      <c r="D510" s="191"/>
      <c r="E510" s="71" t="s">
        <v>1317</v>
      </c>
      <c r="F510" s="70" t="s">
        <v>1320</v>
      </c>
    </row>
    <row r="511" spans="2:8">
      <c r="B511" s="113">
        <v>106</v>
      </c>
      <c r="C511" s="95">
        <v>44281</v>
      </c>
      <c r="D511" s="113" t="s">
        <v>1262</v>
      </c>
      <c r="E511" s="184"/>
      <c r="F511" s="185"/>
    </row>
    <row r="512" spans="2:8">
      <c r="B512" s="114"/>
      <c r="C512" s="114"/>
      <c r="D512" s="114"/>
      <c r="E512" s="71" t="s">
        <v>1347</v>
      </c>
      <c r="F512" s="70" t="s">
        <v>1261</v>
      </c>
    </row>
    <row r="513" spans="2:6">
      <c r="B513" s="112">
        <v>107</v>
      </c>
      <c r="C513" s="95">
        <v>44281</v>
      </c>
      <c r="D513" s="112" t="s">
        <v>466</v>
      </c>
      <c r="E513" s="187"/>
      <c r="F513" s="188"/>
    </row>
    <row r="514" spans="2:6">
      <c r="B514" s="189"/>
      <c r="C514" s="189"/>
      <c r="D514" s="189"/>
      <c r="E514" s="85" t="s">
        <v>1348</v>
      </c>
      <c r="F514" s="86" t="s">
        <v>468</v>
      </c>
    </row>
    <row r="515" spans="2:6">
      <c r="B515" s="190"/>
      <c r="C515" s="190"/>
      <c r="D515" s="190"/>
      <c r="E515" s="85" t="s">
        <v>1351</v>
      </c>
      <c r="F515" s="86" t="s">
        <v>599</v>
      </c>
    </row>
    <row r="516" spans="2:6">
      <c r="B516" s="190"/>
      <c r="C516" s="190"/>
      <c r="D516" s="190"/>
      <c r="E516" s="85" t="s">
        <v>1352</v>
      </c>
      <c r="F516" s="86" t="s">
        <v>601</v>
      </c>
    </row>
    <row r="517" spans="2:6">
      <c r="B517" s="191"/>
      <c r="C517" s="191"/>
      <c r="D517" s="191"/>
      <c r="E517" s="71" t="s">
        <v>1353</v>
      </c>
      <c r="F517" s="70" t="s">
        <v>1354</v>
      </c>
    </row>
    <row r="518" spans="2:6">
      <c r="B518" s="112">
        <v>108</v>
      </c>
      <c r="C518" s="95">
        <v>44283</v>
      </c>
      <c r="D518" s="112" t="s">
        <v>415</v>
      </c>
      <c r="E518" s="187"/>
      <c r="F518" s="188"/>
    </row>
    <row r="519" spans="2:6">
      <c r="B519" s="189"/>
      <c r="C519" s="189"/>
      <c r="D519" s="189"/>
      <c r="E519" s="85" t="s">
        <v>1359</v>
      </c>
      <c r="F519" s="86" t="s">
        <v>1360</v>
      </c>
    </row>
    <row r="520" spans="2:6">
      <c r="B520" s="190"/>
      <c r="C520" s="190"/>
      <c r="D520" s="190"/>
      <c r="E520" s="85" t="s">
        <v>349</v>
      </c>
      <c r="F520" s="86" t="s">
        <v>1361</v>
      </c>
    </row>
    <row r="521" spans="2:6">
      <c r="B521" s="190"/>
      <c r="C521" s="190"/>
      <c r="D521" s="190"/>
      <c r="E521" s="85" t="s">
        <v>349</v>
      </c>
      <c r="F521" s="86" t="s">
        <v>1362</v>
      </c>
    </row>
    <row r="522" spans="2:6">
      <c r="B522" s="190"/>
      <c r="C522" s="190"/>
      <c r="D522" s="190"/>
      <c r="E522" s="85" t="s">
        <v>349</v>
      </c>
      <c r="F522" s="86" t="s">
        <v>1363</v>
      </c>
    </row>
    <row r="523" spans="2:6">
      <c r="B523" s="190"/>
      <c r="C523" s="190"/>
      <c r="D523" s="190"/>
      <c r="E523" s="85" t="s">
        <v>349</v>
      </c>
      <c r="F523" s="86" t="s">
        <v>1364</v>
      </c>
    </row>
    <row r="524" spans="2:6">
      <c r="B524" s="190"/>
      <c r="C524" s="190"/>
      <c r="D524" s="190"/>
      <c r="E524" s="85" t="s">
        <v>349</v>
      </c>
      <c r="F524" s="86" t="s">
        <v>1365</v>
      </c>
    </row>
    <row r="525" spans="2:6">
      <c r="B525" s="112">
        <v>109</v>
      </c>
      <c r="C525" s="95">
        <v>44283</v>
      </c>
      <c r="D525" s="112" t="s">
        <v>466</v>
      </c>
      <c r="E525" s="187"/>
      <c r="F525" s="188"/>
    </row>
    <row r="526" spans="2:6">
      <c r="B526" s="189"/>
      <c r="C526" s="189"/>
      <c r="D526" s="189"/>
      <c r="E526" s="85" t="s">
        <v>1355</v>
      </c>
      <c r="F526" s="86" t="s">
        <v>1366</v>
      </c>
    </row>
    <row r="527" spans="2:6">
      <c r="B527" s="190"/>
      <c r="C527" s="190"/>
      <c r="D527" s="190"/>
      <c r="E527" s="85" t="s">
        <v>1358</v>
      </c>
      <c r="F527" s="86" t="s">
        <v>501</v>
      </c>
    </row>
    <row r="528" spans="2:6">
      <c r="B528" s="190"/>
      <c r="C528" s="190"/>
      <c r="D528" s="190"/>
      <c r="E528" s="85" t="s">
        <v>1357</v>
      </c>
      <c r="F528" s="86" t="s">
        <v>1367</v>
      </c>
    </row>
    <row r="529" spans="2:6">
      <c r="B529" s="112">
        <v>110</v>
      </c>
      <c r="C529" s="95">
        <v>44283</v>
      </c>
      <c r="D529" s="112" t="s">
        <v>415</v>
      </c>
      <c r="E529" s="187"/>
      <c r="F529" s="188"/>
    </row>
    <row r="530" spans="2:6">
      <c r="B530" s="189"/>
      <c r="C530" s="189"/>
      <c r="D530" s="189"/>
      <c r="E530" s="71" t="s">
        <v>1368</v>
      </c>
      <c r="F530" s="70" t="s">
        <v>484</v>
      </c>
    </row>
    <row r="531" spans="2:6">
      <c r="B531" s="190"/>
      <c r="C531" s="190"/>
      <c r="D531" s="190"/>
      <c r="E531" s="85" t="s">
        <v>349</v>
      </c>
      <c r="F531" s="86" t="s">
        <v>1369</v>
      </c>
    </row>
    <row r="532" spans="2:6">
      <c r="B532" s="112">
        <v>111</v>
      </c>
      <c r="C532" s="95">
        <v>44291</v>
      </c>
      <c r="D532" s="112" t="s">
        <v>1384</v>
      </c>
      <c r="E532" s="187"/>
      <c r="F532" s="188"/>
    </row>
    <row r="533" spans="2:6">
      <c r="B533" s="189"/>
      <c r="C533" s="189"/>
      <c r="D533" s="189"/>
      <c r="E533" s="85" t="s">
        <v>1377</v>
      </c>
      <c r="F533" s="86" t="s">
        <v>1385</v>
      </c>
    </row>
    <row r="534" spans="2:6">
      <c r="B534" s="190"/>
      <c r="C534" s="190"/>
      <c r="D534" s="190"/>
      <c r="E534" s="85" t="s">
        <v>1371</v>
      </c>
      <c r="F534" s="86" t="s">
        <v>1386</v>
      </c>
    </row>
    <row r="535" spans="2:6">
      <c r="B535" s="190"/>
      <c r="C535" s="190"/>
      <c r="D535" s="190"/>
      <c r="E535" s="85" t="s">
        <v>1373</v>
      </c>
      <c r="F535" s="86" t="s">
        <v>1387</v>
      </c>
    </row>
    <row r="536" spans="2:6">
      <c r="B536" s="112">
        <v>112</v>
      </c>
      <c r="C536" s="95">
        <v>44291</v>
      </c>
      <c r="D536" s="112" t="s">
        <v>263</v>
      </c>
      <c r="E536" s="187"/>
      <c r="F536" s="188"/>
    </row>
    <row r="537" spans="2:6">
      <c r="B537" s="189"/>
      <c r="C537" s="189"/>
      <c r="D537" s="189"/>
      <c r="E537" s="85" t="s">
        <v>349</v>
      </c>
      <c r="F537" s="86" t="s">
        <v>1388</v>
      </c>
    </row>
    <row r="538" spans="2:6">
      <c r="B538" s="190"/>
      <c r="C538" s="190"/>
      <c r="D538" s="190"/>
      <c r="E538" s="85" t="s">
        <v>349</v>
      </c>
      <c r="F538" s="86" t="s">
        <v>1389</v>
      </c>
    </row>
    <row r="539" spans="2:6">
      <c r="B539" s="190"/>
      <c r="C539" s="190"/>
      <c r="D539" s="190"/>
      <c r="E539" s="104" t="s">
        <v>1378</v>
      </c>
      <c r="F539" s="86" t="s">
        <v>1390</v>
      </c>
    </row>
    <row r="540" spans="2:6">
      <c r="B540" s="112">
        <v>113</v>
      </c>
      <c r="C540" s="95">
        <v>44291</v>
      </c>
      <c r="D540" s="112" t="s">
        <v>79</v>
      </c>
      <c r="E540" s="187"/>
      <c r="F540" s="188"/>
    </row>
    <row r="541" spans="2:6">
      <c r="B541" s="111"/>
      <c r="C541" s="111"/>
      <c r="D541" s="111"/>
      <c r="E541" s="71" t="s">
        <v>1380</v>
      </c>
      <c r="F541" s="70" t="s">
        <v>1391</v>
      </c>
    </row>
    <row r="542" spans="2:6">
      <c r="B542" s="112">
        <v>114</v>
      </c>
      <c r="C542" s="95">
        <v>44291</v>
      </c>
      <c r="D542" s="112" t="s">
        <v>430</v>
      </c>
      <c r="E542" s="187"/>
      <c r="F542" s="188"/>
    </row>
    <row r="543" spans="2:6">
      <c r="B543" s="112"/>
      <c r="C543" s="112"/>
      <c r="D543" s="112"/>
      <c r="E543" s="85" t="s">
        <v>1392</v>
      </c>
      <c r="F543" s="86" t="s">
        <v>431</v>
      </c>
    </row>
    <row r="544" spans="2:6">
      <c r="B544" s="112">
        <v>115</v>
      </c>
      <c r="C544" s="95">
        <v>44291</v>
      </c>
      <c r="D544" s="112" t="s">
        <v>466</v>
      </c>
      <c r="E544" s="187"/>
      <c r="F544" s="188"/>
    </row>
    <row r="545" spans="2:6">
      <c r="B545" s="189"/>
      <c r="C545" s="189"/>
      <c r="D545" s="189"/>
      <c r="E545" s="85" t="s">
        <v>1407</v>
      </c>
      <c r="F545" s="86" t="s">
        <v>1408</v>
      </c>
    </row>
    <row r="546" spans="2:6">
      <c r="B546" s="190"/>
      <c r="C546" s="190"/>
      <c r="D546" s="190"/>
      <c r="E546" s="85" t="s">
        <v>1409</v>
      </c>
      <c r="F546" s="86" t="s">
        <v>501</v>
      </c>
    </row>
    <row r="547" spans="2:6">
      <c r="B547" s="190"/>
      <c r="C547" s="190"/>
      <c r="D547" s="190"/>
      <c r="E547" s="85" t="s">
        <v>1401</v>
      </c>
      <c r="F547" s="86" t="s">
        <v>1410</v>
      </c>
    </row>
    <row r="548" spans="2:6">
      <c r="B548" s="190"/>
      <c r="C548" s="190"/>
      <c r="D548" s="190"/>
      <c r="E548" s="85" t="s">
        <v>1402</v>
      </c>
      <c r="F548" s="86" t="s">
        <v>1411</v>
      </c>
    </row>
    <row r="549" spans="2:6">
      <c r="B549" s="190"/>
      <c r="C549" s="190"/>
      <c r="D549" s="190"/>
      <c r="E549" s="85" t="s">
        <v>1403</v>
      </c>
      <c r="F549" s="86" t="s">
        <v>1412</v>
      </c>
    </row>
    <row r="550" spans="2:6">
      <c r="B550" s="190"/>
      <c r="C550" s="190"/>
      <c r="D550" s="190"/>
      <c r="E550" s="85" t="s">
        <v>1404</v>
      </c>
      <c r="F550" s="86" t="s">
        <v>1413</v>
      </c>
    </row>
    <row r="551" spans="2:6">
      <c r="B551" s="190"/>
      <c r="C551" s="190"/>
      <c r="D551" s="190"/>
      <c r="E551" s="85" t="s">
        <v>1414</v>
      </c>
      <c r="F551" s="86" t="s">
        <v>257</v>
      </c>
    </row>
    <row r="552" spans="2:6">
      <c r="B552" s="190"/>
      <c r="C552" s="190"/>
      <c r="D552" s="190"/>
      <c r="E552" s="85" t="s">
        <v>1415</v>
      </c>
      <c r="F552" s="86" t="s">
        <v>1416</v>
      </c>
    </row>
    <row r="553" spans="2:6">
      <c r="B553" s="190"/>
      <c r="C553" s="190"/>
      <c r="D553" s="190"/>
      <c r="E553" s="85" t="s">
        <v>1417</v>
      </c>
      <c r="F553" s="86" t="s">
        <v>1418</v>
      </c>
    </row>
    <row r="554" spans="2:6">
      <c r="B554" s="190"/>
      <c r="C554" s="190"/>
      <c r="D554" s="190"/>
      <c r="E554" s="85" t="s">
        <v>1419</v>
      </c>
      <c r="F554" s="86" t="s">
        <v>480</v>
      </c>
    </row>
    <row r="555" spans="2:6">
      <c r="B555" s="190"/>
      <c r="C555" s="190"/>
      <c r="D555" s="190"/>
      <c r="E555" s="85" t="s">
        <v>1420</v>
      </c>
      <c r="F555" s="86" t="s">
        <v>481</v>
      </c>
    </row>
    <row r="556" spans="2:6">
      <c r="B556" s="112">
        <v>116</v>
      </c>
      <c r="C556" s="95">
        <v>44293</v>
      </c>
      <c r="D556" s="112" t="s">
        <v>415</v>
      </c>
      <c r="E556" s="187"/>
      <c r="F556" s="188"/>
    </row>
    <row r="557" spans="2:6">
      <c r="B557" s="111"/>
      <c r="C557" s="111"/>
      <c r="D557" s="111"/>
      <c r="E557" s="71" t="s">
        <v>1421</v>
      </c>
      <c r="F557" s="70" t="s">
        <v>1422</v>
      </c>
    </row>
    <row r="558" spans="2:6">
      <c r="B558" s="112">
        <v>117</v>
      </c>
      <c r="C558" s="95">
        <v>44294</v>
      </c>
      <c r="D558" s="112" t="s">
        <v>415</v>
      </c>
      <c r="E558" s="187"/>
      <c r="F558" s="188"/>
    </row>
    <row r="559" spans="2:6">
      <c r="B559" s="190"/>
      <c r="C559" s="190"/>
      <c r="D559" s="190"/>
      <c r="E559" s="85" t="s">
        <v>349</v>
      </c>
      <c r="F559" s="86" t="s">
        <v>1423</v>
      </c>
    </row>
    <row r="560" spans="2:6">
      <c r="B560" s="190"/>
      <c r="C560" s="190"/>
      <c r="D560" s="190"/>
      <c r="E560" s="85" t="s">
        <v>349</v>
      </c>
      <c r="F560" s="86" t="s">
        <v>1424</v>
      </c>
    </row>
    <row r="561" spans="2:6">
      <c r="B561" s="112">
        <v>118</v>
      </c>
      <c r="C561" s="95">
        <v>44298</v>
      </c>
      <c r="D561" s="112" t="s">
        <v>466</v>
      </c>
      <c r="E561" s="187"/>
      <c r="F561" s="188"/>
    </row>
    <row r="562" spans="2:6">
      <c r="B562" s="190"/>
      <c r="C562" s="190"/>
      <c r="D562" s="190"/>
      <c r="E562" s="85" t="s">
        <v>1425</v>
      </c>
      <c r="F562" s="86" t="s">
        <v>469</v>
      </c>
    </row>
    <row r="563" spans="2:6">
      <c r="B563" s="190"/>
      <c r="C563" s="190"/>
      <c r="D563" s="190"/>
      <c r="E563" s="85" t="s">
        <v>1426</v>
      </c>
      <c r="F563" s="86" t="s">
        <v>1427</v>
      </c>
    </row>
    <row r="564" spans="2:6">
      <c r="B564" s="113">
        <v>119</v>
      </c>
      <c r="C564" s="95">
        <v>44298</v>
      </c>
      <c r="D564" s="113" t="s">
        <v>814</v>
      </c>
      <c r="E564" s="184"/>
      <c r="F564" s="185"/>
    </row>
    <row r="565" spans="2:6">
      <c r="B565" s="182"/>
      <c r="C565" s="182"/>
      <c r="D565" s="182"/>
      <c r="E565" s="71" t="s">
        <v>1291</v>
      </c>
      <c r="F565" s="70" t="s">
        <v>1428</v>
      </c>
    </row>
    <row r="566" spans="2:6">
      <c r="B566" s="183"/>
      <c r="C566" s="183"/>
      <c r="D566" s="183"/>
      <c r="E566" s="85" t="s">
        <v>1292</v>
      </c>
      <c r="F566" s="86" t="s">
        <v>1429</v>
      </c>
    </row>
    <row r="567" spans="2:6">
      <c r="B567" s="183"/>
      <c r="C567" s="183"/>
      <c r="D567" s="183"/>
      <c r="E567" s="85" t="s">
        <v>1293</v>
      </c>
      <c r="F567" s="86" t="s">
        <v>1430</v>
      </c>
    </row>
    <row r="568" spans="2:6">
      <c r="B568" s="183"/>
      <c r="C568" s="183"/>
      <c r="D568" s="183"/>
      <c r="E568" s="85" t="s">
        <v>1294</v>
      </c>
      <c r="F568" s="86" t="s">
        <v>1431</v>
      </c>
    </row>
    <row r="569" spans="2:6">
      <c r="B569" s="183"/>
      <c r="C569" s="183"/>
      <c r="D569" s="183"/>
      <c r="E569" s="85" t="s">
        <v>1295</v>
      </c>
      <c r="F569" s="86" t="s">
        <v>1432</v>
      </c>
    </row>
    <row r="570" spans="2:6">
      <c r="B570" s="183"/>
      <c r="C570" s="183"/>
      <c r="D570" s="183"/>
      <c r="E570" s="85" t="s">
        <v>1296</v>
      </c>
      <c r="F570" s="86" t="s">
        <v>1433</v>
      </c>
    </row>
    <row r="571" spans="2:6">
      <c r="B571" s="183"/>
      <c r="C571" s="183"/>
      <c r="D571" s="183"/>
      <c r="E571" s="85" t="s">
        <v>1297</v>
      </c>
      <c r="F571" s="86" t="s">
        <v>1434</v>
      </c>
    </row>
    <row r="572" spans="2:6">
      <c r="B572" s="183"/>
      <c r="C572" s="183"/>
      <c r="D572" s="183"/>
      <c r="E572" s="85" t="s">
        <v>1298</v>
      </c>
      <c r="F572" s="86" t="s">
        <v>1435</v>
      </c>
    </row>
    <row r="573" spans="2:6">
      <c r="B573" s="183"/>
      <c r="C573" s="183"/>
      <c r="D573" s="183"/>
      <c r="E573" s="85" t="s">
        <v>1299</v>
      </c>
      <c r="F573" s="86" t="s">
        <v>1436</v>
      </c>
    </row>
    <row r="574" spans="2:6">
      <c r="B574" s="183"/>
      <c r="C574" s="183"/>
      <c r="D574" s="183"/>
      <c r="E574" s="85" t="s">
        <v>1437</v>
      </c>
      <c r="F574" s="86" t="s">
        <v>1438</v>
      </c>
    </row>
    <row r="575" spans="2:6">
      <c r="B575" s="113">
        <v>120</v>
      </c>
      <c r="C575" s="95">
        <v>44306</v>
      </c>
      <c r="D575" s="113" t="s">
        <v>814</v>
      </c>
      <c r="E575" s="184"/>
      <c r="F575" s="185"/>
    </row>
    <row r="576" spans="2:6">
      <c r="B576" s="182"/>
      <c r="C576" s="182"/>
      <c r="D576" s="182"/>
      <c r="E576" s="71" t="s">
        <v>1291</v>
      </c>
      <c r="F576" s="70" t="s">
        <v>1447</v>
      </c>
    </row>
    <row r="577" spans="2:6">
      <c r="B577" s="183"/>
      <c r="C577" s="183"/>
      <c r="D577" s="183"/>
      <c r="E577" s="85" t="s">
        <v>1292</v>
      </c>
      <c r="F577" s="86" t="s">
        <v>1448</v>
      </c>
    </row>
    <row r="578" spans="2:6">
      <c r="B578" s="183"/>
      <c r="C578" s="183"/>
      <c r="D578" s="183"/>
      <c r="E578" s="85" t="s">
        <v>1294</v>
      </c>
      <c r="F578" s="86" t="s">
        <v>1449</v>
      </c>
    </row>
    <row r="579" spans="2:6">
      <c r="B579" s="183"/>
      <c r="C579" s="183"/>
      <c r="D579" s="183"/>
      <c r="E579" s="85" t="s">
        <v>1295</v>
      </c>
      <c r="F579" s="86" t="s">
        <v>1450</v>
      </c>
    </row>
    <row r="580" spans="2:6">
      <c r="B580" s="183"/>
      <c r="C580" s="183"/>
      <c r="D580" s="183"/>
      <c r="E580" s="85" t="s">
        <v>1297</v>
      </c>
      <c r="F580" s="86" t="s">
        <v>1451</v>
      </c>
    </row>
    <row r="581" spans="2:6">
      <c r="B581" s="183"/>
      <c r="C581" s="183"/>
      <c r="D581" s="183"/>
      <c r="E581" s="85" t="s">
        <v>1298</v>
      </c>
      <c r="F581" s="86" t="s">
        <v>1452</v>
      </c>
    </row>
    <row r="582" spans="2:6">
      <c r="B582" s="112">
        <v>121</v>
      </c>
      <c r="C582" s="95">
        <v>44306</v>
      </c>
      <c r="D582" s="112" t="s">
        <v>466</v>
      </c>
      <c r="E582" s="187"/>
      <c r="F582" s="188"/>
    </row>
    <row r="583" spans="2:6">
      <c r="B583" s="190"/>
      <c r="C583" s="190"/>
      <c r="D583" s="190"/>
      <c r="E583" s="85" t="s">
        <v>1456</v>
      </c>
      <c r="F583" s="86" t="s">
        <v>908</v>
      </c>
    </row>
    <row r="584" spans="2:6" ht="28">
      <c r="B584" s="190"/>
      <c r="C584" s="190"/>
      <c r="D584" s="190"/>
      <c r="E584" s="85" t="s">
        <v>1457</v>
      </c>
      <c r="F584" s="86" t="s">
        <v>558</v>
      </c>
    </row>
    <row r="585" spans="2:6" ht="28">
      <c r="B585" s="190"/>
      <c r="C585" s="190"/>
      <c r="D585" s="190"/>
      <c r="E585" s="85" t="s">
        <v>1458</v>
      </c>
      <c r="F585" s="86" t="s">
        <v>1453</v>
      </c>
    </row>
    <row r="586" spans="2:6">
      <c r="B586" s="112">
        <v>122</v>
      </c>
      <c r="C586" s="95">
        <v>44312</v>
      </c>
      <c r="D586" s="112" t="s">
        <v>415</v>
      </c>
      <c r="E586" s="187"/>
      <c r="F586" s="188"/>
    </row>
    <row r="587" spans="2:6">
      <c r="B587" s="190"/>
      <c r="C587" s="190"/>
      <c r="D587" s="190"/>
      <c r="E587" s="85" t="s">
        <v>1464</v>
      </c>
      <c r="F587" s="86" t="s">
        <v>1465</v>
      </c>
    </row>
    <row r="588" spans="2:6">
      <c r="B588" s="190"/>
      <c r="C588" s="190"/>
      <c r="D588" s="190"/>
      <c r="E588" s="85" t="s">
        <v>1466</v>
      </c>
      <c r="F588" s="86" t="s">
        <v>1467</v>
      </c>
    </row>
    <row r="589" spans="2:6">
      <c r="B589" s="190"/>
      <c r="C589" s="190"/>
      <c r="D589" s="190"/>
      <c r="E589" s="85" t="s">
        <v>1468</v>
      </c>
      <c r="F589" s="86" t="s">
        <v>1469</v>
      </c>
    </row>
    <row r="590" spans="2:6">
      <c r="B590" s="190"/>
      <c r="C590" s="190"/>
      <c r="D590" s="190"/>
      <c r="E590" s="85">
        <v>2014502</v>
      </c>
      <c r="F590" s="86" t="s">
        <v>1470</v>
      </c>
    </row>
    <row r="591" spans="2:6">
      <c r="B591" s="112">
        <v>123</v>
      </c>
      <c r="C591" s="95">
        <v>44312</v>
      </c>
      <c r="D591" s="112" t="s">
        <v>1471</v>
      </c>
      <c r="E591" s="187"/>
      <c r="F591" s="188"/>
    </row>
    <row r="592" spans="2:6">
      <c r="B592" s="190"/>
      <c r="C592" s="190"/>
      <c r="D592" s="190"/>
      <c r="E592" s="85" t="s">
        <v>1472</v>
      </c>
      <c r="F592" s="86" t="s">
        <v>1473</v>
      </c>
    </row>
    <row r="593" spans="2:6">
      <c r="B593" s="190"/>
      <c r="C593" s="190"/>
      <c r="D593" s="190"/>
      <c r="E593" s="85" t="s">
        <v>1474</v>
      </c>
      <c r="F593" s="86" t="s">
        <v>1475</v>
      </c>
    </row>
    <row r="594" spans="2:6">
      <c r="B594" s="190"/>
      <c r="C594" s="190"/>
      <c r="D594" s="190"/>
      <c r="E594" s="85" t="s">
        <v>1476</v>
      </c>
      <c r="F594" s="86" t="s">
        <v>1477</v>
      </c>
    </row>
    <row r="595" spans="2:6">
      <c r="B595" s="190"/>
      <c r="C595" s="190"/>
      <c r="D595" s="190"/>
      <c r="E595" s="85" t="s">
        <v>1478</v>
      </c>
      <c r="F595" s="86" t="s">
        <v>1479</v>
      </c>
    </row>
    <row r="596" spans="2:6">
      <c r="B596" s="190"/>
      <c r="C596" s="190"/>
      <c r="D596" s="190"/>
      <c r="E596" s="85" t="s">
        <v>461</v>
      </c>
      <c r="F596" s="86" t="s">
        <v>1480</v>
      </c>
    </row>
    <row r="597" spans="2:6">
      <c r="B597" s="190"/>
      <c r="C597" s="190"/>
      <c r="D597" s="190"/>
      <c r="E597" s="85" t="s">
        <v>463</v>
      </c>
      <c r="F597" s="86" t="s">
        <v>1481</v>
      </c>
    </row>
    <row r="598" spans="2:6">
      <c r="B598" s="190"/>
      <c r="C598" s="190"/>
      <c r="D598" s="190"/>
      <c r="E598" s="85" t="s">
        <v>1482</v>
      </c>
      <c r="F598" s="86" t="s">
        <v>1483</v>
      </c>
    </row>
    <row r="599" spans="2:6">
      <c r="B599" s="112">
        <v>124</v>
      </c>
      <c r="C599" s="95">
        <v>44319</v>
      </c>
      <c r="D599" s="112" t="s">
        <v>217</v>
      </c>
      <c r="E599" s="187"/>
      <c r="F599" s="188"/>
    </row>
    <row r="600" spans="2:6">
      <c r="B600" s="134"/>
      <c r="C600" s="134"/>
      <c r="D600" s="134"/>
      <c r="E600" s="85" t="s">
        <v>1630</v>
      </c>
      <c r="F600" s="86" t="s">
        <v>909</v>
      </c>
    </row>
    <row r="601" spans="2:6">
      <c r="B601" s="112">
        <v>125</v>
      </c>
      <c r="C601" s="95">
        <v>44313</v>
      </c>
      <c r="D601" s="112" t="s">
        <v>415</v>
      </c>
      <c r="E601" s="187"/>
      <c r="F601" s="188"/>
    </row>
    <row r="602" spans="2:6">
      <c r="B602" s="134"/>
      <c r="C602" s="134"/>
      <c r="D602" s="134"/>
      <c r="E602" s="85" t="s">
        <v>349</v>
      </c>
      <c r="F602" s="86" t="s">
        <v>1631</v>
      </c>
    </row>
    <row r="603" spans="2:6">
      <c r="B603" s="113">
        <v>126</v>
      </c>
      <c r="C603" s="95">
        <v>44315</v>
      </c>
      <c r="D603" s="113" t="s">
        <v>745</v>
      </c>
      <c r="E603" s="184"/>
      <c r="F603" s="185"/>
    </row>
    <row r="604" spans="2:6">
      <c r="B604" s="113"/>
      <c r="C604" s="113"/>
      <c r="D604" s="113"/>
      <c r="E604" s="71" t="s">
        <v>1484</v>
      </c>
      <c r="F604" s="70" t="s">
        <v>722</v>
      </c>
    </row>
    <row r="605" spans="2:6">
      <c r="B605" s="113">
        <v>127</v>
      </c>
      <c r="C605" s="95">
        <v>44315</v>
      </c>
      <c r="D605" s="113" t="s">
        <v>466</v>
      </c>
      <c r="E605" s="187"/>
      <c r="F605" s="188"/>
    </row>
    <row r="606" spans="2:6">
      <c r="B606" s="182"/>
      <c r="C606" s="182"/>
      <c r="D606" s="182"/>
      <c r="E606" s="71" t="s">
        <v>1485</v>
      </c>
      <c r="F606" s="70" t="s">
        <v>639</v>
      </c>
    </row>
    <row r="607" spans="2:6">
      <c r="B607" s="183"/>
      <c r="C607" s="183"/>
      <c r="D607" s="183"/>
      <c r="E607" s="71" t="s">
        <v>1486</v>
      </c>
      <c r="F607" s="70" t="s">
        <v>1487</v>
      </c>
    </row>
    <row r="608" spans="2:6">
      <c r="B608" s="183"/>
      <c r="C608" s="183"/>
      <c r="D608" s="183"/>
      <c r="E608" s="71" t="s">
        <v>1488</v>
      </c>
      <c r="F608" s="70" t="s">
        <v>1489</v>
      </c>
    </row>
    <row r="609" spans="2:6">
      <c r="B609" s="183"/>
      <c r="C609" s="183"/>
      <c r="D609" s="183"/>
      <c r="E609" s="71" t="s">
        <v>1490</v>
      </c>
      <c r="F609" s="70" t="s">
        <v>1491</v>
      </c>
    </row>
    <row r="610" spans="2:6">
      <c r="B610" s="183"/>
      <c r="C610" s="183"/>
      <c r="D610" s="183"/>
      <c r="E610" s="71" t="s">
        <v>1492</v>
      </c>
      <c r="F610" s="70" t="s">
        <v>740</v>
      </c>
    </row>
    <row r="611" spans="2:6">
      <c r="B611" s="183"/>
      <c r="C611" s="183"/>
      <c r="D611" s="183"/>
      <c r="E611" s="71" t="s">
        <v>1493</v>
      </c>
      <c r="F611" s="70" t="s">
        <v>742</v>
      </c>
    </row>
    <row r="612" spans="2:6">
      <c r="B612" s="183"/>
      <c r="C612" s="183"/>
      <c r="D612" s="183"/>
      <c r="E612" s="71" t="s">
        <v>1494</v>
      </c>
      <c r="F612" s="70" t="s">
        <v>1495</v>
      </c>
    </row>
    <row r="613" spans="2:6">
      <c r="B613" s="183"/>
      <c r="C613" s="183"/>
      <c r="D613" s="183"/>
      <c r="E613" s="71" t="s">
        <v>1496</v>
      </c>
      <c r="F613" s="70" t="s">
        <v>1497</v>
      </c>
    </row>
    <row r="614" spans="2:6">
      <c r="B614" s="183"/>
      <c r="C614" s="183"/>
      <c r="D614" s="183"/>
      <c r="E614" s="71" t="s">
        <v>1498</v>
      </c>
      <c r="F614" s="70" t="s">
        <v>1499</v>
      </c>
    </row>
    <row r="615" spans="2:6">
      <c r="B615" s="183"/>
      <c r="C615" s="183"/>
      <c r="D615" s="183"/>
      <c r="E615" s="71" t="s">
        <v>1500</v>
      </c>
      <c r="F615" s="70" t="s">
        <v>1501</v>
      </c>
    </row>
    <row r="616" spans="2:6">
      <c r="B616" s="183"/>
      <c r="C616" s="183"/>
      <c r="D616" s="183"/>
      <c r="E616" s="71" t="s">
        <v>1502</v>
      </c>
      <c r="F616" s="70" t="s">
        <v>1503</v>
      </c>
    </row>
    <row r="617" spans="2:6">
      <c r="B617" s="183"/>
      <c r="C617" s="183"/>
      <c r="D617" s="183"/>
      <c r="E617" s="71" t="s">
        <v>1504</v>
      </c>
      <c r="F617" s="70" t="s">
        <v>1505</v>
      </c>
    </row>
    <row r="618" spans="2:6">
      <c r="B618" s="183"/>
      <c r="C618" s="183"/>
      <c r="D618" s="183"/>
      <c r="E618" s="71" t="s">
        <v>1506</v>
      </c>
      <c r="F618" s="70" t="s">
        <v>1507</v>
      </c>
    </row>
    <row r="619" spans="2:6">
      <c r="B619" s="183"/>
      <c r="C619" s="183"/>
      <c r="D619" s="183"/>
      <c r="E619" s="71" t="s">
        <v>1508</v>
      </c>
      <c r="F619" s="70" t="s">
        <v>1509</v>
      </c>
    </row>
    <row r="620" spans="2:6">
      <c r="B620" s="183"/>
      <c r="C620" s="183"/>
      <c r="D620" s="183"/>
      <c r="E620" s="71" t="s">
        <v>1510</v>
      </c>
      <c r="F620" s="70" t="s">
        <v>1511</v>
      </c>
    </row>
    <row r="621" spans="2:6">
      <c r="B621" s="183"/>
      <c r="C621" s="183"/>
      <c r="D621" s="183"/>
      <c r="E621" s="71" t="s">
        <v>1512</v>
      </c>
      <c r="F621" s="70" t="s">
        <v>1513</v>
      </c>
    </row>
    <row r="622" spans="2:6">
      <c r="B622" s="183"/>
      <c r="C622" s="183"/>
      <c r="D622" s="183"/>
      <c r="E622" s="71" t="s">
        <v>1514</v>
      </c>
      <c r="F622" s="70" t="s">
        <v>1515</v>
      </c>
    </row>
    <row r="623" spans="2:6">
      <c r="B623" s="183"/>
      <c r="C623" s="183"/>
      <c r="D623" s="183"/>
      <c r="E623" s="71" t="s">
        <v>1516</v>
      </c>
      <c r="F623" s="70" t="s">
        <v>1517</v>
      </c>
    </row>
    <row r="624" spans="2:6">
      <c r="B624" s="183"/>
      <c r="C624" s="183"/>
      <c r="D624" s="183"/>
      <c r="E624" s="71" t="s">
        <v>1518</v>
      </c>
      <c r="F624" s="70" t="s">
        <v>1519</v>
      </c>
    </row>
    <row r="625" spans="2:6">
      <c r="B625" s="183"/>
      <c r="C625" s="183"/>
      <c r="D625" s="183"/>
      <c r="E625" s="71" t="s">
        <v>1520</v>
      </c>
      <c r="F625" s="70" t="s">
        <v>1521</v>
      </c>
    </row>
    <row r="626" spans="2:6">
      <c r="B626" s="183"/>
      <c r="C626" s="183"/>
      <c r="D626" s="183"/>
      <c r="E626" s="71" t="s">
        <v>1522</v>
      </c>
      <c r="F626" s="70" t="s">
        <v>1523</v>
      </c>
    </row>
    <row r="627" spans="2:6">
      <c r="B627" s="183"/>
      <c r="C627" s="183"/>
      <c r="D627" s="183"/>
      <c r="E627" s="71" t="s">
        <v>1524</v>
      </c>
      <c r="F627" s="70" t="s">
        <v>1525</v>
      </c>
    </row>
    <row r="628" spans="2:6">
      <c r="B628" s="183"/>
      <c r="C628" s="183"/>
      <c r="D628" s="183"/>
      <c r="E628" s="71" t="s">
        <v>1526</v>
      </c>
      <c r="F628" s="70" t="s">
        <v>1527</v>
      </c>
    </row>
    <row r="629" spans="2:6">
      <c r="B629" s="183"/>
      <c r="C629" s="183"/>
      <c r="D629" s="183"/>
      <c r="E629" s="71" t="s">
        <v>1528</v>
      </c>
      <c r="F629" s="70" t="s">
        <v>1529</v>
      </c>
    </row>
    <row r="630" spans="2:6">
      <c r="B630" s="183"/>
      <c r="C630" s="183"/>
      <c r="D630" s="183"/>
      <c r="E630" s="71" t="s">
        <v>1530</v>
      </c>
      <c r="F630" s="70" t="s">
        <v>1531</v>
      </c>
    </row>
    <row r="631" spans="2:6">
      <c r="B631" s="183"/>
      <c r="C631" s="183"/>
      <c r="D631" s="183"/>
      <c r="E631" s="71" t="s">
        <v>1532</v>
      </c>
      <c r="F631" s="70" t="s">
        <v>1533</v>
      </c>
    </row>
    <row r="632" spans="2:6">
      <c r="B632" s="183"/>
      <c r="C632" s="183"/>
      <c r="D632" s="183"/>
      <c r="E632" s="71" t="s">
        <v>1534</v>
      </c>
      <c r="F632" s="70" t="s">
        <v>1535</v>
      </c>
    </row>
    <row r="633" spans="2:6">
      <c r="B633" s="183"/>
      <c r="C633" s="183"/>
      <c r="D633" s="183"/>
      <c r="E633" s="71" t="s">
        <v>1536</v>
      </c>
      <c r="F633" s="70" t="s">
        <v>1537</v>
      </c>
    </row>
    <row r="634" spans="2:6">
      <c r="B634" s="183"/>
      <c r="C634" s="183"/>
      <c r="D634" s="183"/>
      <c r="E634" s="71" t="s">
        <v>1538</v>
      </c>
      <c r="F634" s="70" t="s">
        <v>1539</v>
      </c>
    </row>
    <row r="635" spans="2:6">
      <c r="B635" s="183"/>
      <c r="C635" s="183"/>
      <c r="D635" s="183"/>
      <c r="E635" s="71" t="s">
        <v>1540</v>
      </c>
      <c r="F635" s="70" t="s">
        <v>1541</v>
      </c>
    </row>
    <row r="636" spans="2:6">
      <c r="B636" s="183"/>
      <c r="C636" s="183"/>
      <c r="D636" s="183"/>
      <c r="E636" s="71" t="s">
        <v>1542</v>
      </c>
      <c r="F636" s="70" t="s">
        <v>1543</v>
      </c>
    </row>
    <row r="637" spans="2:6">
      <c r="B637" s="183"/>
      <c r="C637" s="183"/>
      <c r="D637" s="183"/>
      <c r="E637" s="71" t="s">
        <v>1544</v>
      </c>
      <c r="F637" s="70" t="s">
        <v>1545</v>
      </c>
    </row>
    <row r="638" spans="2:6">
      <c r="B638" s="183"/>
      <c r="C638" s="183"/>
      <c r="D638" s="183"/>
      <c r="E638" s="71" t="s">
        <v>1546</v>
      </c>
      <c r="F638" s="70" t="s">
        <v>1547</v>
      </c>
    </row>
    <row r="639" spans="2:6">
      <c r="B639" s="183"/>
      <c r="C639" s="183"/>
      <c r="D639" s="183"/>
      <c r="E639" s="71" t="s">
        <v>1548</v>
      </c>
      <c r="F639" s="70" t="s">
        <v>1549</v>
      </c>
    </row>
    <row r="640" spans="2:6">
      <c r="B640" s="183"/>
      <c r="C640" s="183"/>
      <c r="D640" s="183"/>
      <c r="E640" s="71" t="s">
        <v>1550</v>
      </c>
      <c r="F640" s="70" t="s">
        <v>1551</v>
      </c>
    </row>
    <row r="641" spans="2:6">
      <c r="B641" s="183"/>
      <c r="C641" s="183"/>
      <c r="D641" s="183"/>
      <c r="E641" s="71" t="s">
        <v>1552</v>
      </c>
      <c r="F641" s="70" t="s">
        <v>1553</v>
      </c>
    </row>
    <row r="642" spans="2:6">
      <c r="B642" s="183"/>
      <c r="C642" s="183"/>
      <c r="D642" s="183"/>
      <c r="E642" s="71" t="s">
        <v>1554</v>
      </c>
      <c r="F642" s="70" t="s">
        <v>1555</v>
      </c>
    </row>
    <row r="643" spans="2:6">
      <c r="B643" s="183"/>
      <c r="C643" s="183"/>
      <c r="D643" s="183"/>
      <c r="E643" s="71" t="s">
        <v>1556</v>
      </c>
      <c r="F643" s="70" t="s">
        <v>1557</v>
      </c>
    </row>
    <row r="644" spans="2:6">
      <c r="B644" s="183"/>
      <c r="C644" s="183"/>
      <c r="D644" s="183"/>
      <c r="E644" s="71" t="s">
        <v>1558</v>
      </c>
      <c r="F644" s="70" t="s">
        <v>1559</v>
      </c>
    </row>
    <row r="645" spans="2:6">
      <c r="B645" s="183"/>
      <c r="C645" s="183"/>
      <c r="D645" s="183"/>
      <c r="E645" s="71" t="s">
        <v>1560</v>
      </c>
      <c r="F645" s="70" t="s">
        <v>1561</v>
      </c>
    </row>
    <row r="646" spans="2:6">
      <c r="B646" s="183"/>
      <c r="C646" s="183"/>
      <c r="D646" s="183"/>
      <c r="E646" s="71" t="s">
        <v>1562</v>
      </c>
      <c r="F646" s="70" t="s">
        <v>1563</v>
      </c>
    </row>
    <row r="647" spans="2:6">
      <c r="B647" s="183"/>
      <c r="C647" s="183"/>
      <c r="D647" s="183"/>
      <c r="E647" s="71" t="s">
        <v>1564</v>
      </c>
      <c r="F647" s="70" t="s">
        <v>1565</v>
      </c>
    </row>
    <row r="648" spans="2:6">
      <c r="B648" s="183"/>
      <c r="C648" s="183"/>
      <c r="D648" s="183"/>
      <c r="E648" s="71" t="s">
        <v>1566</v>
      </c>
      <c r="F648" s="70" t="s">
        <v>1567</v>
      </c>
    </row>
    <row r="649" spans="2:6">
      <c r="B649" s="186"/>
      <c r="C649" s="186"/>
      <c r="D649" s="186"/>
      <c r="E649" s="71" t="s">
        <v>1568</v>
      </c>
      <c r="F649" s="70" t="s">
        <v>1569</v>
      </c>
    </row>
    <row r="650" spans="2:6">
      <c r="B650" s="113">
        <v>128</v>
      </c>
      <c r="C650" s="95">
        <v>44319</v>
      </c>
      <c r="D650" s="113" t="s">
        <v>466</v>
      </c>
      <c r="E650" s="184"/>
      <c r="F650" s="185"/>
    </row>
    <row r="651" spans="2:6">
      <c r="B651" s="182"/>
      <c r="C651" s="182"/>
      <c r="D651" s="182"/>
      <c r="E651" s="71" t="s">
        <v>1626</v>
      </c>
      <c r="F651" s="70" t="s">
        <v>1366</v>
      </c>
    </row>
    <row r="652" spans="2:6">
      <c r="B652" s="183"/>
      <c r="C652" s="183"/>
      <c r="D652" s="183"/>
      <c r="E652" s="85" t="s">
        <v>1627</v>
      </c>
      <c r="F652" s="86" t="s">
        <v>615</v>
      </c>
    </row>
    <row r="653" spans="2:6">
      <c r="B653" s="113">
        <v>129</v>
      </c>
      <c r="C653" s="95">
        <v>44319</v>
      </c>
      <c r="D653" s="113" t="s">
        <v>814</v>
      </c>
      <c r="E653" s="184"/>
      <c r="F653" s="185"/>
    </row>
    <row r="654" spans="2:6">
      <c r="B654" s="182"/>
      <c r="C654" s="182"/>
      <c r="D654" s="182"/>
      <c r="E654" s="71" t="s">
        <v>1632</v>
      </c>
      <c r="F654" s="70" t="s">
        <v>1633</v>
      </c>
    </row>
    <row r="655" spans="2:6">
      <c r="B655" s="183"/>
      <c r="C655" s="183"/>
      <c r="D655" s="183"/>
      <c r="E655" s="85" t="s">
        <v>1634</v>
      </c>
      <c r="F655" s="86" t="s">
        <v>1635</v>
      </c>
    </row>
    <row r="656" spans="2:6">
      <c r="B656" s="113">
        <v>130</v>
      </c>
      <c r="C656" s="95">
        <v>44320</v>
      </c>
      <c r="D656" s="113" t="s">
        <v>268</v>
      </c>
      <c r="E656" s="184"/>
      <c r="F656" s="185"/>
    </row>
    <row r="657" spans="2:6">
      <c r="B657" s="182"/>
      <c r="C657" s="182"/>
      <c r="D657" s="182"/>
      <c r="E657" s="71" t="s">
        <v>1646</v>
      </c>
      <c r="F657" s="70" t="s">
        <v>1251</v>
      </c>
    </row>
    <row r="658" spans="2:6">
      <c r="B658" s="183"/>
      <c r="C658" s="183"/>
      <c r="D658" s="183"/>
      <c r="E658" s="71" t="s">
        <v>1647</v>
      </c>
      <c r="F658" s="70" t="s">
        <v>816</v>
      </c>
    </row>
    <row r="659" spans="2:6">
      <c r="B659" s="186"/>
      <c r="C659" s="186"/>
      <c r="D659" s="186"/>
      <c r="E659" s="85" t="s">
        <v>1648</v>
      </c>
      <c r="F659" s="86" t="s">
        <v>1642</v>
      </c>
    </row>
    <row r="660" spans="2:6">
      <c r="B660" s="113">
        <v>131</v>
      </c>
      <c r="C660" s="95">
        <v>44321</v>
      </c>
      <c r="D660" s="113" t="s">
        <v>268</v>
      </c>
      <c r="E660" s="184"/>
      <c r="F660" s="185"/>
    </row>
    <row r="661" spans="2:6">
      <c r="B661" s="114"/>
      <c r="C661" s="114"/>
      <c r="D661" s="114"/>
      <c r="E661" s="71" t="s">
        <v>1649</v>
      </c>
      <c r="F661" s="70" t="s">
        <v>1171</v>
      </c>
    </row>
    <row r="662" spans="2:6">
      <c r="B662" s="113">
        <v>132</v>
      </c>
      <c r="C662" s="95">
        <v>44322</v>
      </c>
      <c r="D662" s="113" t="s">
        <v>268</v>
      </c>
      <c r="E662" s="184"/>
      <c r="F662" s="185"/>
    </row>
    <row r="663" spans="2:6">
      <c r="B663" s="182"/>
      <c r="C663" s="182"/>
      <c r="D663" s="182"/>
      <c r="E663" s="71" t="s">
        <v>1663</v>
      </c>
      <c r="F663" s="70" t="s">
        <v>1658</v>
      </c>
    </row>
    <row r="664" spans="2:6">
      <c r="B664" s="183"/>
      <c r="C664" s="183"/>
      <c r="D664" s="183"/>
      <c r="E664" s="71" t="s">
        <v>1664</v>
      </c>
      <c r="F664" s="70" t="s">
        <v>1659</v>
      </c>
    </row>
    <row r="665" spans="2:6">
      <c r="B665" s="113">
        <v>133</v>
      </c>
      <c r="C665" s="95">
        <v>44326</v>
      </c>
      <c r="D665" s="113" t="s">
        <v>466</v>
      </c>
      <c r="E665" s="184"/>
      <c r="F665" s="185"/>
    </row>
    <row r="666" spans="2:6">
      <c r="B666" s="182"/>
      <c r="C666" s="182"/>
      <c r="D666" s="182"/>
      <c r="E666" s="71" t="s">
        <v>1665</v>
      </c>
      <c r="F666" s="70" t="s">
        <v>307</v>
      </c>
    </row>
    <row r="667" spans="2:6">
      <c r="B667" s="183"/>
      <c r="C667" s="183"/>
      <c r="D667" s="183"/>
      <c r="E667" s="71" t="s">
        <v>1666</v>
      </c>
      <c r="F667" s="70" t="s">
        <v>774</v>
      </c>
    </row>
    <row r="668" spans="2:6">
      <c r="B668" s="183"/>
      <c r="C668" s="183"/>
      <c r="D668" s="183"/>
      <c r="E668" s="71" t="s">
        <v>1667</v>
      </c>
      <c r="F668" s="70" t="s">
        <v>257</v>
      </c>
    </row>
    <row r="669" spans="2:6">
      <c r="B669" s="183"/>
      <c r="C669" s="183"/>
      <c r="D669" s="183"/>
      <c r="E669" s="85" t="s">
        <v>1668</v>
      </c>
      <c r="F669" s="86" t="s">
        <v>613</v>
      </c>
    </row>
    <row r="670" spans="2:6">
      <c r="B670" s="113">
        <v>134</v>
      </c>
      <c r="C670" s="95">
        <v>44326</v>
      </c>
      <c r="D670" s="113" t="s">
        <v>948</v>
      </c>
      <c r="E670" s="184"/>
      <c r="F670" s="185"/>
    </row>
    <row r="671" spans="2:6">
      <c r="B671" s="113"/>
      <c r="C671" s="113"/>
      <c r="D671" s="113"/>
      <c r="E671" s="71" t="s">
        <v>1673</v>
      </c>
      <c r="F671" s="70" t="s">
        <v>969</v>
      </c>
    </row>
    <row r="672" spans="2:6">
      <c r="B672" s="112">
        <v>135</v>
      </c>
      <c r="C672" s="95">
        <v>44327</v>
      </c>
      <c r="D672" s="112" t="s">
        <v>415</v>
      </c>
      <c r="E672" s="187"/>
      <c r="F672" s="188"/>
    </row>
    <row r="673" spans="2:6">
      <c r="B673" s="134"/>
      <c r="C673" s="134"/>
      <c r="D673" s="134"/>
      <c r="E673" s="85" t="s">
        <v>1676</v>
      </c>
      <c r="F673" s="86" t="s">
        <v>1677</v>
      </c>
    </row>
    <row r="674" spans="2:6">
      <c r="B674" s="113">
        <v>136</v>
      </c>
      <c r="C674" s="95">
        <v>44333</v>
      </c>
      <c r="D674" s="113" t="s">
        <v>685</v>
      </c>
      <c r="E674" s="187"/>
      <c r="F674" s="188"/>
    </row>
    <row r="675" spans="2:6">
      <c r="B675" s="182"/>
      <c r="C675" s="182"/>
      <c r="D675" s="182"/>
      <c r="E675" s="71" t="s">
        <v>669</v>
      </c>
      <c r="F675" s="70" t="s">
        <v>1682</v>
      </c>
    </row>
    <row r="676" spans="2:6">
      <c r="B676" s="183"/>
      <c r="C676" s="183"/>
      <c r="D676" s="183"/>
      <c r="E676" s="71" t="s">
        <v>687</v>
      </c>
      <c r="F676" s="70" t="s">
        <v>1683</v>
      </c>
    </row>
    <row r="677" spans="2:6">
      <c r="B677" s="183"/>
      <c r="C677" s="183"/>
      <c r="D677" s="183"/>
      <c r="E677" s="71" t="s">
        <v>676</v>
      </c>
      <c r="F677" s="70" t="s">
        <v>1684</v>
      </c>
    </row>
    <row r="678" spans="2:6">
      <c r="B678" s="183"/>
      <c r="C678" s="183"/>
      <c r="D678" s="183"/>
      <c r="E678" s="71" t="s">
        <v>1218</v>
      </c>
      <c r="F678" s="70" t="s">
        <v>1685</v>
      </c>
    </row>
    <row r="679" spans="2:6">
      <c r="B679" s="183"/>
      <c r="C679" s="183"/>
      <c r="D679" s="183"/>
      <c r="E679" s="71" t="s">
        <v>673</v>
      </c>
      <c r="F679" s="70" t="s">
        <v>1686</v>
      </c>
    </row>
    <row r="680" spans="2:6">
      <c r="B680" s="183"/>
      <c r="C680" s="183"/>
      <c r="D680" s="183"/>
      <c r="E680" s="71" t="s">
        <v>474</v>
      </c>
      <c r="F680" s="70" t="s">
        <v>1687</v>
      </c>
    </row>
    <row r="681" spans="2:6">
      <c r="B681" s="183"/>
      <c r="C681" s="183"/>
      <c r="D681" s="183"/>
      <c r="E681" s="71" t="s">
        <v>938</v>
      </c>
      <c r="F681" s="70" t="s">
        <v>1688</v>
      </c>
    </row>
    <row r="682" spans="2:6">
      <c r="B682" s="183"/>
      <c r="C682" s="183"/>
      <c r="D682" s="183"/>
      <c r="E682" s="71" t="s">
        <v>474</v>
      </c>
      <c r="F682" s="70" t="s">
        <v>1689</v>
      </c>
    </row>
    <row r="683" spans="2:6">
      <c r="B683" s="183"/>
      <c r="C683" s="183"/>
      <c r="D683" s="183"/>
      <c r="E683" s="71" t="s">
        <v>1463</v>
      </c>
      <c r="F683" s="70" t="s">
        <v>1690</v>
      </c>
    </row>
    <row r="684" spans="2:6">
      <c r="B684" s="183"/>
      <c r="C684" s="183"/>
      <c r="D684" s="183"/>
      <c r="E684" s="85" t="s">
        <v>677</v>
      </c>
      <c r="F684" s="86" t="s">
        <v>1691</v>
      </c>
    </row>
    <row r="685" spans="2:6">
      <c r="B685" s="112">
        <v>137</v>
      </c>
      <c r="C685" s="95">
        <v>44336</v>
      </c>
      <c r="D685" s="112" t="s">
        <v>415</v>
      </c>
      <c r="E685" s="187"/>
      <c r="F685" s="188"/>
    </row>
    <row r="686" spans="2:6">
      <c r="B686" s="189"/>
      <c r="C686" s="189"/>
      <c r="D686" s="189"/>
      <c r="E686" s="85" t="s">
        <v>1711</v>
      </c>
      <c r="F686" s="86" t="s">
        <v>1465</v>
      </c>
    </row>
    <row r="687" spans="2:6">
      <c r="B687" s="190"/>
      <c r="C687" s="190"/>
      <c r="D687" s="190"/>
      <c r="E687" s="85" t="s">
        <v>1712</v>
      </c>
      <c r="F687" s="86" t="s">
        <v>1713</v>
      </c>
    </row>
    <row r="688" spans="2:6">
      <c r="B688" s="191"/>
      <c r="C688" s="191"/>
      <c r="D688" s="191"/>
      <c r="E688" s="85" t="s">
        <v>1714</v>
      </c>
      <c r="F688" s="86" t="s">
        <v>1715</v>
      </c>
    </row>
    <row r="689" spans="2:6">
      <c r="B689" s="113">
        <v>138</v>
      </c>
      <c r="C689" s="95">
        <v>44334</v>
      </c>
      <c r="D689" s="113" t="s">
        <v>268</v>
      </c>
      <c r="E689" s="184"/>
      <c r="F689" s="185"/>
    </row>
    <row r="690" spans="2:6" ht="12.75" customHeight="1">
      <c r="B690" s="114"/>
      <c r="C690" s="114"/>
      <c r="D690" s="114"/>
      <c r="E690" s="71" t="s">
        <v>1701</v>
      </c>
      <c r="F690" s="70" t="s">
        <v>1256</v>
      </c>
    </row>
    <row r="691" spans="2:6" ht="12.75" customHeight="1">
      <c r="B691" s="113">
        <v>139</v>
      </c>
      <c r="C691" s="95">
        <v>44334</v>
      </c>
      <c r="D691" s="113" t="s">
        <v>685</v>
      </c>
      <c r="E691" s="187"/>
      <c r="F691" s="188"/>
    </row>
    <row r="692" spans="2:6" ht="12.75" customHeight="1">
      <c r="B692" s="182"/>
      <c r="C692" s="182"/>
      <c r="D692" s="182"/>
      <c r="E692" s="71" t="s">
        <v>687</v>
      </c>
      <c r="F692" s="70" t="s">
        <v>1702</v>
      </c>
    </row>
    <row r="693" spans="2:6" ht="12.75" customHeight="1">
      <c r="B693" s="183"/>
      <c r="C693" s="183"/>
      <c r="D693" s="183"/>
      <c r="E693" s="71" t="s">
        <v>691</v>
      </c>
      <c r="F693" s="70" t="s">
        <v>1703</v>
      </c>
    </row>
    <row r="694" spans="2:6">
      <c r="B694" s="183"/>
      <c r="C694" s="183"/>
      <c r="D694" s="183"/>
      <c r="E694" s="71" t="s">
        <v>670</v>
      </c>
      <c r="F694" s="70" t="s">
        <v>1704</v>
      </c>
    </row>
    <row r="695" spans="2:6">
      <c r="B695" s="183"/>
      <c r="C695" s="183"/>
      <c r="D695" s="183"/>
      <c r="E695" s="71" t="s">
        <v>674</v>
      </c>
      <c r="F695" s="70" t="s">
        <v>1705</v>
      </c>
    </row>
    <row r="696" spans="2:6">
      <c r="B696" s="113">
        <v>140</v>
      </c>
      <c r="C696" s="95">
        <v>44334</v>
      </c>
      <c r="D696" s="113" t="s">
        <v>745</v>
      </c>
      <c r="E696" s="184"/>
      <c r="F696" s="185"/>
    </row>
    <row r="697" spans="2:6">
      <c r="B697" s="114"/>
      <c r="C697" s="114"/>
      <c r="D697" s="113"/>
      <c r="E697" s="71" t="s">
        <v>1716</v>
      </c>
      <c r="F697" s="70" t="s">
        <v>722</v>
      </c>
    </row>
    <row r="698" spans="2:6">
      <c r="B698" s="112">
        <v>141</v>
      </c>
      <c r="C698" s="95">
        <v>44336</v>
      </c>
      <c r="D698" s="112" t="s">
        <v>466</v>
      </c>
      <c r="E698" s="187"/>
      <c r="F698" s="188"/>
    </row>
    <row r="699" spans="2:6">
      <c r="B699" s="189"/>
      <c r="C699" s="189"/>
      <c r="D699" s="189"/>
      <c r="E699" s="85" t="s">
        <v>1717</v>
      </c>
      <c r="F699" s="86" t="s">
        <v>1718</v>
      </c>
    </row>
    <row r="700" spans="2:6">
      <c r="B700" s="191"/>
      <c r="C700" s="191"/>
      <c r="D700" s="191"/>
      <c r="E700" s="85" t="s">
        <v>1719</v>
      </c>
      <c r="F700" s="86" t="s">
        <v>1720</v>
      </c>
    </row>
    <row r="701" spans="2:6">
      <c r="B701" s="113">
        <v>142</v>
      </c>
      <c r="C701" s="95">
        <v>44336</v>
      </c>
      <c r="D701" s="113" t="s">
        <v>745</v>
      </c>
      <c r="E701" s="184"/>
      <c r="F701" s="185"/>
    </row>
    <row r="702" spans="2:6">
      <c r="B702" s="114"/>
      <c r="C702" s="114"/>
      <c r="D702" s="113"/>
      <c r="E702" s="71" t="s">
        <v>1723</v>
      </c>
      <c r="F702" s="70" t="s">
        <v>722</v>
      </c>
    </row>
    <row r="703" spans="2:6">
      <c r="B703" s="113">
        <v>143</v>
      </c>
      <c r="C703" s="95">
        <v>44340</v>
      </c>
      <c r="D703" s="113" t="s">
        <v>818</v>
      </c>
      <c r="E703" s="184"/>
      <c r="F703" s="185"/>
    </row>
    <row r="704" spans="2:6">
      <c r="B704" s="182"/>
      <c r="C704" s="182"/>
      <c r="D704" s="182"/>
      <c r="E704" s="71" t="s">
        <v>1728</v>
      </c>
      <c r="F704" s="70" t="s">
        <v>820</v>
      </c>
    </row>
    <row r="705" spans="2:6">
      <c r="B705" s="183"/>
      <c r="C705" s="183"/>
      <c r="D705" s="183"/>
      <c r="E705" s="71" t="s">
        <v>349</v>
      </c>
      <c r="F705" s="70" t="s">
        <v>1729</v>
      </c>
    </row>
    <row r="706" spans="2:6" ht="12.75" customHeight="1">
      <c r="B706" s="183"/>
      <c r="C706" s="183"/>
      <c r="D706" s="183"/>
      <c r="E706" s="71" t="s">
        <v>349</v>
      </c>
      <c r="F706" s="70" t="s">
        <v>1730</v>
      </c>
    </row>
    <row r="707" spans="2:6" ht="12.75" customHeight="1">
      <c r="B707" s="183"/>
      <c r="C707" s="183"/>
      <c r="D707" s="183"/>
      <c r="E707" s="71" t="s">
        <v>349</v>
      </c>
      <c r="F707" s="70" t="s">
        <v>1731</v>
      </c>
    </row>
    <row r="708" spans="2:6">
      <c r="B708" s="183"/>
      <c r="C708" s="183"/>
      <c r="D708" s="183"/>
      <c r="E708" s="71" t="s">
        <v>349</v>
      </c>
      <c r="F708" s="70" t="s">
        <v>1732</v>
      </c>
    </row>
    <row r="709" spans="2:6">
      <c r="B709" s="183"/>
      <c r="C709" s="183"/>
      <c r="D709" s="183"/>
      <c r="E709" s="71" t="s">
        <v>349</v>
      </c>
      <c r="F709" s="70" t="s">
        <v>1733</v>
      </c>
    </row>
    <row r="710" spans="2:6">
      <c r="B710" s="186"/>
      <c r="C710" s="186"/>
      <c r="D710" s="186"/>
      <c r="E710" s="71" t="s">
        <v>349</v>
      </c>
      <c r="F710" s="70" t="s">
        <v>1734</v>
      </c>
    </row>
    <row r="711" spans="2:6">
      <c r="B711" s="113">
        <v>144</v>
      </c>
      <c r="C711" s="95">
        <v>44336</v>
      </c>
      <c r="D711" s="113" t="s">
        <v>685</v>
      </c>
      <c r="E711" s="187"/>
      <c r="F711" s="188"/>
    </row>
    <row r="712" spans="2:6">
      <c r="B712" s="182"/>
      <c r="C712" s="182"/>
      <c r="D712" s="182"/>
      <c r="E712" s="71" t="s">
        <v>698</v>
      </c>
      <c r="F712" s="70" t="s">
        <v>1725</v>
      </c>
    </row>
    <row r="713" spans="2:6">
      <c r="B713" s="186"/>
      <c r="C713" s="186"/>
      <c r="D713" s="186"/>
      <c r="E713" s="71" t="s">
        <v>700</v>
      </c>
      <c r="F713" s="70" t="s">
        <v>1726</v>
      </c>
    </row>
    <row r="714" spans="2:6">
      <c r="B714" s="113">
        <v>145</v>
      </c>
      <c r="C714" s="95">
        <v>44344</v>
      </c>
      <c r="D714" s="113" t="s">
        <v>415</v>
      </c>
      <c r="E714" s="184"/>
      <c r="F714" s="185"/>
    </row>
    <row r="715" spans="2:6">
      <c r="B715" s="114"/>
      <c r="C715" s="114"/>
      <c r="D715" s="113"/>
      <c r="E715" s="71" t="s">
        <v>1735</v>
      </c>
      <c r="F715" s="70" t="s">
        <v>1736</v>
      </c>
    </row>
    <row r="716" spans="2:6">
      <c r="B716" s="113">
        <v>146</v>
      </c>
      <c r="C716" s="95">
        <v>44344</v>
      </c>
      <c r="D716" s="113" t="s">
        <v>1212</v>
      </c>
      <c r="E716" s="184"/>
      <c r="F716" s="185"/>
    </row>
    <row r="717" spans="2:6">
      <c r="B717" s="182"/>
      <c r="C717" s="182"/>
      <c r="D717" s="182"/>
      <c r="E717" s="71" t="s">
        <v>1737</v>
      </c>
      <c r="F717" s="70" t="s">
        <v>1212</v>
      </c>
    </row>
    <row r="718" spans="2:6">
      <c r="B718" s="186"/>
      <c r="C718" s="186"/>
      <c r="D718" s="186"/>
      <c r="E718" s="71" t="s">
        <v>1737</v>
      </c>
      <c r="F718" s="70" t="s">
        <v>1739</v>
      </c>
    </row>
    <row r="719" spans="2:6">
      <c r="B719" s="113">
        <v>147</v>
      </c>
      <c r="C719" s="95">
        <v>44349</v>
      </c>
      <c r="D719" s="113" t="s">
        <v>430</v>
      </c>
      <c r="E719" s="184"/>
      <c r="F719" s="185"/>
    </row>
    <row r="720" spans="2:6">
      <c r="B720" s="113"/>
      <c r="C720" s="113"/>
      <c r="D720" s="113"/>
      <c r="E720" s="125" t="s">
        <v>349</v>
      </c>
      <c r="F720" s="126" t="s">
        <v>1742</v>
      </c>
    </row>
    <row r="721" spans="2:6">
      <c r="B721" s="113">
        <v>148</v>
      </c>
      <c r="C721" s="95">
        <v>44349</v>
      </c>
      <c r="D721" s="113" t="s">
        <v>268</v>
      </c>
      <c r="E721" s="184"/>
      <c r="F721" s="185"/>
    </row>
    <row r="722" spans="2:6">
      <c r="B722" s="183"/>
      <c r="C722" s="183"/>
      <c r="D722" s="183"/>
      <c r="E722" s="71" t="s">
        <v>1174</v>
      </c>
      <c r="F722" s="70" t="s">
        <v>1746</v>
      </c>
    </row>
    <row r="723" spans="2:6">
      <c r="B723" s="183"/>
      <c r="C723" s="183"/>
      <c r="D723" s="183"/>
      <c r="E723" s="71" t="s">
        <v>1172</v>
      </c>
      <c r="F723" s="70" t="s">
        <v>1747</v>
      </c>
    </row>
    <row r="724" spans="2:6">
      <c r="B724" s="183"/>
      <c r="C724" s="183"/>
      <c r="D724" s="183"/>
      <c r="E724" s="71" t="s">
        <v>1649</v>
      </c>
      <c r="F724" s="70" t="s">
        <v>1748</v>
      </c>
    </row>
    <row r="725" spans="2:6">
      <c r="B725" s="186"/>
      <c r="C725" s="186"/>
      <c r="D725" s="186"/>
      <c r="E725" s="71" t="s">
        <v>349</v>
      </c>
      <c r="F725" s="70" t="s">
        <v>1749</v>
      </c>
    </row>
    <row r="726" spans="2:6">
      <c r="B726" s="113">
        <v>149</v>
      </c>
      <c r="C726" s="95">
        <v>44349</v>
      </c>
      <c r="D726" s="113" t="s">
        <v>268</v>
      </c>
      <c r="E726" s="184"/>
      <c r="F726" s="185"/>
    </row>
    <row r="727" spans="2:6">
      <c r="B727" s="183"/>
      <c r="C727" s="183"/>
      <c r="D727" s="183"/>
      <c r="E727" s="71" t="s">
        <v>1753</v>
      </c>
      <c r="F727" s="70" t="s">
        <v>748</v>
      </c>
    </row>
    <row r="728" spans="2:6">
      <c r="B728" s="183"/>
      <c r="C728" s="183"/>
      <c r="D728" s="183"/>
      <c r="E728" s="71" t="s">
        <v>1754</v>
      </c>
      <c r="F728" s="70" t="s">
        <v>749</v>
      </c>
    </row>
    <row r="729" spans="2:6">
      <c r="B729" s="113">
        <v>150</v>
      </c>
      <c r="C729" s="95">
        <v>44350</v>
      </c>
      <c r="D729" s="113" t="s">
        <v>818</v>
      </c>
      <c r="E729" s="184"/>
      <c r="F729" s="185"/>
    </row>
    <row r="730" spans="2:6">
      <c r="B730" s="114"/>
      <c r="C730" s="114"/>
      <c r="D730" s="114"/>
      <c r="E730" s="71" t="s">
        <v>1756</v>
      </c>
      <c r="F730" s="70" t="s">
        <v>820</v>
      </c>
    </row>
    <row r="731" spans="2:6">
      <c r="B731" s="113">
        <v>151</v>
      </c>
      <c r="C731" s="95">
        <v>44350</v>
      </c>
      <c r="D731" s="113" t="s">
        <v>415</v>
      </c>
      <c r="E731" s="184"/>
      <c r="F731" s="185"/>
    </row>
    <row r="732" spans="2:6">
      <c r="B732" s="146"/>
      <c r="C732" s="146"/>
      <c r="D732" s="146"/>
      <c r="E732" s="71" t="s">
        <v>1757</v>
      </c>
      <c r="F732" s="70" t="s">
        <v>1758</v>
      </c>
    </row>
    <row r="733" spans="2:6">
      <c r="B733" s="113">
        <v>152</v>
      </c>
      <c r="C733" s="95">
        <v>44351</v>
      </c>
      <c r="D733" s="113" t="s">
        <v>685</v>
      </c>
      <c r="E733" s="187"/>
      <c r="F733" s="188"/>
    </row>
    <row r="734" spans="2:6">
      <c r="B734" s="182"/>
      <c r="C734" s="182"/>
      <c r="D734" s="182"/>
      <c r="E734" s="71" t="s">
        <v>698</v>
      </c>
      <c r="F734" s="70" t="s">
        <v>1759</v>
      </c>
    </row>
    <row r="735" spans="2:6">
      <c r="B735" s="183"/>
      <c r="C735" s="183"/>
      <c r="D735" s="183"/>
      <c r="E735" s="71" t="s">
        <v>700</v>
      </c>
      <c r="F735" s="70" t="s">
        <v>1760</v>
      </c>
    </row>
    <row r="736" spans="2:6">
      <c r="B736" s="183"/>
      <c r="C736" s="183"/>
      <c r="D736" s="183"/>
      <c r="E736" s="71" t="s">
        <v>676</v>
      </c>
      <c r="F736" s="70" t="s">
        <v>1761</v>
      </c>
    </row>
    <row r="737" spans="2:6">
      <c r="B737" s="183"/>
      <c r="C737" s="183"/>
      <c r="D737" s="183"/>
      <c r="E737" s="71" t="s">
        <v>674</v>
      </c>
      <c r="F737" s="70" t="s">
        <v>1762</v>
      </c>
    </row>
    <row r="738" spans="2:6">
      <c r="B738" s="183"/>
      <c r="C738" s="183"/>
      <c r="D738" s="183"/>
      <c r="E738" s="71" t="s">
        <v>673</v>
      </c>
      <c r="F738" s="70" t="s">
        <v>1763</v>
      </c>
    </row>
    <row r="739" spans="2:6">
      <c r="B739" s="186"/>
      <c r="C739" s="186"/>
      <c r="D739" s="186"/>
      <c r="E739" s="71" t="s">
        <v>1764</v>
      </c>
      <c r="F739" s="70" t="s">
        <v>1765</v>
      </c>
    </row>
    <row r="740" spans="2:6">
      <c r="B740" s="113">
        <v>153</v>
      </c>
      <c r="C740" s="95">
        <v>44356</v>
      </c>
      <c r="D740" s="113" t="s">
        <v>814</v>
      </c>
      <c r="E740" s="184"/>
      <c r="F740" s="185"/>
    </row>
    <row r="741" spans="2:6">
      <c r="B741" s="182"/>
      <c r="C741" s="182"/>
      <c r="D741" s="182"/>
      <c r="E741" s="71" t="s">
        <v>1291</v>
      </c>
      <c r="F741" s="70" t="s">
        <v>1770</v>
      </c>
    </row>
    <row r="742" spans="2:6">
      <c r="B742" s="183"/>
      <c r="C742" s="183"/>
      <c r="D742" s="183"/>
      <c r="E742" s="85" t="s">
        <v>1292</v>
      </c>
      <c r="F742" s="86" t="s">
        <v>1771</v>
      </c>
    </row>
    <row r="743" spans="2:6">
      <c r="B743" s="183"/>
      <c r="C743" s="183"/>
      <c r="D743" s="183"/>
      <c r="E743" s="85" t="s">
        <v>1296</v>
      </c>
      <c r="F743" s="86" t="s">
        <v>1772</v>
      </c>
    </row>
    <row r="744" spans="2:6">
      <c r="B744" s="183"/>
      <c r="C744" s="183"/>
      <c r="D744" s="183"/>
      <c r="E744" s="85" t="s">
        <v>1299</v>
      </c>
      <c r="F744" s="86" t="s">
        <v>1773</v>
      </c>
    </row>
    <row r="745" spans="2:6">
      <c r="B745" s="183"/>
      <c r="C745" s="183"/>
      <c r="D745" s="183"/>
      <c r="E745" s="85" t="s">
        <v>1437</v>
      </c>
      <c r="F745" s="86" t="s">
        <v>1774</v>
      </c>
    </row>
    <row r="746" spans="2:6">
      <c r="B746" s="113">
        <v>154</v>
      </c>
      <c r="C746" s="95">
        <v>44356</v>
      </c>
      <c r="D746" s="113" t="s">
        <v>415</v>
      </c>
      <c r="E746" s="184"/>
      <c r="F746" s="185"/>
    </row>
    <row r="747" spans="2:6">
      <c r="B747" s="146"/>
      <c r="C747" s="146"/>
      <c r="D747" s="146"/>
      <c r="E747" s="71" t="s">
        <v>1775</v>
      </c>
      <c r="F747" s="70" t="s">
        <v>1776</v>
      </c>
    </row>
    <row r="748" spans="2:6">
      <c r="B748" s="113">
        <v>155</v>
      </c>
      <c r="C748" s="95">
        <v>44364</v>
      </c>
      <c r="D748" s="113" t="s">
        <v>1384</v>
      </c>
      <c r="E748" s="184"/>
      <c r="F748" s="185"/>
    </row>
    <row r="749" spans="2:6">
      <c r="B749" s="114"/>
      <c r="C749" s="114"/>
      <c r="D749" s="114"/>
      <c r="E749" s="71" t="s">
        <v>1777</v>
      </c>
      <c r="F749" s="70" t="s">
        <v>1779</v>
      </c>
    </row>
    <row r="750" spans="2:6">
      <c r="B750" s="112">
        <v>156</v>
      </c>
      <c r="C750" s="95">
        <v>44364</v>
      </c>
      <c r="D750" s="112" t="s">
        <v>466</v>
      </c>
      <c r="E750" s="187"/>
      <c r="F750" s="188"/>
    </row>
    <row r="751" spans="2:6">
      <c r="B751" s="134"/>
      <c r="C751" s="134"/>
      <c r="D751" s="134"/>
      <c r="E751" s="85" t="s">
        <v>1780</v>
      </c>
      <c r="F751" s="86" t="s">
        <v>908</v>
      </c>
    </row>
    <row r="752" spans="2:6">
      <c r="B752" s="113">
        <v>157</v>
      </c>
      <c r="C752" s="95">
        <v>44369</v>
      </c>
      <c r="D752" s="113" t="s">
        <v>685</v>
      </c>
      <c r="E752" s="187"/>
      <c r="F752" s="188"/>
    </row>
    <row r="753" spans="2:6">
      <c r="B753" s="182"/>
      <c r="C753" s="182"/>
      <c r="D753" s="182"/>
      <c r="E753" s="71" t="s">
        <v>1782</v>
      </c>
      <c r="F753" s="70" t="s">
        <v>1788</v>
      </c>
    </row>
    <row r="754" spans="2:6">
      <c r="B754" s="183"/>
      <c r="C754" s="183"/>
      <c r="D754" s="183"/>
      <c r="E754" s="71" t="s">
        <v>349</v>
      </c>
      <c r="F754" s="70" t="s">
        <v>1789</v>
      </c>
    </row>
    <row r="755" spans="2:6">
      <c r="B755" s="183"/>
      <c r="C755" s="183"/>
      <c r="D755" s="183"/>
      <c r="E755" s="71" t="s">
        <v>349</v>
      </c>
      <c r="F755" s="70" t="s">
        <v>1790</v>
      </c>
    </row>
    <row r="756" spans="2:6">
      <c r="B756" s="183"/>
      <c r="C756" s="183"/>
      <c r="D756" s="183"/>
      <c r="E756" s="71" t="s">
        <v>349</v>
      </c>
      <c r="F756" s="70" t="s">
        <v>1791</v>
      </c>
    </row>
    <row r="757" spans="2:6">
      <c r="B757" s="183"/>
      <c r="C757" s="183"/>
      <c r="D757" s="183"/>
      <c r="E757" s="71" t="s">
        <v>349</v>
      </c>
      <c r="F757" s="70" t="s">
        <v>1792</v>
      </c>
    </row>
    <row r="758" spans="2:6">
      <c r="B758" s="112">
        <v>158</v>
      </c>
      <c r="C758" s="95">
        <v>44369</v>
      </c>
      <c r="D758" s="112" t="s">
        <v>415</v>
      </c>
      <c r="E758" s="187"/>
      <c r="F758" s="188"/>
    </row>
    <row r="759" spans="2:6">
      <c r="B759" s="189"/>
      <c r="C759" s="189"/>
      <c r="D759" s="189"/>
      <c r="E759" s="85" t="s">
        <v>1712</v>
      </c>
      <c r="F759" s="86" t="s">
        <v>1793</v>
      </c>
    </row>
    <row r="760" spans="2:6">
      <c r="B760" s="190"/>
      <c r="C760" s="190"/>
      <c r="D760" s="190"/>
      <c r="E760" s="85" t="s">
        <v>1712</v>
      </c>
      <c r="F760" s="86" t="s">
        <v>1713</v>
      </c>
    </row>
    <row r="761" spans="2:6">
      <c r="B761" s="190"/>
      <c r="C761" s="190"/>
      <c r="D761" s="190"/>
      <c r="E761" s="85" t="s">
        <v>1794</v>
      </c>
      <c r="F761" s="86" t="s">
        <v>1795</v>
      </c>
    </row>
    <row r="762" spans="2:6">
      <c r="B762" s="190"/>
      <c r="C762" s="190"/>
      <c r="D762" s="190"/>
      <c r="E762" s="85" t="s">
        <v>1796</v>
      </c>
      <c r="F762" s="86" t="s">
        <v>1797</v>
      </c>
    </row>
    <row r="763" spans="2:6">
      <c r="B763" s="191"/>
      <c r="C763" s="191"/>
      <c r="D763" s="191"/>
      <c r="E763" s="85" t="s">
        <v>1798</v>
      </c>
      <c r="F763" s="86" t="s">
        <v>1799</v>
      </c>
    </row>
    <row r="764" spans="2:6">
      <c r="B764" s="113">
        <v>159</v>
      </c>
      <c r="C764" s="95">
        <v>44369</v>
      </c>
      <c r="D764" s="113" t="s">
        <v>263</v>
      </c>
      <c r="E764" s="184"/>
      <c r="F764" s="185"/>
    </row>
    <row r="765" spans="2:6">
      <c r="B765" s="183"/>
      <c r="C765" s="183"/>
      <c r="D765" s="183"/>
      <c r="E765" s="71">
        <v>1002133</v>
      </c>
      <c r="F765" s="70" t="s">
        <v>1800</v>
      </c>
    </row>
    <row r="766" spans="2:6">
      <c r="B766" s="183"/>
      <c r="C766" s="183"/>
      <c r="D766" s="183"/>
      <c r="E766" s="71">
        <v>1002134</v>
      </c>
      <c r="F766" s="70" t="s">
        <v>1804</v>
      </c>
    </row>
    <row r="767" spans="2:6">
      <c r="B767" s="113">
        <v>160</v>
      </c>
      <c r="C767" s="95">
        <v>44369</v>
      </c>
      <c r="D767" s="113" t="s">
        <v>1384</v>
      </c>
      <c r="E767" s="184"/>
      <c r="F767" s="185"/>
    </row>
    <row r="768" spans="2:6">
      <c r="B768" s="114"/>
      <c r="C768" s="114"/>
      <c r="D768" s="114"/>
      <c r="E768" s="71" t="s">
        <v>1805</v>
      </c>
      <c r="F768" s="70" t="s">
        <v>1807</v>
      </c>
    </row>
    <row r="769" spans="2:6">
      <c r="B769" s="113">
        <v>161</v>
      </c>
      <c r="C769" s="95">
        <v>44371</v>
      </c>
      <c r="D769" s="113" t="s">
        <v>685</v>
      </c>
      <c r="E769" s="187"/>
      <c r="F769" s="188"/>
    </row>
    <row r="770" spans="2:6">
      <c r="B770" s="182"/>
      <c r="C770" s="182"/>
      <c r="D770" s="182"/>
      <c r="E770" s="71" t="s">
        <v>349</v>
      </c>
      <c r="F770" s="70" t="s">
        <v>1808</v>
      </c>
    </row>
    <row r="771" spans="2:6">
      <c r="B771" s="183"/>
      <c r="C771" s="183"/>
      <c r="D771" s="183"/>
      <c r="E771" s="71" t="s">
        <v>349</v>
      </c>
      <c r="F771" s="70" t="s">
        <v>1809</v>
      </c>
    </row>
    <row r="772" spans="2:6">
      <c r="B772" s="183"/>
      <c r="C772" s="183"/>
      <c r="D772" s="183"/>
      <c r="E772" s="71" t="s">
        <v>349</v>
      </c>
      <c r="F772" s="70" t="s">
        <v>1810</v>
      </c>
    </row>
    <row r="773" spans="2:6">
      <c r="B773" s="183"/>
      <c r="C773" s="183"/>
      <c r="D773" s="183"/>
      <c r="E773" s="71" t="s">
        <v>349</v>
      </c>
      <c r="F773" s="70" t="s">
        <v>1811</v>
      </c>
    </row>
    <row r="774" spans="2:6">
      <c r="B774" s="113">
        <v>162</v>
      </c>
      <c r="C774" s="95">
        <v>44371</v>
      </c>
      <c r="D774" s="113" t="s">
        <v>466</v>
      </c>
      <c r="E774" s="184"/>
      <c r="F774" s="185"/>
    </row>
    <row r="775" spans="2:6">
      <c r="B775" s="114"/>
      <c r="C775" s="114"/>
      <c r="D775" s="114"/>
      <c r="E775" s="71" t="s">
        <v>1817</v>
      </c>
      <c r="F775" s="70" t="s">
        <v>1818</v>
      </c>
    </row>
    <row r="776" spans="2:6">
      <c r="B776" s="113">
        <v>163</v>
      </c>
      <c r="C776" s="95">
        <v>44372</v>
      </c>
      <c r="D776" s="113" t="s">
        <v>814</v>
      </c>
      <c r="E776" s="184"/>
      <c r="F776" s="185"/>
    </row>
    <row r="777" spans="2:6">
      <c r="B777" s="182"/>
      <c r="C777" s="182"/>
      <c r="D777" s="182"/>
      <c r="E777" s="71" t="s">
        <v>1291</v>
      </c>
      <c r="F777" s="70" t="s">
        <v>1820</v>
      </c>
    </row>
    <row r="778" spans="2:6">
      <c r="B778" s="183"/>
      <c r="C778" s="183"/>
      <c r="D778" s="183"/>
      <c r="E778" s="85" t="s">
        <v>1292</v>
      </c>
      <c r="F778" s="86" t="s">
        <v>1821</v>
      </c>
    </row>
    <row r="779" spans="2:6">
      <c r="B779" s="183"/>
      <c r="C779" s="183"/>
      <c r="D779" s="183"/>
      <c r="E779" s="85" t="s">
        <v>1293</v>
      </c>
      <c r="F779" s="86" t="s">
        <v>1822</v>
      </c>
    </row>
    <row r="780" spans="2:6">
      <c r="B780" s="183"/>
      <c r="C780" s="183"/>
      <c r="D780" s="183"/>
      <c r="E780" s="85" t="s">
        <v>1294</v>
      </c>
      <c r="F780" s="86" t="s">
        <v>1823</v>
      </c>
    </row>
    <row r="781" spans="2:6">
      <c r="B781" s="183"/>
      <c r="C781" s="183"/>
      <c r="D781" s="183"/>
      <c r="E781" s="85" t="s">
        <v>1295</v>
      </c>
      <c r="F781" s="86" t="s">
        <v>1824</v>
      </c>
    </row>
    <row r="782" spans="2:6">
      <c r="B782" s="183"/>
      <c r="C782" s="183"/>
      <c r="D782" s="183"/>
      <c r="E782" s="85" t="s">
        <v>1296</v>
      </c>
      <c r="F782" s="86" t="s">
        <v>1825</v>
      </c>
    </row>
    <row r="783" spans="2:6">
      <c r="B783" s="183"/>
      <c r="C783" s="183"/>
      <c r="D783" s="183"/>
      <c r="E783" s="85" t="s">
        <v>1297</v>
      </c>
      <c r="F783" s="86" t="s">
        <v>1826</v>
      </c>
    </row>
    <row r="784" spans="2:6">
      <c r="B784" s="183"/>
      <c r="C784" s="183"/>
      <c r="D784" s="183"/>
      <c r="E784" s="85" t="s">
        <v>1298</v>
      </c>
      <c r="F784" s="86" t="s">
        <v>1827</v>
      </c>
    </row>
    <row r="785" spans="2:6">
      <c r="B785" s="183"/>
      <c r="C785" s="183"/>
      <c r="D785" s="183"/>
      <c r="E785" s="85" t="s">
        <v>1299</v>
      </c>
      <c r="F785" s="86" t="s">
        <v>1828</v>
      </c>
    </row>
    <row r="786" spans="2:6">
      <c r="B786" s="183"/>
      <c r="C786" s="183"/>
      <c r="D786" s="183"/>
      <c r="E786" s="85" t="s">
        <v>1437</v>
      </c>
      <c r="F786" s="86" t="s">
        <v>1829</v>
      </c>
    </row>
    <row r="787" spans="2:6">
      <c r="B787" s="113">
        <v>164</v>
      </c>
      <c r="C787" s="95">
        <v>44372</v>
      </c>
      <c r="D787" s="113" t="s">
        <v>685</v>
      </c>
      <c r="E787" s="187"/>
      <c r="F787" s="188"/>
    </row>
    <row r="788" spans="2:6">
      <c r="B788" s="182"/>
      <c r="C788" s="182"/>
      <c r="D788" s="182"/>
      <c r="E788" s="71" t="s">
        <v>687</v>
      </c>
      <c r="F788" s="70" t="s">
        <v>1832</v>
      </c>
    </row>
    <row r="789" spans="2:6">
      <c r="B789" s="183"/>
      <c r="C789" s="183"/>
      <c r="D789" s="183"/>
      <c r="E789" s="71" t="s">
        <v>1328</v>
      </c>
      <c r="F789" s="70" t="s">
        <v>1833</v>
      </c>
    </row>
    <row r="790" spans="2:6">
      <c r="B790" s="183"/>
      <c r="C790" s="183"/>
      <c r="D790" s="183"/>
      <c r="E790" s="71" t="s">
        <v>1326</v>
      </c>
      <c r="F790" s="70" t="s">
        <v>1834</v>
      </c>
    </row>
    <row r="791" spans="2:6">
      <c r="B791" s="183"/>
      <c r="C791" s="183"/>
      <c r="D791" s="183"/>
      <c r="E791" s="71" t="s">
        <v>1835</v>
      </c>
      <c r="F791" s="70" t="s">
        <v>1836</v>
      </c>
    </row>
    <row r="792" spans="2:6">
      <c r="B792" s="183"/>
      <c r="C792" s="183"/>
      <c r="D792" s="183"/>
      <c r="E792" s="71" t="s">
        <v>689</v>
      </c>
      <c r="F792" s="70" t="s">
        <v>1837</v>
      </c>
    </row>
    <row r="793" spans="2:6">
      <c r="B793" s="183"/>
      <c r="C793" s="183"/>
      <c r="D793" s="183"/>
      <c r="E793" s="71" t="s">
        <v>1330</v>
      </c>
      <c r="F793" s="70" t="s">
        <v>1838</v>
      </c>
    </row>
    <row r="794" spans="2:6">
      <c r="B794" s="183"/>
      <c r="C794" s="183"/>
      <c r="D794" s="183"/>
      <c r="E794" s="71" t="s">
        <v>691</v>
      </c>
      <c r="F794" s="70" t="s">
        <v>1839</v>
      </c>
    </row>
    <row r="795" spans="2:6">
      <c r="B795" s="183"/>
      <c r="C795" s="183"/>
      <c r="D795" s="183"/>
      <c r="E795" s="71" t="s">
        <v>1336</v>
      </c>
      <c r="F795" s="70" t="s">
        <v>1840</v>
      </c>
    </row>
    <row r="796" spans="2:6">
      <c r="B796" s="183"/>
      <c r="C796" s="183"/>
      <c r="D796" s="183"/>
      <c r="E796" s="71" t="s">
        <v>1337</v>
      </c>
      <c r="F796" s="70" t="s">
        <v>1841</v>
      </c>
    </row>
    <row r="797" spans="2:6">
      <c r="B797" s="183"/>
      <c r="C797" s="183"/>
      <c r="D797" s="183"/>
      <c r="E797" s="71" t="s">
        <v>698</v>
      </c>
      <c r="F797" s="70" t="s">
        <v>1842</v>
      </c>
    </row>
    <row r="798" spans="2:6">
      <c r="B798" s="183"/>
      <c r="C798" s="183"/>
      <c r="D798" s="183"/>
      <c r="E798" s="71" t="s">
        <v>693</v>
      </c>
      <c r="F798" s="70" t="s">
        <v>1843</v>
      </c>
    </row>
    <row r="799" spans="2:6">
      <c r="B799" s="183"/>
      <c r="C799" s="183"/>
      <c r="D799" s="183"/>
      <c r="E799" s="71" t="s">
        <v>1335</v>
      </c>
      <c r="F799" s="70" t="s">
        <v>1844</v>
      </c>
    </row>
    <row r="800" spans="2:6">
      <c r="B800" s="183"/>
      <c r="C800" s="183"/>
      <c r="D800" s="183"/>
      <c r="E800" s="71" t="s">
        <v>669</v>
      </c>
      <c r="F800" s="70" t="s">
        <v>1845</v>
      </c>
    </row>
    <row r="801" spans="2:6">
      <c r="B801" s="183"/>
      <c r="C801" s="183"/>
      <c r="D801" s="183"/>
      <c r="E801" s="71" t="s">
        <v>670</v>
      </c>
      <c r="F801" s="70" t="s">
        <v>1846</v>
      </c>
    </row>
    <row r="802" spans="2:6">
      <c r="B802" s="183"/>
      <c r="C802" s="183"/>
      <c r="D802" s="183"/>
      <c r="E802" s="71" t="s">
        <v>1344</v>
      </c>
      <c r="F802" s="70" t="s">
        <v>1847</v>
      </c>
    </row>
    <row r="803" spans="2:6">
      <c r="B803" s="183"/>
      <c r="C803" s="183"/>
      <c r="D803" s="183"/>
      <c r="E803" s="71" t="s">
        <v>1342</v>
      </c>
      <c r="F803" s="70" t="s">
        <v>1848</v>
      </c>
    </row>
    <row r="804" spans="2:6">
      <c r="B804" s="183"/>
      <c r="C804" s="183"/>
      <c r="D804" s="183"/>
      <c r="E804" s="71" t="s">
        <v>1849</v>
      </c>
      <c r="F804" s="70" t="s">
        <v>1850</v>
      </c>
    </row>
    <row r="805" spans="2:6">
      <c r="B805" s="183"/>
      <c r="C805" s="183"/>
      <c r="D805" s="183"/>
      <c r="E805" s="71" t="s">
        <v>671</v>
      </c>
      <c r="F805" s="70" t="s">
        <v>1851</v>
      </c>
    </row>
    <row r="806" spans="2:6">
      <c r="B806" s="183"/>
      <c r="C806" s="183"/>
      <c r="D806" s="183"/>
      <c r="E806" s="71" t="s">
        <v>698</v>
      </c>
      <c r="F806" s="70" t="s">
        <v>1852</v>
      </c>
    </row>
    <row r="807" spans="2:6">
      <c r="B807" s="183"/>
      <c r="C807" s="183"/>
      <c r="D807" s="183"/>
      <c r="E807" s="71" t="s">
        <v>700</v>
      </c>
      <c r="F807" s="70" t="s">
        <v>1853</v>
      </c>
    </row>
    <row r="808" spans="2:6">
      <c r="B808" s="183"/>
      <c r="C808" s="183"/>
      <c r="D808" s="183"/>
      <c r="E808" s="71" t="s">
        <v>674</v>
      </c>
      <c r="F808" s="70" t="s">
        <v>1854</v>
      </c>
    </row>
    <row r="809" spans="2:6">
      <c r="B809" s="183"/>
      <c r="C809" s="183"/>
      <c r="D809" s="183"/>
      <c r="E809" s="71" t="s">
        <v>673</v>
      </c>
      <c r="F809" s="70" t="s">
        <v>1855</v>
      </c>
    </row>
    <row r="810" spans="2:6">
      <c r="B810" s="183"/>
      <c r="C810" s="183"/>
      <c r="D810" s="183"/>
      <c r="E810" s="71" t="s">
        <v>474</v>
      </c>
      <c r="F810" s="70" t="s">
        <v>1856</v>
      </c>
    </row>
    <row r="811" spans="2:6">
      <c r="B811" s="183"/>
      <c r="C811" s="183"/>
      <c r="D811" s="183"/>
      <c r="E811" s="71" t="s">
        <v>1218</v>
      </c>
      <c r="F811" s="70" t="s">
        <v>1857</v>
      </c>
    </row>
    <row r="812" spans="2:6">
      <c r="B812" s="183"/>
      <c r="C812" s="183"/>
      <c r="D812" s="183"/>
      <c r="E812" s="71" t="s">
        <v>676</v>
      </c>
      <c r="F812" s="70" t="s">
        <v>1858</v>
      </c>
    </row>
    <row r="813" spans="2:6">
      <c r="B813" s="183"/>
      <c r="C813" s="183"/>
      <c r="D813" s="183"/>
      <c r="E813" s="71" t="s">
        <v>1463</v>
      </c>
      <c r="F813" s="70" t="s">
        <v>1859</v>
      </c>
    </row>
    <row r="814" spans="2:6">
      <c r="B814" s="183"/>
      <c r="C814" s="183"/>
      <c r="D814" s="183"/>
      <c r="E814" s="71" t="s">
        <v>677</v>
      </c>
      <c r="F814" s="70" t="s">
        <v>1860</v>
      </c>
    </row>
    <row r="815" spans="2:6">
      <c r="B815" s="183"/>
      <c r="C815" s="183"/>
      <c r="D815" s="183"/>
      <c r="E815" s="71" t="s">
        <v>938</v>
      </c>
      <c r="F815" s="70" t="s">
        <v>1861</v>
      </c>
    </row>
    <row r="816" spans="2:6">
      <c r="B816" s="183"/>
      <c r="C816" s="183"/>
      <c r="D816" s="183"/>
      <c r="E816" s="71" t="s">
        <v>474</v>
      </c>
      <c r="F816" s="70" t="s">
        <v>1862</v>
      </c>
    </row>
    <row r="817" spans="2:6">
      <c r="B817" s="113">
        <v>165</v>
      </c>
      <c r="C817" s="95">
        <v>44375</v>
      </c>
      <c r="D817" s="113" t="s">
        <v>685</v>
      </c>
      <c r="E817" s="187"/>
      <c r="F817" s="188"/>
    </row>
    <row r="818" spans="2:6">
      <c r="B818" s="182"/>
      <c r="C818" s="182"/>
      <c r="D818" s="182"/>
      <c r="E818" s="71" t="s">
        <v>349</v>
      </c>
      <c r="F818" s="70" t="s">
        <v>1879</v>
      </c>
    </row>
    <row r="819" spans="2:6">
      <c r="B819" s="183"/>
      <c r="C819" s="183"/>
      <c r="D819" s="183"/>
      <c r="E819" s="71" t="s">
        <v>349</v>
      </c>
      <c r="F819" s="70" t="s">
        <v>1880</v>
      </c>
    </row>
    <row r="820" spans="2:6">
      <c r="B820" s="183"/>
      <c r="C820" s="183"/>
      <c r="D820" s="183"/>
      <c r="E820" s="71" t="s">
        <v>349</v>
      </c>
      <c r="F820" s="70" t="s">
        <v>1881</v>
      </c>
    </row>
    <row r="821" spans="2:6">
      <c r="B821" s="183"/>
      <c r="C821" s="183"/>
      <c r="D821" s="183"/>
      <c r="E821" s="71" t="s">
        <v>349</v>
      </c>
      <c r="F821" s="70" t="s">
        <v>1882</v>
      </c>
    </row>
    <row r="822" spans="2:6">
      <c r="B822" s="183"/>
      <c r="C822" s="183"/>
      <c r="D822" s="183"/>
      <c r="E822" s="71" t="s">
        <v>349</v>
      </c>
      <c r="F822" s="70" t="s">
        <v>1883</v>
      </c>
    </row>
    <row r="823" spans="2:6">
      <c r="B823" s="183"/>
      <c r="C823" s="183"/>
      <c r="D823" s="183"/>
      <c r="E823" s="71" t="s">
        <v>349</v>
      </c>
      <c r="F823" s="70" t="s">
        <v>1884</v>
      </c>
    </row>
    <row r="824" spans="2:6">
      <c r="B824" s="183"/>
      <c r="C824" s="183"/>
      <c r="D824" s="183"/>
      <c r="E824" s="71" t="s">
        <v>349</v>
      </c>
      <c r="F824" s="70" t="s">
        <v>1885</v>
      </c>
    </row>
    <row r="825" spans="2:6">
      <c r="B825" s="113">
        <v>166</v>
      </c>
      <c r="C825" s="95">
        <v>44376</v>
      </c>
      <c r="D825" s="113" t="s">
        <v>268</v>
      </c>
      <c r="E825" s="184"/>
      <c r="F825" s="185"/>
    </row>
    <row r="826" spans="2:6">
      <c r="B826" s="183"/>
      <c r="C826" s="183"/>
      <c r="D826" s="183"/>
      <c r="E826" s="71" t="s">
        <v>1886</v>
      </c>
      <c r="F826" s="70" t="s">
        <v>1887</v>
      </c>
    </row>
    <row r="827" spans="2:6">
      <c r="B827" s="183"/>
      <c r="C827" s="183"/>
      <c r="D827" s="183"/>
      <c r="E827" s="71" t="s">
        <v>1888</v>
      </c>
      <c r="F827" s="70" t="s">
        <v>1889</v>
      </c>
    </row>
    <row r="828" spans="2:6">
      <c r="B828" s="183"/>
      <c r="C828" s="183"/>
      <c r="D828" s="183"/>
      <c r="E828" s="71" t="s">
        <v>1890</v>
      </c>
      <c r="F828" s="70" t="s">
        <v>1679</v>
      </c>
    </row>
    <row r="829" spans="2:6">
      <c r="B829" s="183"/>
      <c r="C829" s="183"/>
      <c r="D829" s="183"/>
      <c r="E829" s="71" t="s">
        <v>1891</v>
      </c>
      <c r="F829" s="70" t="s">
        <v>1892</v>
      </c>
    </row>
    <row r="830" spans="2:6">
      <c r="B830" s="183"/>
      <c r="C830" s="183"/>
      <c r="D830" s="183"/>
      <c r="E830" s="71" t="s">
        <v>1893</v>
      </c>
      <c r="F830" s="70" t="s">
        <v>301</v>
      </c>
    </row>
    <row r="831" spans="2:6">
      <c r="B831" s="183"/>
      <c r="C831" s="183"/>
      <c r="D831" s="183"/>
      <c r="E831" s="71" t="s">
        <v>1894</v>
      </c>
      <c r="F831" s="70" t="s">
        <v>91</v>
      </c>
    </row>
    <row r="832" spans="2:6">
      <c r="B832" s="112">
        <v>167</v>
      </c>
      <c r="C832" s="95">
        <v>44376</v>
      </c>
      <c r="D832" s="112" t="s">
        <v>466</v>
      </c>
      <c r="E832" s="187"/>
      <c r="F832" s="188"/>
    </row>
    <row r="833" spans="2:6">
      <c r="B833" s="189"/>
      <c r="C833" s="189"/>
      <c r="D833" s="189"/>
      <c r="E833" s="71" t="s">
        <v>349</v>
      </c>
      <c r="F833" s="86" t="s">
        <v>1900</v>
      </c>
    </row>
    <row r="834" spans="2:6">
      <c r="B834" s="190"/>
      <c r="C834" s="190"/>
      <c r="D834" s="190"/>
      <c r="E834" s="71" t="s">
        <v>1901</v>
      </c>
      <c r="F834" s="86" t="s">
        <v>1902</v>
      </c>
    </row>
    <row r="835" spans="2:6">
      <c r="B835" s="190"/>
      <c r="C835" s="190"/>
      <c r="D835" s="190"/>
      <c r="E835" s="85" t="s">
        <v>1903</v>
      </c>
      <c r="F835" s="86" t="s">
        <v>1904</v>
      </c>
    </row>
    <row r="836" spans="2:6">
      <c r="B836" s="190"/>
      <c r="C836" s="190"/>
      <c r="D836" s="190"/>
      <c r="E836" s="85" t="s">
        <v>1905</v>
      </c>
      <c r="F836" s="86" t="s">
        <v>1906</v>
      </c>
    </row>
    <row r="837" spans="2:6">
      <c r="B837" s="190"/>
      <c r="C837" s="190"/>
      <c r="D837" s="190"/>
      <c r="E837" s="85" t="s">
        <v>1907</v>
      </c>
      <c r="F837" s="86" t="s">
        <v>1908</v>
      </c>
    </row>
    <row r="838" spans="2:6">
      <c r="B838" s="190"/>
      <c r="C838" s="190"/>
      <c r="D838" s="190"/>
      <c r="E838" s="85" t="s">
        <v>1909</v>
      </c>
      <c r="F838" s="86" t="s">
        <v>1910</v>
      </c>
    </row>
    <row r="839" spans="2:6">
      <c r="B839" s="190"/>
      <c r="C839" s="190"/>
      <c r="D839" s="190"/>
      <c r="E839" s="71" t="s">
        <v>349</v>
      </c>
      <c r="F839" s="86" t="s">
        <v>1911</v>
      </c>
    </row>
    <row r="840" spans="2:6">
      <c r="B840" s="190"/>
      <c r="C840" s="190"/>
      <c r="D840" s="190"/>
      <c r="E840" s="71" t="s">
        <v>349</v>
      </c>
      <c r="F840" s="86" t="s">
        <v>1912</v>
      </c>
    </row>
    <row r="841" spans="2:6">
      <c r="B841" s="113">
        <v>168</v>
      </c>
      <c r="C841" s="95">
        <v>44377</v>
      </c>
      <c r="D841" s="113" t="s">
        <v>685</v>
      </c>
      <c r="E841" s="187"/>
      <c r="F841" s="188"/>
    </row>
    <row r="842" spans="2:6">
      <c r="B842" s="182"/>
      <c r="C842" s="182"/>
      <c r="D842" s="182"/>
      <c r="E842" s="71" t="s">
        <v>698</v>
      </c>
      <c r="F842" s="70" t="s">
        <v>1926</v>
      </c>
    </row>
    <row r="843" spans="2:6">
      <c r="B843" s="183"/>
      <c r="C843" s="183"/>
      <c r="D843" s="183"/>
      <c r="E843" s="71" t="s">
        <v>700</v>
      </c>
      <c r="F843" s="70" t="s">
        <v>1927</v>
      </c>
    </row>
    <row r="844" spans="2:6">
      <c r="B844" s="113">
        <v>169</v>
      </c>
      <c r="C844" s="95">
        <v>44375</v>
      </c>
      <c r="D844" s="113" t="s">
        <v>685</v>
      </c>
      <c r="E844" s="187"/>
      <c r="F844" s="188"/>
    </row>
    <row r="845" spans="2:6">
      <c r="B845" s="182"/>
      <c r="C845" s="182"/>
      <c r="D845" s="182"/>
      <c r="E845" s="71" t="s">
        <v>349</v>
      </c>
      <c r="F845" s="70" t="s">
        <v>1929</v>
      </c>
    </row>
    <row r="846" spans="2:6">
      <c r="B846" s="183"/>
      <c r="C846" s="183"/>
      <c r="D846" s="183"/>
      <c r="E846" s="71" t="s">
        <v>349</v>
      </c>
      <c r="F846" s="70" t="s">
        <v>1930</v>
      </c>
    </row>
    <row r="847" spans="2:6">
      <c r="B847" s="183"/>
      <c r="C847" s="183"/>
      <c r="D847" s="183"/>
      <c r="E847" s="71" t="s">
        <v>349</v>
      </c>
      <c r="F847" s="70" t="s">
        <v>1931</v>
      </c>
    </row>
    <row r="848" spans="2:6">
      <c r="B848" s="183"/>
      <c r="C848" s="183"/>
      <c r="D848" s="183"/>
      <c r="E848" s="71" t="s">
        <v>349</v>
      </c>
      <c r="F848" s="70" t="s">
        <v>1932</v>
      </c>
    </row>
    <row r="849" spans="2:6">
      <c r="B849" s="183"/>
      <c r="C849" s="183"/>
      <c r="D849" s="183"/>
      <c r="E849" s="71" t="s">
        <v>349</v>
      </c>
      <c r="F849" s="70" t="s">
        <v>1933</v>
      </c>
    </row>
    <row r="850" spans="2:6">
      <c r="B850" s="113">
        <v>170</v>
      </c>
      <c r="C850" s="95">
        <v>44383</v>
      </c>
      <c r="D850" s="113" t="s">
        <v>1953</v>
      </c>
      <c r="E850" s="187"/>
      <c r="F850" s="188"/>
    </row>
    <row r="851" spans="2:6">
      <c r="B851" s="182"/>
      <c r="C851" s="182"/>
      <c r="D851" s="182"/>
      <c r="E851" s="71" t="s">
        <v>1952</v>
      </c>
      <c r="F851" s="70" t="s">
        <v>1954</v>
      </c>
    </row>
    <row r="852" spans="2:6">
      <c r="B852" s="183"/>
      <c r="C852" s="183"/>
      <c r="D852" s="183"/>
      <c r="E852" s="71" t="s">
        <v>1955</v>
      </c>
      <c r="F852" s="70" t="s">
        <v>1956</v>
      </c>
    </row>
    <row r="853" spans="2:6" ht="12.75" customHeight="1">
      <c r="B853" s="183"/>
      <c r="C853" s="183"/>
      <c r="D853" s="183"/>
      <c r="E853" s="71" t="s">
        <v>1955</v>
      </c>
      <c r="F853" s="70" t="s">
        <v>1739</v>
      </c>
    </row>
    <row r="854" spans="2:6">
      <c r="B854" s="113">
        <v>171</v>
      </c>
      <c r="C854" s="95">
        <v>44385</v>
      </c>
      <c r="D854" s="113" t="s">
        <v>685</v>
      </c>
      <c r="E854" s="71"/>
      <c r="F854" s="70"/>
    </row>
    <row r="855" spans="2:6">
      <c r="B855" s="113"/>
      <c r="C855" s="113"/>
      <c r="D855" s="113"/>
      <c r="E855" s="71" t="s">
        <v>50</v>
      </c>
      <c r="F855" s="70" t="s">
        <v>1961</v>
      </c>
    </row>
    <row r="856" spans="2:6">
      <c r="B856" s="113"/>
      <c r="C856" s="113"/>
      <c r="D856" s="113"/>
      <c r="E856" s="71" t="s">
        <v>50</v>
      </c>
      <c r="F856" s="70" t="s">
        <v>1962</v>
      </c>
    </row>
    <row r="857" spans="2:6">
      <c r="B857" s="113">
        <v>172</v>
      </c>
      <c r="C857" s="95">
        <v>44390</v>
      </c>
      <c r="D857" s="113" t="s">
        <v>685</v>
      </c>
      <c r="E857" s="184"/>
      <c r="F857" s="185"/>
    </row>
    <row r="858" spans="2:6">
      <c r="B858" s="182"/>
      <c r="C858" s="182"/>
      <c r="D858" s="182"/>
      <c r="E858" s="71" t="s">
        <v>50</v>
      </c>
      <c r="F858" s="70" t="s">
        <v>1958</v>
      </c>
    </row>
    <row r="859" spans="2:6">
      <c r="B859" s="183"/>
      <c r="C859" s="183"/>
      <c r="D859" s="183"/>
      <c r="E859" s="71" t="s">
        <v>50</v>
      </c>
      <c r="F859" s="70" t="s">
        <v>1959</v>
      </c>
    </row>
    <row r="860" spans="2:6">
      <c r="B860" s="186"/>
      <c r="C860" s="186"/>
      <c r="D860" s="186"/>
      <c r="E860" s="71" t="s">
        <v>50</v>
      </c>
      <c r="F860" s="70" t="s">
        <v>1960</v>
      </c>
    </row>
    <row r="861" spans="2:6">
      <c r="B861" s="113" t="s">
        <v>1974</v>
      </c>
      <c r="C861" s="95">
        <v>44390</v>
      </c>
      <c r="D861" s="113" t="s">
        <v>685</v>
      </c>
      <c r="E861" s="184"/>
      <c r="F861" s="185"/>
    </row>
    <row r="862" spans="2:6">
      <c r="B862" s="182"/>
      <c r="C862" s="182"/>
      <c r="D862" s="182"/>
      <c r="E862" s="71" t="s">
        <v>50</v>
      </c>
      <c r="F862" s="70" t="s">
        <v>1958</v>
      </c>
    </row>
    <row r="863" spans="2:6">
      <c r="B863" s="183"/>
      <c r="C863" s="183"/>
      <c r="D863" s="183"/>
      <c r="E863" s="71" t="s">
        <v>50</v>
      </c>
      <c r="F863" s="70" t="s">
        <v>1959</v>
      </c>
    </row>
    <row r="864" spans="2:6">
      <c r="B864" s="183"/>
      <c r="C864" s="183"/>
      <c r="D864" s="183"/>
      <c r="E864" s="71" t="s">
        <v>50</v>
      </c>
      <c r="F864" s="70" t="s">
        <v>1960</v>
      </c>
    </row>
    <row r="865" spans="2:6">
      <c r="B865" s="183"/>
      <c r="C865" s="183"/>
      <c r="D865" s="183"/>
      <c r="E865" s="71" t="s">
        <v>50</v>
      </c>
      <c r="F865" s="70" t="s">
        <v>1975</v>
      </c>
    </row>
    <row r="866" spans="2:6">
      <c r="B866" s="183"/>
      <c r="C866" s="183"/>
      <c r="D866" s="183"/>
      <c r="E866" s="71" t="s">
        <v>50</v>
      </c>
      <c r="F866" s="70" t="s">
        <v>1976</v>
      </c>
    </row>
    <row r="867" spans="2:6">
      <c r="B867" s="183"/>
      <c r="C867" s="183"/>
      <c r="D867" s="183"/>
      <c r="E867" s="71" t="s">
        <v>50</v>
      </c>
      <c r="F867" s="70" t="s">
        <v>1977</v>
      </c>
    </row>
    <row r="868" spans="2:6">
      <c r="B868" s="183"/>
      <c r="C868" s="183"/>
      <c r="D868" s="183"/>
      <c r="E868" s="71" t="s">
        <v>50</v>
      </c>
      <c r="F868" s="70" t="s">
        <v>1978</v>
      </c>
    </row>
    <row r="869" spans="2:6">
      <c r="B869" s="183"/>
      <c r="C869" s="183"/>
      <c r="D869" s="183"/>
      <c r="E869" s="71" t="s">
        <v>50</v>
      </c>
      <c r="F869" s="70" t="s">
        <v>1979</v>
      </c>
    </row>
    <row r="870" spans="2:6">
      <c r="B870" s="183"/>
      <c r="C870" s="183"/>
      <c r="D870" s="183"/>
      <c r="E870" s="71" t="s">
        <v>50</v>
      </c>
      <c r="F870" s="70" t="s">
        <v>1980</v>
      </c>
    </row>
    <row r="871" spans="2:6">
      <c r="B871" s="183"/>
      <c r="C871" s="183"/>
      <c r="D871" s="183"/>
      <c r="E871" s="71" t="s">
        <v>50</v>
      </c>
      <c r="F871" s="70" t="s">
        <v>1981</v>
      </c>
    </row>
    <row r="872" spans="2:6">
      <c r="B872" s="183"/>
      <c r="C872" s="183"/>
      <c r="D872" s="183"/>
      <c r="E872" s="71" t="s">
        <v>50</v>
      </c>
      <c r="F872" s="70" t="s">
        <v>1982</v>
      </c>
    </row>
    <row r="873" spans="2:6">
      <c r="B873" s="183"/>
      <c r="C873" s="183"/>
      <c r="D873" s="183"/>
      <c r="E873" s="71" t="s">
        <v>50</v>
      </c>
      <c r="F873" s="70" t="s">
        <v>1983</v>
      </c>
    </row>
    <row r="874" spans="2:6">
      <c r="B874" s="183"/>
      <c r="C874" s="183"/>
      <c r="D874" s="183"/>
      <c r="E874" s="71" t="s">
        <v>50</v>
      </c>
      <c r="F874" s="70" t="s">
        <v>1984</v>
      </c>
    </row>
    <row r="875" spans="2:6">
      <c r="B875" s="183"/>
      <c r="C875" s="183"/>
      <c r="D875" s="183"/>
      <c r="E875" s="71" t="s">
        <v>50</v>
      </c>
      <c r="F875" s="70" t="s">
        <v>1985</v>
      </c>
    </row>
    <row r="876" spans="2:6">
      <c r="B876" s="183"/>
      <c r="C876" s="183"/>
      <c r="D876" s="183"/>
      <c r="E876" s="71" t="s">
        <v>50</v>
      </c>
      <c r="F876" s="70" t="s">
        <v>1986</v>
      </c>
    </row>
    <row r="877" spans="2:6">
      <c r="B877" s="183"/>
      <c r="C877" s="183"/>
      <c r="D877" s="183"/>
      <c r="E877" s="71" t="s">
        <v>50</v>
      </c>
      <c r="F877" s="70" t="s">
        <v>1987</v>
      </c>
    </row>
    <row r="878" spans="2:6">
      <c r="B878" s="183"/>
      <c r="C878" s="183"/>
      <c r="D878" s="183"/>
      <c r="E878" s="71" t="s">
        <v>50</v>
      </c>
      <c r="F878" s="70" t="s">
        <v>1988</v>
      </c>
    </row>
    <row r="879" spans="2:6">
      <c r="B879" s="186"/>
      <c r="C879" s="186"/>
      <c r="D879" s="186"/>
      <c r="E879" s="71" t="s">
        <v>50</v>
      </c>
      <c r="F879" s="70" t="s">
        <v>1989</v>
      </c>
    </row>
    <row r="880" spans="2:6">
      <c r="B880" s="113">
        <v>173</v>
      </c>
      <c r="C880" s="95">
        <v>44390</v>
      </c>
      <c r="D880" s="113" t="s">
        <v>685</v>
      </c>
      <c r="E880" s="184"/>
      <c r="F880" s="185"/>
    </row>
    <row r="881" spans="2:6">
      <c r="B881" s="114"/>
      <c r="C881" s="114"/>
      <c r="D881" s="114"/>
      <c r="E881" s="71" t="s">
        <v>50</v>
      </c>
      <c r="F881" s="70" t="s">
        <v>1992</v>
      </c>
    </row>
    <row r="882" spans="2:6">
      <c r="B882" s="113">
        <v>174</v>
      </c>
      <c r="C882" s="95">
        <v>44390</v>
      </c>
      <c r="D882" s="113" t="s">
        <v>263</v>
      </c>
      <c r="E882" s="184"/>
      <c r="F882" s="185"/>
    </row>
    <row r="883" spans="2:6">
      <c r="B883" s="114"/>
      <c r="C883" s="114"/>
      <c r="D883" s="114"/>
      <c r="E883" s="71" t="s">
        <v>50</v>
      </c>
      <c r="F883" s="70" t="s">
        <v>1995</v>
      </c>
    </row>
    <row r="884" spans="2:6">
      <c r="B884" s="113">
        <v>175</v>
      </c>
      <c r="C884" s="95">
        <v>44390</v>
      </c>
      <c r="D884" s="113" t="s">
        <v>415</v>
      </c>
      <c r="E884" s="184"/>
      <c r="F884" s="185"/>
    </row>
    <row r="885" spans="2:6">
      <c r="B885" s="182"/>
      <c r="C885" s="182"/>
      <c r="D885" s="182"/>
      <c r="E885" s="71" t="s">
        <v>50</v>
      </c>
      <c r="F885" s="70" t="s">
        <v>1996</v>
      </c>
    </row>
    <row r="886" spans="2:6">
      <c r="B886" s="186"/>
      <c r="C886" s="186"/>
      <c r="D886" s="186"/>
      <c r="E886" s="71" t="s">
        <v>50</v>
      </c>
      <c r="F886" s="70" t="s">
        <v>1997</v>
      </c>
    </row>
    <row r="887" spans="2:6">
      <c r="B887" s="113">
        <v>176</v>
      </c>
      <c r="C887" s="95">
        <v>44390</v>
      </c>
      <c r="D887" s="113" t="s">
        <v>814</v>
      </c>
      <c r="E887" s="184"/>
      <c r="F887" s="185"/>
    </row>
    <row r="888" spans="2:6">
      <c r="B888" s="114"/>
      <c r="C888" s="114"/>
      <c r="D888" s="114"/>
      <c r="E888" s="71" t="s">
        <v>1437</v>
      </c>
      <c r="F888" s="70" t="s">
        <v>1998</v>
      </c>
    </row>
    <row r="889" spans="2:6">
      <c r="B889" s="113">
        <v>177</v>
      </c>
      <c r="C889" s="95">
        <v>44391</v>
      </c>
      <c r="D889" s="113" t="s">
        <v>415</v>
      </c>
      <c r="E889" s="184"/>
      <c r="F889" s="185"/>
    </row>
    <row r="890" spans="2:6">
      <c r="B890" s="182"/>
      <c r="C890" s="182"/>
      <c r="D890" s="182"/>
      <c r="E890" s="71" t="s">
        <v>2001</v>
      </c>
      <c r="F890" s="70" t="s">
        <v>2002</v>
      </c>
    </row>
    <row r="891" spans="2:6">
      <c r="B891" s="183"/>
      <c r="C891" s="183"/>
      <c r="D891" s="183"/>
      <c r="E891" s="71" t="s">
        <v>2003</v>
      </c>
      <c r="F891" s="70" t="s">
        <v>2004</v>
      </c>
    </row>
    <row r="892" spans="2:6">
      <c r="B892" s="183"/>
      <c r="C892" s="183"/>
      <c r="D892" s="183"/>
      <c r="E892" s="71" t="s">
        <v>2005</v>
      </c>
      <c r="F892" s="70" t="s">
        <v>2006</v>
      </c>
    </row>
    <row r="893" spans="2:6">
      <c r="B893" s="183"/>
      <c r="C893" s="183"/>
      <c r="D893" s="183"/>
      <c r="E893" s="71" t="s">
        <v>2007</v>
      </c>
      <c r="F893" s="70" t="s">
        <v>2008</v>
      </c>
    </row>
    <row r="894" spans="2:6">
      <c r="B894" s="183"/>
      <c r="C894" s="183"/>
      <c r="D894" s="183"/>
      <c r="E894" s="71" t="s">
        <v>2009</v>
      </c>
      <c r="F894" s="70" t="s">
        <v>2010</v>
      </c>
    </row>
    <row r="895" spans="2:6">
      <c r="B895" s="183"/>
      <c r="C895" s="183"/>
      <c r="D895" s="183"/>
      <c r="E895" s="71" t="s">
        <v>2011</v>
      </c>
      <c r="F895" s="70" t="s">
        <v>2012</v>
      </c>
    </row>
    <row r="896" spans="2:6">
      <c r="B896" s="183"/>
      <c r="C896" s="183"/>
      <c r="D896" s="183"/>
      <c r="E896" s="71" t="s">
        <v>50</v>
      </c>
      <c r="F896" s="70" t="s">
        <v>2013</v>
      </c>
    </row>
    <row r="897" spans="2:6">
      <c r="B897" s="183"/>
      <c r="C897" s="183"/>
      <c r="D897" s="183"/>
      <c r="E897" s="71" t="s">
        <v>50</v>
      </c>
      <c r="F897" s="70" t="s">
        <v>2014</v>
      </c>
    </row>
    <row r="898" spans="2:6">
      <c r="B898" s="113">
        <v>178</v>
      </c>
      <c r="C898" s="95">
        <v>44393</v>
      </c>
      <c r="D898" s="113" t="s">
        <v>721</v>
      </c>
      <c r="E898" s="184"/>
      <c r="F898" s="185"/>
    </row>
    <row r="899" spans="2:6">
      <c r="B899" s="182"/>
      <c r="C899" s="182"/>
      <c r="D899" s="182"/>
      <c r="E899" s="71" t="s">
        <v>2018</v>
      </c>
      <c r="F899" s="70" t="s">
        <v>721</v>
      </c>
    </row>
    <row r="900" spans="2:6">
      <c r="B900" s="183"/>
      <c r="C900" s="183"/>
      <c r="D900" s="183"/>
      <c r="E900" s="71" t="s">
        <v>2018</v>
      </c>
      <c r="F900" s="70" t="s">
        <v>2019</v>
      </c>
    </row>
    <row r="901" spans="2:6">
      <c r="B901" s="183"/>
      <c r="C901" s="183"/>
      <c r="D901" s="183"/>
      <c r="E901" s="71" t="s">
        <v>2018</v>
      </c>
      <c r="F901" s="70" t="s">
        <v>2020</v>
      </c>
    </row>
    <row r="902" spans="2:6">
      <c r="B902" s="186"/>
      <c r="C902" s="186"/>
      <c r="D902" s="186"/>
      <c r="E902" s="71" t="s">
        <v>2018</v>
      </c>
      <c r="F902" s="70" t="s">
        <v>2021</v>
      </c>
    </row>
    <row r="903" spans="2:6">
      <c r="B903" s="113">
        <v>179</v>
      </c>
      <c r="C903" s="95">
        <v>44393</v>
      </c>
      <c r="D903" s="113" t="s">
        <v>685</v>
      </c>
      <c r="E903" s="184"/>
      <c r="F903" s="185"/>
    </row>
    <row r="904" spans="2:6">
      <c r="B904" s="182"/>
      <c r="C904" s="182"/>
      <c r="D904" s="182"/>
      <c r="E904" s="71" t="s">
        <v>50</v>
      </c>
      <c r="F904" s="70" t="s">
        <v>2022</v>
      </c>
    </row>
    <row r="905" spans="2:6">
      <c r="B905" s="183"/>
      <c r="C905" s="183"/>
      <c r="D905" s="183"/>
      <c r="E905" s="71" t="s">
        <v>50</v>
      </c>
      <c r="F905" s="70" t="s">
        <v>2023</v>
      </c>
    </row>
    <row r="906" spans="2:6">
      <c r="B906" s="183"/>
      <c r="C906" s="183"/>
      <c r="D906" s="183"/>
      <c r="E906" s="71" t="s">
        <v>50</v>
      </c>
      <c r="F906" s="70" t="s">
        <v>2024</v>
      </c>
    </row>
    <row r="907" spans="2:6">
      <c r="B907" s="183"/>
      <c r="C907" s="183"/>
      <c r="D907" s="183"/>
      <c r="E907" s="71" t="s">
        <v>50</v>
      </c>
      <c r="F907" s="70" t="s">
        <v>2025</v>
      </c>
    </row>
    <row r="908" spans="2:6">
      <c r="B908" s="183"/>
      <c r="C908" s="183"/>
      <c r="D908" s="183"/>
      <c r="E908" s="71" t="s">
        <v>50</v>
      </c>
      <c r="F908" s="70" t="s">
        <v>2026</v>
      </c>
    </row>
    <row r="909" spans="2:6">
      <c r="B909" s="183"/>
      <c r="C909" s="183"/>
      <c r="D909" s="183"/>
      <c r="E909" s="71" t="s">
        <v>50</v>
      </c>
      <c r="F909" s="70" t="s">
        <v>2027</v>
      </c>
    </row>
    <row r="910" spans="2:6">
      <c r="B910" s="186"/>
      <c r="C910" s="186"/>
      <c r="D910" s="186"/>
      <c r="E910" s="71" t="s">
        <v>50</v>
      </c>
      <c r="F910" s="70" t="s">
        <v>2028</v>
      </c>
    </row>
    <row r="911" spans="2:6">
      <c r="B911" s="113">
        <v>180</v>
      </c>
      <c r="C911" s="95">
        <v>44393</v>
      </c>
      <c r="D911" s="113" t="s">
        <v>685</v>
      </c>
      <c r="E911" s="184"/>
      <c r="F911" s="185"/>
    </row>
    <row r="912" spans="2:6">
      <c r="B912" s="182"/>
      <c r="C912" s="182"/>
      <c r="D912" s="182"/>
      <c r="E912" s="71" t="s">
        <v>50</v>
      </c>
      <c r="F912" s="70" t="s">
        <v>2032</v>
      </c>
    </row>
    <row r="913" spans="2:6">
      <c r="B913" s="183"/>
      <c r="C913" s="183"/>
      <c r="D913" s="183"/>
      <c r="E913" s="71" t="s">
        <v>50</v>
      </c>
      <c r="F913" s="70" t="s">
        <v>2033</v>
      </c>
    </row>
    <row r="914" spans="2:6">
      <c r="B914" s="113">
        <v>181</v>
      </c>
      <c r="C914" s="95">
        <v>44397</v>
      </c>
      <c r="D914" s="113" t="s">
        <v>263</v>
      </c>
      <c r="E914" s="184"/>
      <c r="F914" s="185"/>
    </row>
    <row r="915" spans="2:6">
      <c r="B915" s="114"/>
      <c r="C915" s="114"/>
      <c r="D915" s="114"/>
      <c r="E915" s="71" t="s">
        <v>50</v>
      </c>
      <c r="F915" s="70" t="s">
        <v>2036</v>
      </c>
    </row>
    <row r="916" spans="2:6">
      <c r="B916" s="113">
        <v>182</v>
      </c>
      <c r="C916" s="95">
        <v>44397</v>
      </c>
      <c r="D916" s="113" t="s">
        <v>685</v>
      </c>
      <c r="E916" s="184"/>
      <c r="F916" s="185"/>
    </row>
    <row r="917" spans="2:6">
      <c r="B917" s="182"/>
      <c r="C917" s="182"/>
      <c r="D917" s="182"/>
      <c r="E917" s="71" t="s">
        <v>50</v>
      </c>
      <c r="F917" s="155" t="s">
        <v>2037</v>
      </c>
    </row>
    <row r="918" spans="2:6">
      <c r="B918" s="183"/>
      <c r="C918" s="183"/>
      <c r="D918" s="183"/>
      <c r="E918" s="71" t="s">
        <v>50</v>
      </c>
      <c r="F918" s="155" t="s">
        <v>2038</v>
      </c>
    </row>
    <row r="919" spans="2:6">
      <c r="B919" s="183"/>
      <c r="C919" s="183"/>
      <c r="D919" s="183"/>
      <c r="E919" s="71" t="s">
        <v>50</v>
      </c>
      <c r="F919" s="155" t="s">
        <v>2039</v>
      </c>
    </row>
    <row r="920" spans="2:6">
      <c r="B920" s="183"/>
      <c r="C920" s="183"/>
      <c r="D920" s="183"/>
      <c r="E920" s="71" t="s">
        <v>50</v>
      </c>
      <c r="F920" s="155" t="s">
        <v>2042</v>
      </c>
    </row>
    <row r="921" spans="2:6">
      <c r="B921" s="183"/>
      <c r="C921" s="183"/>
      <c r="D921" s="183"/>
      <c r="E921" s="71" t="s">
        <v>50</v>
      </c>
      <c r="F921" s="155" t="s">
        <v>2040</v>
      </c>
    </row>
    <row r="922" spans="2:6">
      <c r="B922" s="183"/>
      <c r="C922" s="183"/>
      <c r="D922" s="183"/>
      <c r="E922" s="71" t="s">
        <v>50</v>
      </c>
      <c r="F922" s="155" t="s">
        <v>2041</v>
      </c>
    </row>
    <row r="923" spans="2:6">
      <c r="B923" s="113">
        <v>183</v>
      </c>
      <c r="C923" s="95">
        <v>44403</v>
      </c>
      <c r="D923" s="113" t="s">
        <v>685</v>
      </c>
      <c r="E923" s="184"/>
      <c r="F923" s="185"/>
    </row>
    <row r="924" spans="2:6">
      <c r="B924" s="182"/>
      <c r="C924" s="182"/>
      <c r="D924" s="182"/>
      <c r="E924" s="71" t="s">
        <v>50</v>
      </c>
      <c r="F924" s="70" t="s">
        <v>2044</v>
      </c>
    </row>
    <row r="925" spans="2:6">
      <c r="B925" s="183"/>
      <c r="C925" s="183"/>
      <c r="D925" s="183"/>
      <c r="E925" s="71" t="s">
        <v>50</v>
      </c>
      <c r="F925" s="70" t="s">
        <v>2045</v>
      </c>
    </row>
    <row r="926" spans="2:6">
      <c r="B926" s="183"/>
      <c r="C926" s="183"/>
      <c r="D926" s="183"/>
      <c r="E926" s="71" t="s">
        <v>50</v>
      </c>
      <c r="F926" s="70" t="s">
        <v>2046</v>
      </c>
    </row>
    <row r="927" spans="2:6">
      <c r="B927" s="183"/>
      <c r="C927" s="183"/>
      <c r="D927" s="183"/>
      <c r="E927" s="71" t="s">
        <v>50</v>
      </c>
      <c r="F927" s="70" t="s">
        <v>2047</v>
      </c>
    </row>
    <row r="928" spans="2:6">
      <c r="B928" s="113">
        <v>184</v>
      </c>
      <c r="C928" s="95">
        <v>44403</v>
      </c>
      <c r="D928" s="113" t="s">
        <v>1384</v>
      </c>
      <c r="E928" s="184"/>
      <c r="F928" s="185"/>
    </row>
    <row r="929" spans="2:6">
      <c r="B929" s="114"/>
      <c r="C929" s="114"/>
      <c r="D929" s="114"/>
      <c r="E929" s="71">
        <v>4817093</v>
      </c>
      <c r="F929" s="70" t="s">
        <v>2053</v>
      </c>
    </row>
    <row r="930" spans="2:6">
      <c r="B930" s="113">
        <v>185</v>
      </c>
      <c r="C930" s="95">
        <v>44404</v>
      </c>
      <c r="D930" s="113" t="s">
        <v>415</v>
      </c>
      <c r="E930" s="184"/>
      <c r="F930" s="185"/>
    </row>
    <row r="931" spans="2:6">
      <c r="B931" s="182"/>
      <c r="C931" s="182"/>
      <c r="D931" s="182"/>
      <c r="E931" s="71">
        <v>2014550</v>
      </c>
      <c r="F931" s="70" t="s">
        <v>2054</v>
      </c>
    </row>
    <row r="932" spans="2:6">
      <c r="B932" s="183"/>
      <c r="C932" s="183"/>
      <c r="D932" s="183"/>
      <c r="E932" s="71" t="s">
        <v>349</v>
      </c>
      <c r="F932" s="70" t="s">
        <v>2055</v>
      </c>
    </row>
    <row r="933" spans="2:6">
      <c r="B933" s="183"/>
      <c r="C933" s="183"/>
      <c r="D933" s="183"/>
      <c r="E933" s="71" t="s">
        <v>2056</v>
      </c>
      <c r="F933" s="70" t="s">
        <v>2057</v>
      </c>
    </row>
    <row r="934" spans="2:6">
      <c r="B934" s="113">
        <v>186</v>
      </c>
      <c r="C934" s="95">
        <v>44404</v>
      </c>
      <c r="D934" s="113" t="s">
        <v>685</v>
      </c>
      <c r="E934" s="184"/>
      <c r="F934" s="185"/>
    </row>
    <row r="935" spans="2:6">
      <c r="B935" s="114"/>
      <c r="C935" s="114"/>
      <c r="D935" s="114"/>
      <c r="E935" s="71" t="s">
        <v>50</v>
      </c>
      <c r="F935" s="70" t="s">
        <v>2058</v>
      </c>
    </row>
    <row r="936" spans="2:6">
      <c r="B936" s="113">
        <v>187</v>
      </c>
      <c r="C936" s="95">
        <v>44404</v>
      </c>
      <c r="D936" s="113" t="s">
        <v>814</v>
      </c>
      <c r="E936" s="184"/>
      <c r="F936" s="185"/>
    </row>
    <row r="937" spans="2:6">
      <c r="B937" s="114"/>
      <c r="C937" s="114"/>
      <c r="D937" s="114"/>
      <c r="E937" s="71" t="s">
        <v>1299</v>
      </c>
      <c r="F937" s="70" t="s">
        <v>2060</v>
      </c>
    </row>
    <row r="938" spans="2:6">
      <c r="B938" s="113">
        <v>188</v>
      </c>
      <c r="C938" s="95">
        <v>44404</v>
      </c>
      <c r="D938" s="113" t="s">
        <v>268</v>
      </c>
      <c r="E938" s="184"/>
      <c r="F938" s="185"/>
    </row>
    <row r="939" spans="2:6">
      <c r="B939" s="114"/>
      <c r="C939" s="114"/>
      <c r="D939" s="114"/>
      <c r="E939" s="71" t="s">
        <v>2064</v>
      </c>
      <c r="F939" s="70" t="s">
        <v>1256</v>
      </c>
    </row>
    <row r="940" spans="2:6">
      <c r="B940" s="113">
        <v>189</v>
      </c>
      <c r="C940" s="95">
        <v>44404</v>
      </c>
      <c r="D940" s="113" t="s">
        <v>415</v>
      </c>
      <c r="E940" s="184"/>
      <c r="F940" s="185"/>
    </row>
    <row r="941" spans="2:6">
      <c r="B941" s="114"/>
      <c r="C941" s="114"/>
      <c r="D941" s="114"/>
      <c r="E941" s="71">
        <v>2014551</v>
      </c>
      <c r="F941" s="70" t="s">
        <v>2065</v>
      </c>
    </row>
    <row r="942" spans="2:6">
      <c r="B942" s="113">
        <v>190</v>
      </c>
      <c r="C942" s="95">
        <v>44404</v>
      </c>
      <c r="D942" s="113" t="s">
        <v>415</v>
      </c>
      <c r="E942" s="184"/>
      <c r="F942" s="185"/>
    </row>
    <row r="943" spans="2:6">
      <c r="B943" s="146"/>
      <c r="C943" s="146"/>
      <c r="D943" s="146"/>
      <c r="E943" s="71" t="s">
        <v>2066</v>
      </c>
      <c r="F943" s="70" t="s">
        <v>1209</v>
      </c>
    </row>
    <row r="944" spans="2:6">
      <c r="B944" s="113">
        <v>191</v>
      </c>
      <c r="C944" s="95">
        <v>44405</v>
      </c>
      <c r="D944" s="113" t="s">
        <v>1384</v>
      </c>
      <c r="E944" s="184"/>
      <c r="F944" s="185"/>
    </row>
    <row r="945" spans="2:6">
      <c r="B945" s="182"/>
      <c r="C945" s="182"/>
      <c r="D945" s="182"/>
      <c r="E945" s="71">
        <v>4753453</v>
      </c>
      <c r="F945" s="70" t="s">
        <v>2072</v>
      </c>
    </row>
    <row r="946" spans="2:6">
      <c r="B946" s="186"/>
      <c r="C946" s="186"/>
      <c r="D946" s="186"/>
      <c r="E946" s="71" t="s">
        <v>2071</v>
      </c>
      <c r="F946" s="70" t="s">
        <v>2073</v>
      </c>
    </row>
    <row r="947" spans="2:6">
      <c r="B947" s="113">
        <v>192</v>
      </c>
      <c r="C947" s="95">
        <v>44405</v>
      </c>
      <c r="D947" s="113" t="s">
        <v>685</v>
      </c>
      <c r="E947" s="184"/>
      <c r="F947" s="185"/>
    </row>
    <row r="948" spans="2:6">
      <c r="B948" s="182"/>
      <c r="C948" s="182"/>
      <c r="D948" s="182"/>
      <c r="E948" s="71" t="s">
        <v>50</v>
      </c>
      <c r="F948" s="70" t="s">
        <v>2074</v>
      </c>
    </row>
    <row r="949" spans="2:6">
      <c r="B949" s="183"/>
      <c r="C949" s="183"/>
      <c r="D949" s="183"/>
      <c r="E949" s="71" t="s">
        <v>50</v>
      </c>
      <c r="F949" s="70" t="s">
        <v>2075</v>
      </c>
    </row>
    <row r="950" spans="2:6">
      <c r="B950" s="183"/>
      <c r="C950" s="183"/>
      <c r="D950" s="183"/>
      <c r="E950" s="71" t="s">
        <v>50</v>
      </c>
      <c r="F950" s="70" t="s">
        <v>2076</v>
      </c>
    </row>
    <row r="951" spans="2:6">
      <c r="B951" s="113">
        <v>193</v>
      </c>
      <c r="C951" s="95">
        <v>44412</v>
      </c>
      <c r="D951" s="113" t="s">
        <v>268</v>
      </c>
      <c r="E951" s="184"/>
      <c r="F951" s="185"/>
    </row>
    <row r="952" spans="2:6" ht="12.75" customHeight="1">
      <c r="B952" s="182"/>
      <c r="C952" s="182"/>
      <c r="D952" s="182"/>
      <c r="E952" s="71" t="s">
        <v>2077</v>
      </c>
      <c r="F952" s="70" t="s">
        <v>2078</v>
      </c>
    </row>
    <row r="953" spans="2:6" ht="12.75" customHeight="1">
      <c r="B953" s="186"/>
      <c r="C953" s="186"/>
      <c r="D953" s="186"/>
      <c r="E953" s="71" t="s">
        <v>2079</v>
      </c>
      <c r="F953" s="70" t="s">
        <v>2080</v>
      </c>
    </row>
    <row r="954" spans="2:6">
      <c r="B954" s="113">
        <v>194</v>
      </c>
      <c r="C954" s="95">
        <v>44413</v>
      </c>
      <c r="D954" s="113" t="s">
        <v>466</v>
      </c>
      <c r="E954" s="184"/>
      <c r="F954" s="185"/>
    </row>
    <row r="955" spans="2:6">
      <c r="B955" s="182"/>
      <c r="C955" s="182"/>
      <c r="D955" s="182"/>
      <c r="E955" s="71" t="s">
        <v>2087</v>
      </c>
      <c r="F955" s="70" t="s">
        <v>2088</v>
      </c>
    </row>
    <row r="956" spans="2:6">
      <c r="B956" s="183"/>
      <c r="C956" s="183"/>
      <c r="D956" s="183"/>
      <c r="E956" s="71" t="s">
        <v>2089</v>
      </c>
      <c r="F956" s="70" t="s">
        <v>2090</v>
      </c>
    </row>
    <row r="957" spans="2:6">
      <c r="B957" s="183"/>
      <c r="C957" s="183"/>
      <c r="D957" s="183"/>
      <c r="E957" s="71" t="s">
        <v>2091</v>
      </c>
      <c r="F957" s="70" t="s">
        <v>2092</v>
      </c>
    </row>
    <row r="958" spans="2:6">
      <c r="B958" s="113">
        <v>195</v>
      </c>
      <c r="C958" s="95">
        <v>44413</v>
      </c>
      <c r="D958" s="113" t="s">
        <v>415</v>
      </c>
      <c r="E958" s="184"/>
      <c r="F958" s="185"/>
    </row>
    <row r="959" spans="2:6">
      <c r="B959" s="146"/>
      <c r="C959" s="146"/>
      <c r="D959" s="146"/>
      <c r="E959" s="71" t="s">
        <v>349</v>
      </c>
      <c r="F959" s="70" t="s">
        <v>2093</v>
      </c>
    </row>
    <row r="960" spans="2:6">
      <c r="B960" s="113">
        <v>196</v>
      </c>
      <c r="C960" s="95">
        <v>44418</v>
      </c>
      <c r="D960" s="113" t="s">
        <v>685</v>
      </c>
      <c r="E960" s="184"/>
      <c r="F960" s="185"/>
    </row>
    <row r="961" spans="2:6">
      <c r="B961" s="182"/>
      <c r="C961" s="182"/>
      <c r="D961" s="182"/>
      <c r="E961" s="71" t="s">
        <v>687</v>
      </c>
      <c r="F961" s="70" t="s">
        <v>2101</v>
      </c>
    </row>
    <row r="962" spans="2:6">
      <c r="B962" s="183"/>
      <c r="C962" s="183"/>
      <c r="D962" s="183"/>
      <c r="E962" s="71" t="s">
        <v>689</v>
      </c>
      <c r="F962" s="70" t="s">
        <v>2102</v>
      </c>
    </row>
    <row r="963" spans="2:6">
      <c r="B963" s="183"/>
      <c r="C963" s="183"/>
      <c r="D963" s="183"/>
      <c r="E963" s="71" t="s">
        <v>1326</v>
      </c>
      <c r="F963" s="70" t="s">
        <v>2103</v>
      </c>
    </row>
    <row r="964" spans="2:6">
      <c r="B964" s="183"/>
      <c r="C964" s="183"/>
      <c r="D964" s="183"/>
      <c r="E964" s="71" t="s">
        <v>1328</v>
      </c>
      <c r="F964" s="70" t="s">
        <v>2104</v>
      </c>
    </row>
    <row r="965" spans="2:6">
      <c r="B965" s="183"/>
      <c r="C965" s="183"/>
      <c r="D965" s="183"/>
      <c r="E965" s="71" t="s">
        <v>1330</v>
      </c>
      <c r="F965" s="70" t="s">
        <v>2105</v>
      </c>
    </row>
    <row r="966" spans="2:6">
      <c r="B966" s="183"/>
      <c r="C966" s="183"/>
      <c r="D966" s="183"/>
      <c r="E966" s="71" t="s">
        <v>691</v>
      </c>
      <c r="F966" s="70" t="s">
        <v>2106</v>
      </c>
    </row>
    <row r="967" spans="2:6">
      <c r="B967" s="183"/>
      <c r="C967" s="183"/>
      <c r="D967" s="183"/>
      <c r="E967" s="71" t="s">
        <v>693</v>
      </c>
      <c r="F967" s="70" t="s">
        <v>2107</v>
      </c>
    </row>
    <row r="968" spans="2:6">
      <c r="B968" s="183"/>
      <c r="C968" s="183"/>
      <c r="D968" s="183"/>
      <c r="E968" s="71" t="s">
        <v>1337</v>
      </c>
      <c r="F968" s="70" t="s">
        <v>2108</v>
      </c>
    </row>
    <row r="969" spans="2:6">
      <c r="B969" s="183"/>
      <c r="C969" s="183"/>
      <c r="D969" s="183"/>
      <c r="E969" s="71" t="s">
        <v>1336</v>
      </c>
      <c r="F969" s="70" t="s">
        <v>2109</v>
      </c>
    </row>
    <row r="970" spans="2:6">
      <c r="B970" s="183"/>
      <c r="C970" s="183"/>
      <c r="D970" s="183"/>
      <c r="E970" s="71" t="s">
        <v>1335</v>
      </c>
      <c r="F970" s="70" t="s">
        <v>2110</v>
      </c>
    </row>
    <row r="971" spans="2:6">
      <c r="B971" s="183"/>
      <c r="C971" s="183"/>
      <c r="D971" s="183"/>
      <c r="E971" s="71" t="s">
        <v>1344</v>
      </c>
      <c r="F971" s="70" t="s">
        <v>2111</v>
      </c>
    </row>
    <row r="972" spans="2:6">
      <c r="B972" s="183"/>
      <c r="C972" s="183"/>
      <c r="D972" s="183"/>
      <c r="E972" s="71" t="s">
        <v>1342</v>
      </c>
      <c r="F972" s="70" t="s">
        <v>2112</v>
      </c>
    </row>
    <row r="973" spans="2:6">
      <c r="B973" s="183"/>
      <c r="C973" s="183"/>
      <c r="D973" s="183"/>
      <c r="E973" s="71" t="s">
        <v>671</v>
      </c>
      <c r="F973" s="70" t="s">
        <v>2113</v>
      </c>
    </row>
    <row r="974" spans="2:6">
      <c r="B974" s="183"/>
      <c r="C974" s="183"/>
      <c r="D974" s="183"/>
      <c r="E974" s="71" t="s">
        <v>669</v>
      </c>
      <c r="F974" s="70" t="s">
        <v>2114</v>
      </c>
    </row>
    <row r="975" spans="2:6">
      <c r="B975" s="183"/>
      <c r="C975" s="183"/>
      <c r="D975" s="183"/>
      <c r="E975" s="71" t="s">
        <v>698</v>
      </c>
      <c r="F975" s="70" t="s">
        <v>2115</v>
      </c>
    </row>
    <row r="976" spans="2:6">
      <c r="B976" s="183"/>
      <c r="C976" s="183"/>
      <c r="D976" s="183"/>
      <c r="E976" s="71" t="s">
        <v>700</v>
      </c>
      <c r="F976" s="70" t="s">
        <v>2116</v>
      </c>
    </row>
    <row r="977" spans="2:6">
      <c r="B977" s="183"/>
      <c r="C977" s="183"/>
      <c r="D977" s="183"/>
      <c r="E977" s="71" t="s">
        <v>674</v>
      </c>
      <c r="F977" s="70" t="s">
        <v>2117</v>
      </c>
    </row>
    <row r="978" spans="2:6">
      <c r="B978" s="183"/>
      <c r="C978" s="183"/>
      <c r="D978" s="183"/>
      <c r="E978" s="71" t="s">
        <v>673</v>
      </c>
      <c r="F978" s="70" t="s">
        <v>2118</v>
      </c>
    </row>
    <row r="979" spans="2:6">
      <c r="B979" s="183"/>
      <c r="C979" s="183"/>
      <c r="D979" s="183"/>
      <c r="E979" s="71" t="s">
        <v>474</v>
      </c>
      <c r="F979" s="70" t="s">
        <v>2119</v>
      </c>
    </row>
    <row r="980" spans="2:6">
      <c r="B980" s="183"/>
      <c r="C980" s="183"/>
      <c r="D980" s="183"/>
      <c r="E980" s="71" t="s">
        <v>1218</v>
      </c>
      <c r="F980" s="70" t="s">
        <v>2120</v>
      </c>
    </row>
    <row r="981" spans="2:6">
      <c r="B981" s="183"/>
      <c r="C981" s="183"/>
      <c r="D981" s="183"/>
      <c r="E981" s="71" t="s">
        <v>677</v>
      </c>
      <c r="F981" s="70" t="s">
        <v>2121</v>
      </c>
    </row>
    <row r="982" spans="2:6">
      <c r="B982" s="183"/>
      <c r="C982" s="183"/>
      <c r="D982" s="183"/>
      <c r="E982" s="71" t="s">
        <v>698</v>
      </c>
      <c r="F982" s="70" t="s">
        <v>2122</v>
      </c>
    </row>
    <row r="983" spans="2:6">
      <c r="B983" s="183"/>
      <c r="C983" s="183"/>
      <c r="D983" s="183"/>
      <c r="E983" s="71" t="s">
        <v>700</v>
      </c>
      <c r="F983" s="70" t="s">
        <v>2123</v>
      </c>
    </row>
    <row r="984" spans="2:6">
      <c r="B984" s="183"/>
      <c r="C984" s="183"/>
      <c r="D984" s="183"/>
      <c r="E984" s="71" t="s">
        <v>674</v>
      </c>
      <c r="F984" s="70" t="s">
        <v>2124</v>
      </c>
    </row>
    <row r="985" spans="2:6">
      <c r="B985" s="183"/>
      <c r="C985" s="183"/>
      <c r="D985" s="183"/>
      <c r="E985" s="71" t="s">
        <v>673</v>
      </c>
      <c r="F985" s="70" t="s">
        <v>2125</v>
      </c>
    </row>
    <row r="986" spans="2:6">
      <c r="B986" s="183"/>
      <c r="C986" s="183"/>
      <c r="D986" s="183"/>
      <c r="E986" s="71" t="s">
        <v>474</v>
      </c>
      <c r="F986" s="70" t="s">
        <v>2126</v>
      </c>
    </row>
    <row r="987" spans="2:6">
      <c r="B987" s="183"/>
      <c r="C987" s="183"/>
      <c r="D987" s="183"/>
      <c r="E987" s="71" t="s">
        <v>676</v>
      </c>
      <c r="F987" s="70" t="s">
        <v>2127</v>
      </c>
    </row>
    <row r="988" spans="2:6">
      <c r="B988" s="183"/>
      <c r="C988" s="183"/>
      <c r="D988" s="183"/>
      <c r="E988" s="71" t="s">
        <v>677</v>
      </c>
      <c r="F988" s="70" t="s">
        <v>2128</v>
      </c>
    </row>
    <row r="989" spans="2:6">
      <c r="B989" s="113">
        <v>197</v>
      </c>
      <c r="C989" s="95">
        <v>44419</v>
      </c>
      <c r="D989" s="113" t="s">
        <v>685</v>
      </c>
      <c r="E989" s="184"/>
      <c r="F989" s="185"/>
    </row>
    <row r="990" spans="2:6">
      <c r="B990" s="182"/>
      <c r="C990" s="182"/>
      <c r="D990" s="182"/>
      <c r="E990" s="71" t="s">
        <v>1835</v>
      </c>
      <c r="F990" s="70" t="s">
        <v>2130</v>
      </c>
    </row>
    <row r="991" spans="2:6">
      <c r="B991" s="183"/>
      <c r="C991" s="183"/>
      <c r="D991" s="183"/>
      <c r="E991" s="71" t="s">
        <v>1849</v>
      </c>
      <c r="F991" s="70" t="s">
        <v>2131</v>
      </c>
    </row>
    <row r="992" spans="2:6">
      <c r="B992" s="183"/>
      <c r="C992" s="183"/>
      <c r="D992" s="183"/>
      <c r="E992" s="71" t="s">
        <v>698</v>
      </c>
      <c r="F992" s="70" t="s">
        <v>2132</v>
      </c>
    </row>
    <row r="993" spans="2:6">
      <c r="B993" s="113">
        <v>198</v>
      </c>
      <c r="C993" s="95">
        <v>44419</v>
      </c>
      <c r="D993" s="113" t="s">
        <v>415</v>
      </c>
      <c r="E993" s="184"/>
      <c r="F993" s="185"/>
    </row>
    <row r="994" spans="2:6">
      <c r="B994" s="182"/>
      <c r="C994" s="182"/>
      <c r="D994" s="182"/>
      <c r="E994" s="71" t="s">
        <v>2066</v>
      </c>
      <c r="F994" s="70" t="s">
        <v>2133</v>
      </c>
    </row>
    <row r="995" spans="2:6">
      <c r="B995" s="183"/>
      <c r="C995" s="183"/>
      <c r="D995" s="183"/>
      <c r="E995" s="71" t="s">
        <v>2066</v>
      </c>
      <c r="F995" s="70" t="s">
        <v>2134</v>
      </c>
    </row>
    <row r="996" spans="2:6">
      <c r="B996" s="183"/>
      <c r="C996" s="183"/>
      <c r="D996" s="183"/>
      <c r="E996" s="71" t="s">
        <v>2066</v>
      </c>
      <c r="F996" s="70" t="s">
        <v>2135</v>
      </c>
    </row>
    <row r="997" spans="2:6">
      <c r="B997" s="113" t="s">
        <v>2140</v>
      </c>
      <c r="C997" s="95">
        <v>44420</v>
      </c>
      <c r="D997" s="113" t="s">
        <v>685</v>
      </c>
      <c r="E997" s="184"/>
      <c r="F997" s="185"/>
    </row>
    <row r="998" spans="2:6">
      <c r="B998" s="182"/>
      <c r="C998" s="182"/>
      <c r="D998" s="182"/>
      <c r="E998" s="71" t="s">
        <v>2137</v>
      </c>
      <c r="F998" s="70" t="s">
        <v>2139</v>
      </c>
    </row>
    <row r="999" spans="2:6">
      <c r="B999" s="186"/>
      <c r="C999" s="186"/>
      <c r="D999" s="186"/>
      <c r="E999" s="71" t="s">
        <v>1218</v>
      </c>
      <c r="F999" s="70" t="s">
        <v>2141</v>
      </c>
    </row>
    <row r="1000" spans="2:6">
      <c r="B1000" s="113">
        <v>200</v>
      </c>
      <c r="C1000" s="95">
        <v>44421</v>
      </c>
      <c r="D1000" s="113" t="s">
        <v>415</v>
      </c>
      <c r="E1000" s="184"/>
      <c r="F1000" s="185"/>
    </row>
    <row r="1001" spans="2:6">
      <c r="B1001" s="182"/>
      <c r="C1001" s="182"/>
      <c r="D1001" s="182"/>
      <c r="E1001" s="71" t="s">
        <v>349</v>
      </c>
      <c r="F1001" s="70" t="s">
        <v>2142</v>
      </c>
    </row>
    <row r="1002" spans="2:6">
      <c r="B1002" s="183"/>
      <c r="C1002" s="183"/>
      <c r="D1002" s="183"/>
      <c r="E1002" s="71" t="s">
        <v>349</v>
      </c>
      <c r="F1002" s="70" t="s">
        <v>2143</v>
      </c>
    </row>
    <row r="1003" spans="2:6">
      <c r="B1003" s="113">
        <v>201</v>
      </c>
      <c r="C1003" s="95">
        <v>44421</v>
      </c>
      <c r="D1003" s="113" t="s">
        <v>685</v>
      </c>
      <c r="E1003" s="184"/>
      <c r="F1003" s="185"/>
    </row>
    <row r="1004" spans="2:6">
      <c r="B1004" s="182"/>
      <c r="C1004" s="182"/>
      <c r="D1004" s="182"/>
      <c r="E1004" s="71" t="s">
        <v>50</v>
      </c>
      <c r="F1004" s="70" t="s">
        <v>2144</v>
      </c>
    </row>
    <row r="1005" spans="2:6">
      <c r="B1005" s="183"/>
      <c r="C1005" s="183"/>
      <c r="D1005" s="183"/>
      <c r="E1005" s="71" t="s">
        <v>50</v>
      </c>
      <c r="F1005" s="70" t="s">
        <v>2145</v>
      </c>
    </row>
    <row r="1006" spans="2:6">
      <c r="B1006" s="113">
        <v>202</v>
      </c>
      <c r="C1006" s="95">
        <v>44421</v>
      </c>
      <c r="D1006" s="113" t="s">
        <v>466</v>
      </c>
      <c r="E1006" s="184"/>
      <c r="F1006" s="185"/>
    </row>
    <row r="1007" spans="2:6">
      <c r="B1007" s="182"/>
      <c r="C1007" s="182"/>
      <c r="D1007" s="182"/>
      <c r="E1007" s="71" t="s">
        <v>2149</v>
      </c>
      <c r="F1007" s="70" t="s">
        <v>2150</v>
      </c>
    </row>
    <row r="1008" spans="2:6">
      <c r="B1008" s="183"/>
      <c r="C1008" s="183"/>
      <c r="D1008" s="183"/>
      <c r="E1008" s="71" t="s">
        <v>2151</v>
      </c>
      <c r="F1008" s="70" t="s">
        <v>2152</v>
      </c>
    </row>
    <row r="1009" spans="2:6">
      <c r="B1009" s="183"/>
      <c r="C1009" s="183"/>
      <c r="D1009" s="183"/>
      <c r="E1009" s="71" t="s">
        <v>2153</v>
      </c>
      <c r="F1009" s="70" t="s">
        <v>2154</v>
      </c>
    </row>
    <row r="1010" spans="2:6">
      <c r="B1010" s="183"/>
      <c r="C1010" s="183"/>
      <c r="D1010" s="183"/>
      <c r="E1010" s="71" t="s">
        <v>2155</v>
      </c>
      <c r="F1010" s="70" t="s">
        <v>2156</v>
      </c>
    </row>
    <row r="1011" spans="2:6">
      <c r="B1011" s="183"/>
      <c r="C1011" s="183"/>
      <c r="D1011" s="183"/>
      <c r="E1011" s="71" t="s">
        <v>2157</v>
      </c>
      <c r="F1011" s="70" t="s">
        <v>2158</v>
      </c>
    </row>
    <row r="1012" spans="2:6">
      <c r="B1012" s="113">
        <v>203</v>
      </c>
      <c r="C1012" s="95">
        <v>44421</v>
      </c>
      <c r="D1012" s="113" t="s">
        <v>1384</v>
      </c>
      <c r="E1012" s="184"/>
      <c r="F1012" s="185"/>
    </row>
    <row r="1013" spans="2:6">
      <c r="B1013" s="182"/>
      <c r="C1013" s="182"/>
      <c r="D1013" s="182"/>
      <c r="E1013" s="71" t="s">
        <v>2163</v>
      </c>
      <c r="F1013" s="70" t="s">
        <v>2164</v>
      </c>
    </row>
    <row r="1014" spans="2:6">
      <c r="B1014" s="186"/>
      <c r="C1014" s="186"/>
      <c r="D1014" s="186"/>
      <c r="E1014" s="71" t="s">
        <v>2165</v>
      </c>
      <c r="F1014" s="70" t="s">
        <v>2166</v>
      </c>
    </row>
    <row r="1015" spans="2:6">
      <c r="B1015" s="113">
        <v>204</v>
      </c>
      <c r="C1015" s="95">
        <v>44426</v>
      </c>
      <c r="D1015" s="113" t="s">
        <v>268</v>
      </c>
      <c r="E1015" s="184"/>
      <c r="F1015" s="185"/>
    </row>
    <row r="1016" spans="2:6">
      <c r="B1016" s="114"/>
      <c r="C1016" s="114"/>
      <c r="D1016" s="114"/>
      <c r="E1016" s="71" t="s">
        <v>2171</v>
      </c>
      <c r="F1016" s="70" t="s">
        <v>2078</v>
      </c>
    </row>
    <row r="1017" spans="2:6">
      <c r="B1017" s="113">
        <v>205</v>
      </c>
      <c r="C1017" s="95">
        <v>44426</v>
      </c>
      <c r="D1017" s="113" t="s">
        <v>1384</v>
      </c>
      <c r="E1017" s="184"/>
      <c r="F1017" s="185"/>
    </row>
    <row r="1018" spans="2:6">
      <c r="B1018" s="114"/>
      <c r="C1018" s="114"/>
      <c r="D1018" s="114"/>
      <c r="E1018" s="71">
        <v>4967329</v>
      </c>
      <c r="F1018" s="70" t="s">
        <v>2172</v>
      </c>
    </row>
    <row r="1019" spans="2:6">
      <c r="B1019" s="113">
        <v>206</v>
      </c>
      <c r="C1019" s="95">
        <v>44426</v>
      </c>
      <c r="D1019" s="113" t="s">
        <v>685</v>
      </c>
      <c r="E1019" s="184"/>
      <c r="F1019" s="185"/>
    </row>
    <row r="1020" spans="2:6">
      <c r="B1020" s="182"/>
      <c r="C1020" s="182"/>
      <c r="D1020" s="182"/>
      <c r="E1020" s="71" t="s">
        <v>2175</v>
      </c>
      <c r="F1020" s="70" t="s">
        <v>2176</v>
      </c>
    </row>
    <row r="1021" spans="2:6">
      <c r="B1021" s="183"/>
      <c r="C1021" s="183"/>
      <c r="D1021" s="183"/>
      <c r="E1021" s="71" t="s">
        <v>2177</v>
      </c>
      <c r="F1021" s="70" t="s">
        <v>2178</v>
      </c>
    </row>
    <row r="1022" spans="2:6">
      <c r="B1022" s="183"/>
      <c r="C1022" s="183"/>
      <c r="D1022" s="183"/>
      <c r="E1022" s="71" t="s">
        <v>2179</v>
      </c>
      <c r="F1022" s="70" t="s">
        <v>2180</v>
      </c>
    </row>
    <row r="1023" spans="2:6">
      <c r="B1023" s="183"/>
      <c r="C1023" s="183"/>
      <c r="D1023" s="183"/>
      <c r="E1023" s="71" t="s">
        <v>2181</v>
      </c>
      <c r="F1023" s="70" t="s">
        <v>2182</v>
      </c>
    </row>
    <row r="1024" spans="2:6">
      <c r="B1024" s="183"/>
      <c r="C1024" s="183"/>
      <c r="D1024" s="183"/>
      <c r="E1024" s="71" t="s">
        <v>2183</v>
      </c>
      <c r="F1024" s="70" t="s">
        <v>2184</v>
      </c>
    </row>
    <row r="1025" spans="2:6">
      <c r="B1025" s="183"/>
      <c r="C1025" s="183"/>
      <c r="D1025" s="183"/>
      <c r="E1025" s="71" t="s">
        <v>2185</v>
      </c>
      <c r="F1025" s="70" t="s">
        <v>2186</v>
      </c>
    </row>
    <row r="1026" spans="2:6">
      <c r="B1026" s="183"/>
      <c r="C1026" s="183"/>
      <c r="D1026" s="183"/>
      <c r="E1026" s="71" t="s">
        <v>2187</v>
      </c>
      <c r="F1026" s="70" t="s">
        <v>2188</v>
      </c>
    </row>
    <row r="1027" spans="2:6">
      <c r="B1027" s="183"/>
      <c r="C1027" s="183"/>
      <c r="D1027" s="183"/>
      <c r="E1027" s="71" t="s">
        <v>2189</v>
      </c>
      <c r="F1027" s="70" t="s">
        <v>2190</v>
      </c>
    </row>
    <row r="1028" spans="2:6">
      <c r="B1028" s="113">
        <v>207</v>
      </c>
      <c r="C1028" s="95">
        <v>44426</v>
      </c>
      <c r="D1028" s="113" t="s">
        <v>745</v>
      </c>
      <c r="E1028" s="184"/>
      <c r="F1028" s="185"/>
    </row>
    <row r="1029" spans="2:6">
      <c r="B1029" s="182"/>
      <c r="C1029" s="182"/>
      <c r="D1029" s="182"/>
      <c r="E1029" s="71" t="s">
        <v>2194</v>
      </c>
      <c r="F1029" s="70" t="s">
        <v>722</v>
      </c>
    </row>
    <row r="1030" spans="2:6">
      <c r="B1030" s="186"/>
      <c r="C1030" s="186"/>
      <c r="D1030" s="186"/>
      <c r="E1030" s="71" t="s">
        <v>2195</v>
      </c>
      <c r="F1030" s="70" t="s">
        <v>747</v>
      </c>
    </row>
    <row r="1031" spans="2:6">
      <c r="B1031" s="113">
        <v>208</v>
      </c>
      <c r="C1031" s="95">
        <v>44428</v>
      </c>
      <c r="D1031" s="113" t="s">
        <v>415</v>
      </c>
      <c r="E1031" s="184"/>
      <c r="F1031" s="185"/>
    </row>
    <row r="1032" spans="2:6">
      <c r="B1032" s="114"/>
      <c r="C1032" s="114"/>
      <c r="D1032" s="114"/>
      <c r="E1032" s="71">
        <v>2014551</v>
      </c>
      <c r="F1032" s="70" t="s">
        <v>2065</v>
      </c>
    </row>
    <row r="1033" spans="2:6">
      <c r="B1033" s="113">
        <v>209</v>
      </c>
      <c r="C1033" s="95">
        <v>44431</v>
      </c>
      <c r="D1033" s="113" t="s">
        <v>685</v>
      </c>
      <c r="E1033" s="184"/>
      <c r="F1033" s="185"/>
    </row>
    <row r="1034" spans="2:6">
      <c r="B1034" s="182"/>
      <c r="C1034" s="182"/>
      <c r="D1034" s="182"/>
      <c r="E1034" s="71" t="s">
        <v>349</v>
      </c>
      <c r="F1034" s="70" t="s">
        <v>2196</v>
      </c>
    </row>
    <row r="1035" spans="2:6">
      <c r="B1035" s="183"/>
      <c r="C1035" s="183"/>
      <c r="D1035" s="183"/>
      <c r="E1035" s="71" t="s">
        <v>349</v>
      </c>
      <c r="F1035" s="70" t="s">
        <v>2197</v>
      </c>
    </row>
    <row r="1036" spans="2:6">
      <c r="B1036" s="113">
        <v>210</v>
      </c>
      <c r="C1036" s="95">
        <v>44432</v>
      </c>
      <c r="D1036" s="113" t="s">
        <v>268</v>
      </c>
      <c r="E1036" s="184"/>
      <c r="F1036" s="185"/>
    </row>
    <row r="1037" spans="2:6">
      <c r="B1037" s="182"/>
      <c r="C1037" s="182"/>
      <c r="D1037" s="182"/>
      <c r="E1037" s="71" t="s">
        <v>2203</v>
      </c>
      <c r="F1037" s="70" t="s">
        <v>748</v>
      </c>
    </row>
    <row r="1038" spans="2:6">
      <c r="B1038" s="183"/>
      <c r="C1038" s="183"/>
      <c r="D1038" s="183"/>
      <c r="E1038" s="71" t="s">
        <v>2204</v>
      </c>
      <c r="F1038" s="70" t="s">
        <v>749</v>
      </c>
    </row>
    <row r="1039" spans="2:6">
      <c r="B1039" s="113">
        <v>211</v>
      </c>
      <c r="C1039" s="95">
        <v>44438</v>
      </c>
      <c r="D1039" s="113" t="s">
        <v>685</v>
      </c>
      <c r="E1039" s="184"/>
      <c r="F1039" s="185"/>
    </row>
    <row r="1040" spans="2:6">
      <c r="B1040" s="182"/>
      <c r="C1040" s="182"/>
      <c r="D1040" s="182"/>
      <c r="E1040" s="71" t="s">
        <v>474</v>
      </c>
      <c r="F1040" s="70" t="s">
        <v>2208</v>
      </c>
    </row>
    <row r="1041" spans="2:6">
      <c r="B1041" s="183"/>
      <c r="C1041" s="183"/>
      <c r="D1041" s="183"/>
      <c r="E1041" s="71" t="s">
        <v>676</v>
      </c>
      <c r="F1041" s="70" t="s">
        <v>2209</v>
      </c>
    </row>
    <row r="1042" spans="2:6">
      <c r="B1042" s="183"/>
      <c r="C1042" s="183"/>
      <c r="D1042" s="183"/>
      <c r="E1042" s="71" t="s">
        <v>2187</v>
      </c>
      <c r="F1042" s="70" t="s">
        <v>2210</v>
      </c>
    </row>
    <row r="1043" spans="2:6">
      <c r="B1043" s="113">
        <v>212</v>
      </c>
      <c r="C1043" s="95">
        <v>44438</v>
      </c>
      <c r="D1043" s="113" t="s">
        <v>466</v>
      </c>
      <c r="E1043" s="184"/>
      <c r="F1043" s="185"/>
    </row>
    <row r="1044" spans="2:6">
      <c r="B1044" s="182"/>
      <c r="C1044" s="182"/>
      <c r="D1044" s="182"/>
      <c r="E1044" s="71" t="s">
        <v>349</v>
      </c>
      <c r="F1044" s="70" t="s">
        <v>2228</v>
      </c>
    </row>
    <row r="1045" spans="2:6">
      <c r="B1045" s="183"/>
      <c r="C1045" s="183"/>
      <c r="D1045" s="183"/>
      <c r="E1045" s="71" t="s">
        <v>349</v>
      </c>
      <c r="F1045" s="70" t="s">
        <v>2229</v>
      </c>
    </row>
    <row r="1046" spans="2:6">
      <c r="B1046" s="113" t="s">
        <v>2233</v>
      </c>
      <c r="C1046" s="95">
        <v>44438</v>
      </c>
      <c r="D1046" s="113" t="s">
        <v>1384</v>
      </c>
      <c r="E1046" s="184"/>
      <c r="F1046" s="185"/>
    </row>
    <row r="1047" spans="2:6">
      <c r="B1047" s="183"/>
      <c r="C1047" s="183"/>
      <c r="D1047" s="183"/>
      <c r="E1047" s="71" t="s">
        <v>2211</v>
      </c>
      <c r="F1047" s="70" t="s">
        <v>2213</v>
      </c>
    </row>
    <row r="1048" spans="2:6">
      <c r="B1048" s="183"/>
      <c r="C1048" s="183"/>
      <c r="D1048" s="183"/>
      <c r="E1048" s="71" t="s">
        <v>2212</v>
      </c>
      <c r="F1048" s="70" t="s">
        <v>2214</v>
      </c>
    </row>
    <row r="1049" spans="2:6">
      <c r="B1049" s="183"/>
      <c r="C1049" s="183"/>
      <c r="D1049" s="183"/>
      <c r="E1049" s="71" t="s">
        <v>2215</v>
      </c>
      <c r="F1049" s="70" t="s">
        <v>2220</v>
      </c>
    </row>
    <row r="1050" spans="2:6">
      <c r="B1050" s="183"/>
      <c r="C1050" s="183"/>
      <c r="D1050" s="183"/>
      <c r="E1050" s="71" t="s">
        <v>2216</v>
      </c>
      <c r="F1050" s="70" t="s">
        <v>2221</v>
      </c>
    </row>
    <row r="1051" spans="2:6">
      <c r="B1051" s="183"/>
      <c r="C1051" s="183"/>
      <c r="D1051" s="183"/>
      <c r="E1051" s="71" t="s">
        <v>2217</v>
      </c>
      <c r="F1051" s="70" t="s">
        <v>2222</v>
      </c>
    </row>
    <row r="1052" spans="2:6">
      <c r="B1052" s="183"/>
      <c r="C1052" s="183"/>
      <c r="D1052" s="183"/>
      <c r="E1052" s="71" t="s">
        <v>2218</v>
      </c>
      <c r="F1052" s="70" t="s">
        <v>2223</v>
      </c>
    </row>
    <row r="1053" spans="2:6">
      <c r="B1053" s="183"/>
      <c r="C1053" s="183"/>
      <c r="D1053" s="183"/>
      <c r="E1053" s="71" t="s">
        <v>2219</v>
      </c>
      <c r="F1053" s="70" t="s">
        <v>2224</v>
      </c>
    </row>
    <row r="1054" spans="2:6">
      <c r="B1054" s="183"/>
      <c r="C1054" s="183"/>
      <c r="D1054" s="183"/>
      <c r="E1054" s="71" t="s">
        <v>2231</v>
      </c>
      <c r="F1054" s="70" t="s">
        <v>2232</v>
      </c>
    </row>
    <row r="1055" spans="2:6">
      <c r="B1055" s="113">
        <v>214</v>
      </c>
      <c r="C1055" s="95">
        <v>44438</v>
      </c>
      <c r="D1055" s="113" t="s">
        <v>466</v>
      </c>
      <c r="E1055" s="184"/>
      <c r="F1055" s="185"/>
    </row>
    <row r="1056" spans="2:6">
      <c r="B1056" s="182"/>
      <c r="C1056" s="182"/>
      <c r="D1056" s="182"/>
      <c r="E1056" s="71" t="s">
        <v>349</v>
      </c>
      <c r="F1056" s="70" t="s">
        <v>2234</v>
      </c>
    </row>
    <row r="1057" spans="2:6">
      <c r="B1057" s="183"/>
      <c r="C1057" s="183"/>
      <c r="D1057" s="183"/>
      <c r="E1057" s="71" t="s">
        <v>349</v>
      </c>
      <c r="F1057" s="70" t="s">
        <v>2235</v>
      </c>
    </row>
    <row r="1058" spans="2:6">
      <c r="B1058" s="183"/>
      <c r="C1058" s="183"/>
      <c r="D1058" s="183"/>
      <c r="E1058" s="71" t="s">
        <v>349</v>
      </c>
      <c r="F1058" s="70" t="s">
        <v>2236</v>
      </c>
    </row>
    <row r="1059" spans="2:6">
      <c r="B1059" s="183"/>
      <c r="C1059" s="183"/>
      <c r="D1059" s="183"/>
      <c r="E1059" s="71" t="s">
        <v>349</v>
      </c>
      <c r="F1059" s="70" t="s">
        <v>2237</v>
      </c>
    </row>
    <row r="1060" spans="2:6">
      <c r="B1060" s="183"/>
      <c r="C1060" s="183"/>
      <c r="D1060" s="183"/>
      <c r="E1060" s="71" t="s">
        <v>1901</v>
      </c>
      <c r="F1060" s="70" t="s">
        <v>2238</v>
      </c>
    </row>
    <row r="1061" spans="2:6">
      <c r="B1061" s="183"/>
      <c r="C1061" s="183"/>
      <c r="D1061" s="183"/>
      <c r="E1061" s="71" t="s">
        <v>2239</v>
      </c>
      <c r="F1061" s="70" t="s">
        <v>2240</v>
      </c>
    </row>
    <row r="1062" spans="2:6">
      <c r="B1062" s="183"/>
      <c r="C1062" s="183"/>
      <c r="D1062" s="183"/>
      <c r="E1062" s="71" t="s">
        <v>349</v>
      </c>
      <c r="F1062" s="70" t="s">
        <v>2241</v>
      </c>
    </row>
    <row r="1063" spans="2:6">
      <c r="B1063" s="113">
        <v>215</v>
      </c>
      <c r="C1063" s="95">
        <v>44439</v>
      </c>
      <c r="D1063" s="113" t="s">
        <v>814</v>
      </c>
      <c r="E1063" s="184"/>
      <c r="F1063" s="185"/>
    </row>
    <row r="1064" spans="2:6">
      <c r="B1064" s="114"/>
      <c r="C1064" s="114"/>
      <c r="D1064" s="114"/>
      <c r="E1064" s="71" t="s">
        <v>2243</v>
      </c>
      <c r="F1064" s="70" t="s">
        <v>2245</v>
      </c>
    </row>
    <row r="1065" spans="2:6">
      <c r="B1065" s="113">
        <v>216</v>
      </c>
      <c r="C1065" s="95">
        <v>44447</v>
      </c>
      <c r="D1065" s="113" t="s">
        <v>814</v>
      </c>
      <c r="E1065" s="184"/>
      <c r="F1065" s="185"/>
    </row>
    <row r="1066" spans="2:6">
      <c r="B1066" s="182"/>
      <c r="C1066" s="182"/>
      <c r="D1066" s="182"/>
      <c r="E1066" s="71" t="s">
        <v>2243</v>
      </c>
      <c r="F1066" s="70" t="s">
        <v>2249</v>
      </c>
    </row>
    <row r="1067" spans="2:6">
      <c r="B1067" s="186"/>
      <c r="C1067" s="186"/>
      <c r="D1067" s="186"/>
      <c r="E1067" s="71" t="s">
        <v>2248</v>
      </c>
      <c r="F1067" s="70" t="s">
        <v>2250</v>
      </c>
    </row>
    <row r="1068" spans="2:6">
      <c r="B1068" s="113">
        <v>217</v>
      </c>
      <c r="C1068" s="95">
        <v>44447</v>
      </c>
      <c r="D1068" s="113" t="s">
        <v>466</v>
      </c>
      <c r="E1068" s="184"/>
      <c r="F1068" s="185"/>
    </row>
    <row r="1069" spans="2:6">
      <c r="B1069" s="182"/>
      <c r="C1069" s="182"/>
      <c r="D1069" s="182"/>
      <c r="E1069" s="71" t="s">
        <v>349</v>
      </c>
      <c r="F1069" s="70" t="s">
        <v>2253</v>
      </c>
    </row>
    <row r="1070" spans="2:6">
      <c r="B1070" s="186"/>
      <c r="C1070" s="186"/>
      <c r="D1070" s="186"/>
      <c r="E1070" s="71" t="s">
        <v>349</v>
      </c>
      <c r="F1070" s="70" t="s">
        <v>2254</v>
      </c>
    </row>
    <row r="1071" spans="2:6">
      <c r="B1071" s="113">
        <v>218</v>
      </c>
      <c r="C1071" s="95">
        <v>44452</v>
      </c>
      <c r="D1071" s="113" t="s">
        <v>685</v>
      </c>
      <c r="E1071" s="184"/>
      <c r="F1071" s="185"/>
    </row>
    <row r="1072" spans="2:6">
      <c r="B1072" s="182"/>
      <c r="C1072" s="182"/>
      <c r="D1072" s="182"/>
      <c r="E1072" s="71" t="s">
        <v>1344</v>
      </c>
      <c r="F1072" s="70" t="s">
        <v>2262</v>
      </c>
    </row>
    <row r="1073" spans="2:6">
      <c r="B1073" s="183"/>
      <c r="C1073" s="183"/>
      <c r="D1073" s="183"/>
      <c r="E1073" s="71" t="s">
        <v>673</v>
      </c>
      <c r="F1073" s="70" t="s">
        <v>2263</v>
      </c>
    </row>
    <row r="1074" spans="2:6">
      <c r="B1074" s="183"/>
      <c r="C1074" s="183"/>
      <c r="D1074" s="183"/>
      <c r="E1074" s="71" t="s">
        <v>474</v>
      </c>
      <c r="F1074" s="70" t="s">
        <v>2264</v>
      </c>
    </row>
    <row r="1075" spans="2:6">
      <c r="B1075" s="183"/>
      <c r="C1075" s="183"/>
      <c r="D1075" s="183"/>
      <c r="E1075" s="71" t="s">
        <v>1218</v>
      </c>
      <c r="F1075" s="70" t="s">
        <v>2265</v>
      </c>
    </row>
    <row r="1076" spans="2:6">
      <c r="B1076" s="183"/>
      <c r="C1076" s="183"/>
      <c r="D1076" s="183"/>
      <c r="E1076" s="71" t="s">
        <v>2181</v>
      </c>
      <c r="F1076" s="70" t="s">
        <v>2266</v>
      </c>
    </row>
    <row r="1077" spans="2:6">
      <c r="B1077" s="183"/>
      <c r="C1077" s="183"/>
      <c r="D1077" s="183"/>
      <c r="E1077" s="71" t="s">
        <v>2187</v>
      </c>
      <c r="F1077" s="70" t="s">
        <v>2267</v>
      </c>
    </row>
    <row r="1078" spans="2:6">
      <c r="B1078" s="183"/>
      <c r="C1078" s="183"/>
      <c r="D1078" s="183"/>
      <c r="E1078" s="71" t="s">
        <v>2257</v>
      </c>
      <c r="F1078" s="70" t="s">
        <v>2268</v>
      </c>
    </row>
    <row r="1079" spans="2:6">
      <c r="B1079" s="183"/>
      <c r="C1079" s="183"/>
      <c r="D1079" s="183"/>
      <c r="E1079" s="71" t="s">
        <v>2258</v>
      </c>
      <c r="F1079" s="70" t="s">
        <v>2269</v>
      </c>
    </row>
    <row r="1080" spans="2:6">
      <c r="B1080" s="113">
        <v>219</v>
      </c>
      <c r="C1080" s="95">
        <v>44452</v>
      </c>
      <c r="D1080" s="113" t="s">
        <v>415</v>
      </c>
      <c r="E1080" s="184"/>
      <c r="F1080" s="185"/>
    </row>
    <row r="1081" spans="2:6">
      <c r="B1081" s="114"/>
      <c r="C1081" s="114"/>
      <c r="D1081" s="114"/>
      <c r="E1081" s="71" t="s">
        <v>2270</v>
      </c>
      <c r="F1081" s="70" t="s">
        <v>2065</v>
      </c>
    </row>
    <row r="1082" spans="2:6">
      <c r="B1082" s="113">
        <v>220</v>
      </c>
      <c r="C1082" s="95">
        <v>44455</v>
      </c>
      <c r="D1082" s="113" t="s">
        <v>466</v>
      </c>
      <c r="E1082" s="184"/>
      <c r="F1082" s="185"/>
    </row>
    <row r="1083" spans="2:6">
      <c r="B1083" s="182"/>
      <c r="C1083" s="182"/>
      <c r="D1083" s="182"/>
      <c r="E1083" s="71" t="s">
        <v>2274</v>
      </c>
      <c r="F1083" s="70" t="s">
        <v>2275</v>
      </c>
    </row>
    <row r="1084" spans="2:6">
      <c r="B1084" s="183"/>
      <c r="C1084" s="183"/>
      <c r="D1084" s="183"/>
      <c r="E1084" s="71" t="s">
        <v>2276</v>
      </c>
      <c r="F1084" s="70" t="s">
        <v>2277</v>
      </c>
    </row>
    <row r="1085" spans="2:6">
      <c r="B1085" s="183"/>
      <c r="C1085" s="183"/>
      <c r="D1085" s="183"/>
      <c r="E1085" s="71" t="s">
        <v>2276</v>
      </c>
      <c r="F1085" s="70" t="s">
        <v>2278</v>
      </c>
    </row>
    <row r="1086" spans="2:6">
      <c r="B1086" s="113">
        <v>221</v>
      </c>
      <c r="C1086" s="95">
        <v>44456</v>
      </c>
      <c r="D1086" s="113" t="s">
        <v>1212</v>
      </c>
      <c r="E1086" s="184"/>
      <c r="F1086" s="185"/>
    </row>
    <row r="1087" spans="2:6">
      <c r="B1087" s="182"/>
      <c r="C1087" s="182"/>
      <c r="D1087" s="182"/>
      <c r="E1087" s="71" t="s">
        <v>2279</v>
      </c>
      <c r="F1087" s="70" t="s">
        <v>1212</v>
      </c>
    </row>
    <row r="1088" spans="2:6">
      <c r="B1088" s="186"/>
      <c r="C1088" s="186"/>
      <c r="D1088" s="186"/>
      <c r="E1088" s="71" t="s">
        <v>2279</v>
      </c>
      <c r="F1088" s="70" t="s">
        <v>1739</v>
      </c>
    </row>
    <row r="1089" spans="2:6">
      <c r="B1089" s="113">
        <v>222</v>
      </c>
      <c r="C1089" s="95">
        <v>44461</v>
      </c>
      <c r="D1089" s="113" t="s">
        <v>1384</v>
      </c>
      <c r="E1089" s="184"/>
      <c r="F1089" s="185"/>
    </row>
    <row r="1090" spans="2:6">
      <c r="B1090" s="182"/>
      <c r="C1090" s="182"/>
      <c r="D1090" s="182"/>
      <c r="E1090" s="71" t="s">
        <v>2280</v>
      </c>
      <c r="F1090" s="70" t="s">
        <v>2283</v>
      </c>
    </row>
    <row r="1091" spans="2:6">
      <c r="B1091" s="186"/>
      <c r="C1091" s="186"/>
      <c r="D1091" s="186"/>
      <c r="E1091" s="71" t="s">
        <v>2282</v>
      </c>
      <c r="F1091" s="70" t="s">
        <v>2284</v>
      </c>
    </row>
    <row r="1092" spans="2:6">
      <c r="B1092" s="113">
        <v>223</v>
      </c>
      <c r="C1092" s="95">
        <v>44469</v>
      </c>
      <c r="D1092" s="113" t="s">
        <v>28</v>
      </c>
      <c r="E1092" s="184"/>
      <c r="F1092" s="185"/>
    </row>
    <row r="1093" spans="2:6">
      <c r="B1093" s="114"/>
      <c r="C1093" s="114"/>
      <c r="D1093" s="114"/>
      <c r="E1093" s="71" t="s">
        <v>2286</v>
      </c>
      <c r="F1093" s="70" t="s">
        <v>2287</v>
      </c>
    </row>
    <row r="1094" spans="2:6">
      <c r="B1094" s="113">
        <v>224</v>
      </c>
      <c r="C1094" s="95">
        <v>44472</v>
      </c>
      <c r="D1094" s="113" t="s">
        <v>1384</v>
      </c>
      <c r="E1094" s="184"/>
      <c r="F1094" s="185"/>
    </row>
    <row r="1095" spans="2:6">
      <c r="B1095" s="182"/>
      <c r="C1095" s="182"/>
      <c r="D1095" s="182"/>
      <c r="E1095" s="71" t="s">
        <v>2289</v>
      </c>
      <c r="F1095" s="70" t="s">
        <v>2290</v>
      </c>
    </row>
    <row r="1096" spans="2:6">
      <c r="B1096" s="183"/>
      <c r="C1096" s="183"/>
      <c r="D1096" s="183"/>
      <c r="E1096" s="71">
        <v>4750369</v>
      </c>
      <c r="F1096" s="70" t="s">
        <v>2291</v>
      </c>
    </row>
    <row r="1097" spans="2:6">
      <c r="B1097" s="183"/>
      <c r="C1097" s="183"/>
      <c r="D1097" s="183"/>
      <c r="E1097" s="71">
        <v>4752222</v>
      </c>
      <c r="F1097" s="70" t="s">
        <v>2292</v>
      </c>
    </row>
    <row r="1098" spans="2:6">
      <c r="B1098" s="183"/>
      <c r="C1098" s="183"/>
      <c r="D1098" s="183"/>
      <c r="E1098" s="71">
        <v>4781091</v>
      </c>
      <c r="F1098" s="70" t="s">
        <v>2293</v>
      </c>
    </row>
    <row r="1099" spans="2:6">
      <c r="B1099" s="186"/>
      <c r="C1099" s="186"/>
      <c r="D1099" s="186"/>
      <c r="E1099" s="71">
        <v>4781091</v>
      </c>
      <c r="F1099" s="70" t="s">
        <v>2294</v>
      </c>
    </row>
    <row r="1100" spans="2:6">
      <c r="B1100" s="113">
        <v>225</v>
      </c>
      <c r="C1100" s="95">
        <v>44473</v>
      </c>
      <c r="D1100" s="113" t="s">
        <v>466</v>
      </c>
      <c r="E1100" s="184"/>
      <c r="F1100" s="185"/>
    </row>
    <row r="1101" spans="2:6">
      <c r="B1101" s="114"/>
      <c r="C1101" s="114"/>
      <c r="D1101" s="114"/>
      <c r="E1101" s="71" t="s">
        <v>349</v>
      </c>
      <c r="F1101" s="70" t="s">
        <v>2295</v>
      </c>
    </row>
    <row r="1102" spans="2:6">
      <c r="B1102" s="113">
        <v>226</v>
      </c>
      <c r="C1102" s="95">
        <v>44473</v>
      </c>
      <c r="D1102" s="113" t="s">
        <v>814</v>
      </c>
      <c r="E1102" s="184"/>
      <c r="F1102" s="185"/>
    </row>
    <row r="1103" spans="2:6">
      <c r="B1103" s="182"/>
      <c r="C1103" s="182"/>
      <c r="D1103" s="182"/>
      <c r="E1103" s="71" t="s">
        <v>1437</v>
      </c>
      <c r="F1103" s="70" t="s">
        <v>2302</v>
      </c>
    </row>
    <row r="1104" spans="2:6">
      <c r="B1104" s="183"/>
      <c r="C1104" s="183"/>
      <c r="D1104" s="183"/>
      <c r="E1104" s="71" t="s">
        <v>1291</v>
      </c>
      <c r="F1104" s="70" t="s">
        <v>2303</v>
      </c>
    </row>
    <row r="1105" spans="2:6">
      <c r="B1105" s="183"/>
      <c r="C1105" s="183"/>
      <c r="D1105" s="183"/>
      <c r="E1105" s="71" t="s">
        <v>1292</v>
      </c>
      <c r="F1105" s="70" t="s">
        <v>2304</v>
      </c>
    </row>
    <row r="1106" spans="2:6">
      <c r="B1106" s="183"/>
      <c r="C1106" s="183"/>
      <c r="D1106" s="183"/>
      <c r="E1106" s="71" t="s">
        <v>1293</v>
      </c>
      <c r="F1106" s="70" t="s">
        <v>2305</v>
      </c>
    </row>
    <row r="1107" spans="2:6">
      <c r="B1107" s="183"/>
      <c r="C1107" s="183"/>
      <c r="D1107" s="183"/>
      <c r="E1107" s="71" t="s">
        <v>1294</v>
      </c>
      <c r="F1107" s="70" t="s">
        <v>2306</v>
      </c>
    </row>
    <row r="1108" spans="2:6">
      <c r="B1108" s="183"/>
      <c r="C1108" s="183"/>
      <c r="D1108" s="183"/>
      <c r="E1108" s="71" t="s">
        <v>1295</v>
      </c>
      <c r="F1108" s="70" t="s">
        <v>2307</v>
      </c>
    </row>
    <row r="1109" spans="2:6">
      <c r="B1109" s="183"/>
      <c r="C1109" s="183"/>
      <c r="D1109" s="183"/>
      <c r="E1109" s="71" t="s">
        <v>1296</v>
      </c>
      <c r="F1109" s="70" t="s">
        <v>2308</v>
      </c>
    </row>
    <row r="1110" spans="2:6">
      <c r="B1110" s="183"/>
      <c r="C1110" s="183"/>
      <c r="D1110" s="183"/>
      <c r="E1110" s="71" t="s">
        <v>1297</v>
      </c>
      <c r="F1110" s="70" t="s">
        <v>2309</v>
      </c>
    </row>
    <row r="1111" spans="2:6">
      <c r="B1111" s="183"/>
      <c r="C1111" s="183"/>
      <c r="D1111" s="183"/>
      <c r="E1111" s="71" t="s">
        <v>1298</v>
      </c>
      <c r="F1111" s="70" t="s">
        <v>2310</v>
      </c>
    </row>
    <row r="1112" spans="2:6">
      <c r="B1112" s="183"/>
      <c r="C1112" s="183"/>
      <c r="D1112" s="183"/>
      <c r="E1112" s="71" t="s">
        <v>1299</v>
      </c>
      <c r="F1112" s="70" t="s">
        <v>2311</v>
      </c>
    </row>
    <row r="1113" spans="2:6">
      <c r="B1113" s="183"/>
      <c r="C1113" s="183"/>
      <c r="D1113" s="183"/>
      <c r="E1113" s="71" t="s">
        <v>50</v>
      </c>
      <c r="F1113" s="70" t="s">
        <v>2312</v>
      </c>
    </row>
    <row r="1114" spans="2:6">
      <c r="B1114" s="183"/>
      <c r="C1114" s="183"/>
      <c r="D1114" s="183"/>
      <c r="E1114" s="71" t="s">
        <v>50</v>
      </c>
      <c r="F1114" s="70" t="s">
        <v>247</v>
      </c>
    </row>
    <row r="1115" spans="2:6">
      <c r="B1115" s="183"/>
      <c r="C1115" s="183"/>
      <c r="D1115" s="183"/>
      <c r="E1115" s="71" t="s">
        <v>50</v>
      </c>
      <c r="F1115" s="70" t="s">
        <v>2299</v>
      </c>
    </row>
    <row r="1116" spans="2:6">
      <c r="B1116" s="186"/>
      <c r="C1116" s="186"/>
      <c r="D1116" s="186"/>
      <c r="E1116" s="71" t="s">
        <v>50</v>
      </c>
      <c r="F1116" s="70" t="s">
        <v>2296</v>
      </c>
    </row>
    <row r="1117" spans="2:6">
      <c r="B1117" s="113">
        <v>227</v>
      </c>
      <c r="C1117" s="95">
        <v>44473</v>
      </c>
      <c r="D1117" s="113" t="s">
        <v>268</v>
      </c>
      <c r="E1117" s="184"/>
      <c r="F1117" s="185"/>
    </row>
    <row r="1118" spans="2:6">
      <c r="B1118" s="114"/>
      <c r="C1118" s="114"/>
      <c r="D1118" s="114"/>
      <c r="E1118" s="71" t="s">
        <v>2314</v>
      </c>
      <c r="F1118" s="70" t="s">
        <v>748</v>
      </c>
    </row>
    <row r="1119" spans="2:6">
      <c r="B1119" s="113">
        <v>228</v>
      </c>
      <c r="C1119" s="95">
        <v>44474</v>
      </c>
      <c r="D1119" s="113" t="s">
        <v>466</v>
      </c>
      <c r="E1119" s="184"/>
      <c r="F1119" s="185"/>
    </row>
    <row r="1120" spans="2:6">
      <c r="B1120" s="182"/>
      <c r="C1120" s="182"/>
      <c r="D1120" s="182"/>
      <c r="E1120" s="71" t="s">
        <v>2315</v>
      </c>
      <c r="F1120" s="70" t="s">
        <v>2316</v>
      </c>
    </row>
    <row r="1121" spans="2:6">
      <c r="B1121" s="183"/>
      <c r="C1121" s="183"/>
      <c r="D1121" s="183"/>
      <c r="E1121" s="71" t="s">
        <v>349</v>
      </c>
      <c r="F1121" s="70" t="s">
        <v>2317</v>
      </c>
    </row>
    <row r="1122" spans="2:6">
      <c r="B1122" s="113">
        <v>229</v>
      </c>
      <c r="C1122" s="95">
        <v>44474</v>
      </c>
      <c r="D1122" s="113" t="s">
        <v>415</v>
      </c>
      <c r="E1122" s="184"/>
      <c r="F1122" s="185"/>
    </row>
    <row r="1123" spans="2:6">
      <c r="B1123" s="114"/>
      <c r="C1123" s="114"/>
      <c r="D1123" s="114"/>
      <c r="E1123" s="71" t="s">
        <v>2321</v>
      </c>
      <c r="F1123" s="70" t="s">
        <v>2054</v>
      </c>
    </row>
    <row r="1124" spans="2:6">
      <c r="B1124" s="113">
        <v>230</v>
      </c>
      <c r="C1124" s="95">
        <v>44474</v>
      </c>
      <c r="D1124" s="113" t="s">
        <v>685</v>
      </c>
      <c r="E1124" s="184"/>
      <c r="F1124" s="185"/>
    </row>
    <row r="1125" spans="2:6">
      <c r="B1125" s="182"/>
      <c r="C1125" s="182"/>
      <c r="D1125" s="182"/>
      <c r="E1125" s="71" t="s">
        <v>689</v>
      </c>
      <c r="F1125" s="70" t="s">
        <v>2322</v>
      </c>
    </row>
    <row r="1126" spans="2:6">
      <c r="B1126" s="183"/>
      <c r="C1126" s="183"/>
      <c r="D1126" s="183"/>
      <c r="E1126" s="71" t="s">
        <v>1330</v>
      </c>
      <c r="F1126" s="70" t="s">
        <v>2323</v>
      </c>
    </row>
    <row r="1127" spans="2:6">
      <c r="B1127" s="183"/>
      <c r="C1127" s="183"/>
      <c r="D1127" s="183"/>
      <c r="E1127" s="71" t="s">
        <v>693</v>
      </c>
      <c r="F1127" s="70" t="s">
        <v>2324</v>
      </c>
    </row>
    <row r="1128" spans="2:6">
      <c r="B1128" s="183"/>
      <c r="C1128" s="183"/>
      <c r="D1128" s="183"/>
      <c r="E1128" s="71" t="s">
        <v>1335</v>
      </c>
      <c r="F1128" s="70" t="s">
        <v>2325</v>
      </c>
    </row>
    <row r="1129" spans="2:6">
      <c r="B1129" s="183"/>
      <c r="C1129" s="183"/>
      <c r="D1129" s="183"/>
      <c r="E1129" s="71" t="s">
        <v>1344</v>
      </c>
      <c r="F1129" s="70" t="s">
        <v>2326</v>
      </c>
    </row>
    <row r="1130" spans="2:6">
      <c r="B1130" s="183"/>
      <c r="C1130" s="183"/>
      <c r="D1130" s="183"/>
      <c r="E1130" s="71" t="s">
        <v>698</v>
      </c>
      <c r="F1130" s="70" t="s">
        <v>2327</v>
      </c>
    </row>
    <row r="1131" spans="2:6">
      <c r="B1131" s="183"/>
      <c r="C1131" s="183"/>
      <c r="D1131" s="183"/>
      <c r="E1131" s="71" t="s">
        <v>700</v>
      </c>
      <c r="F1131" s="70" t="s">
        <v>2328</v>
      </c>
    </row>
    <row r="1132" spans="2:6">
      <c r="B1132" s="183"/>
      <c r="C1132" s="183"/>
      <c r="D1132" s="183"/>
      <c r="E1132" s="71" t="s">
        <v>674</v>
      </c>
      <c r="F1132" s="70" t="s">
        <v>2329</v>
      </c>
    </row>
    <row r="1133" spans="2:6">
      <c r="B1133" s="183"/>
      <c r="C1133" s="183"/>
      <c r="D1133" s="183"/>
      <c r="E1133" s="71" t="s">
        <v>673</v>
      </c>
      <c r="F1133" s="70" t="s">
        <v>2330</v>
      </c>
    </row>
    <row r="1134" spans="2:6">
      <c r="B1134" s="183"/>
      <c r="C1134" s="183"/>
      <c r="D1134" s="183"/>
      <c r="E1134" s="71" t="s">
        <v>1218</v>
      </c>
      <c r="F1134" s="70" t="s">
        <v>2331</v>
      </c>
    </row>
    <row r="1135" spans="2:6">
      <c r="B1135" s="113">
        <v>231</v>
      </c>
      <c r="C1135" s="95">
        <v>44480</v>
      </c>
      <c r="D1135" s="113" t="s">
        <v>1384</v>
      </c>
      <c r="E1135" s="184"/>
      <c r="F1135" s="185"/>
    </row>
    <row r="1136" spans="2:6">
      <c r="B1136" s="182"/>
      <c r="C1136" s="182"/>
      <c r="D1136" s="182"/>
      <c r="E1136" s="71" t="s">
        <v>2248</v>
      </c>
      <c r="F1136" s="70" t="s">
        <v>2339</v>
      </c>
    </row>
    <row r="1137" spans="2:6">
      <c r="B1137" s="183"/>
      <c r="C1137" s="183"/>
      <c r="D1137" s="183"/>
      <c r="E1137" s="71" t="s">
        <v>2337</v>
      </c>
      <c r="F1137" s="70" t="s">
        <v>2340</v>
      </c>
    </row>
    <row r="1138" spans="2:6">
      <c r="B1138" s="113">
        <v>232</v>
      </c>
      <c r="C1138" s="95">
        <v>44480</v>
      </c>
      <c r="D1138" s="113" t="s">
        <v>430</v>
      </c>
      <c r="E1138" s="184"/>
      <c r="F1138" s="185"/>
    </row>
    <row r="1139" spans="2:6">
      <c r="B1139" s="114"/>
      <c r="C1139" s="114"/>
      <c r="D1139" s="114"/>
      <c r="E1139" s="71" t="s">
        <v>2344</v>
      </c>
      <c r="F1139" s="70" t="s">
        <v>2345</v>
      </c>
    </row>
    <row r="1140" spans="2:6">
      <c r="B1140" s="113">
        <v>233</v>
      </c>
      <c r="C1140" s="95">
        <v>44480</v>
      </c>
      <c r="D1140" s="113" t="s">
        <v>466</v>
      </c>
      <c r="E1140" s="184"/>
      <c r="F1140" s="185"/>
    </row>
    <row r="1141" spans="2:6">
      <c r="B1141" s="182"/>
      <c r="C1141" s="182"/>
      <c r="D1141" s="182"/>
      <c r="E1141" s="71" t="s">
        <v>2349</v>
      </c>
      <c r="F1141" s="70" t="s">
        <v>2090</v>
      </c>
    </row>
    <row r="1142" spans="2:6">
      <c r="B1142" s="183"/>
      <c r="C1142" s="183"/>
      <c r="D1142" s="183"/>
      <c r="E1142" s="71" t="s">
        <v>2350</v>
      </c>
      <c r="F1142" s="70" t="s">
        <v>2351</v>
      </c>
    </row>
    <row r="1143" spans="2:6">
      <c r="B1143" s="113">
        <v>234</v>
      </c>
      <c r="C1143" s="95">
        <v>44480</v>
      </c>
      <c r="D1143" s="113" t="s">
        <v>217</v>
      </c>
      <c r="E1143" s="184"/>
      <c r="F1143" s="185"/>
    </row>
    <row r="1144" spans="2:6">
      <c r="B1144" s="114"/>
      <c r="C1144" s="114"/>
      <c r="D1144" s="114"/>
      <c r="E1144" s="71" t="s">
        <v>2352</v>
      </c>
      <c r="F1144" s="70" t="s">
        <v>2353</v>
      </c>
    </row>
    <row r="1145" spans="2:6">
      <c r="B1145" s="113">
        <v>235</v>
      </c>
      <c r="C1145" s="95">
        <v>44481</v>
      </c>
      <c r="D1145" s="113" t="s">
        <v>268</v>
      </c>
      <c r="E1145" s="184"/>
      <c r="F1145" s="185"/>
    </row>
    <row r="1146" spans="2:6">
      <c r="B1146" s="182"/>
      <c r="C1146" s="182"/>
      <c r="D1146" s="182"/>
      <c r="E1146" s="71" t="s">
        <v>2355</v>
      </c>
      <c r="F1146" s="70" t="s">
        <v>1173</v>
      </c>
    </row>
    <row r="1147" spans="2:6">
      <c r="B1147" s="183"/>
      <c r="C1147" s="183"/>
      <c r="D1147" s="183"/>
      <c r="E1147" s="71" t="s">
        <v>2356</v>
      </c>
      <c r="F1147" s="70" t="s">
        <v>1171</v>
      </c>
    </row>
    <row r="1148" spans="2:6">
      <c r="B1148" s="113">
        <v>236</v>
      </c>
      <c r="C1148" s="95">
        <v>44483</v>
      </c>
      <c r="D1148" s="113" t="s">
        <v>430</v>
      </c>
      <c r="E1148" s="184"/>
      <c r="F1148" s="185"/>
    </row>
    <row r="1149" spans="2:6">
      <c r="B1149" s="182"/>
      <c r="C1149" s="182"/>
      <c r="D1149" s="182"/>
      <c r="E1149" s="71" t="s">
        <v>2359</v>
      </c>
      <c r="F1149" s="70" t="s">
        <v>2360</v>
      </c>
    </row>
    <row r="1150" spans="2:6">
      <c r="B1150" s="183"/>
      <c r="C1150" s="183"/>
      <c r="D1150" s="183"/>
      <c r="E1150" s="71" t="s">
        <v>2359</v>
      </c>
      <c r="F1150" s="70" t="s">
        <v>2361</v>
      </c>
    </row>
    <row r="1151" spans="2:6">
      <c r="B1151" s="113">
        <v>237</v>
      </c>
      <c r="C1151" s="95">
        <v>44483</v>
      </c>
      <c r="D1151" s="113" t="s">
        <v>430</v>
      </c>
      <c r="E1151" s="184"/>
      <c r="F1151" s="185"/>
    </row>
    <row r="1152" spans="2:6">
      <c r="B1152" s="114"/>
      <c r="C1152" s="114"/>
      <c r="D1152" s="114"/>
      <c r="E1152" s="71" t="s">
        <v>2364</v>
      </c>
      <c r="F1152" s="70" t="s">
        <v>2345</v>
      </c>
    </row>
    <row r="1153" spans="2:6">
      <c r="B1153" s="113">
        <v>238</v>
      </c>
      <c r="C1153" s="95">
        <v>44483</v>
      </c>
      <c r="D1153" s="113" t="s">
        <v>466</v>
      </c>
      <c r="E1153" s="184"/>
      <c r="F1153" s="185"/>
    </row>
    <row r="1154" spans="2:6">
      <c r="B1154" s="182"/>
      <c r="C1154" s="182"/>
      <c r="D1154" s="182"/>
      <c r="E1154" s="71" t="s">
        <v>349</v>
      </c>
      <c r="F1154" s="70" t="s">
        <v>2365</v>
      </c>
    </row>
    <row r="1155" spans="2:6">
      <c r="B1155" s="183"/>
      <c r="C1155" s="183"/>
      <c r="D1155" s="183"/>
      <c r="E1155" s="71" t="s">
        <v>349</v>
      </c>
      <c r="F1155" s="70" t="s">
        <v>2366</v>
      </c>
    </row>
    <row r="1156" spans="2:6">
      <c r="B1156" s="183"/>
      <c r="C1156" s="183"/>
      <c r="D1156" s="183"/>
      <c r="E1156" s="71" t="s">
        <v>349</v>
      </c>
      <c r="F1156" s="70" t="s">
        <v>2367</v>
      </c>
    </row>
    <row r="1157" spans="2:6">
      <c r="B1157" s="113">
        <v>239</v>
      </c>
      <c r="C1157" s="95">
        <v>44484</v>
      </c>
      <c r="D1157" s="113" t="s">
        <v>685</v>
      </c>
      <c r="E1157" s="184"/>
      <c r="F1157" s="185"/>
    </row>
    <row r="1158" spans="2:6">
      <c r="B1158" s="146"/>
      <c r="C1158" s="146"/>
      <c r="D1158" s="146"/>
      <c r="E1158" s="71" t="s">
        <v>673</v>
      </c>
      <c r="F1158" s="70" t="s">
        <v>2372</v>
      </c>
    </row>
    <row r="1159" spans="2:6">
      <c r="B1159" s="113">
        <v>240</v>
      </c>
      <c r="C1159" s="95">
        <v>44496</v>
      </c>
      <c r="D1159" s="113" t="s">
        <v>685</v>
      </c>
      <c r="E1159" s="184"/>
      <c r="F1159" s="185"/>
    </row>
    <row r="1160" spans="2:6">
      <c r="B1160" s="182"/>
      <c r="C1160" s="182"/>
      <c r="D1160" s="182"/>
      <c r="E1160" s="71" t="s">
        <v>349</v>
      </c>
      <c r="F1160" s="70" t="s">
        <v>2373</v>
      </c>
    </row>
    <row r="1161" spans="2:6">
      <c r="B1161" s="186"/>
      <c r="C1161" s="186"/>
      <c r="D1161" s="186"/>
      <c r="E1161" s="71" t="s">
        <v>474</v>
      </c>
      <c r="F1161" s="70" t="s">
        <v>2374</v>
      </c>
    </row>
    <row r="1162" spans="2:6">
      <c r="B1162" s="113">
        <v>241</v>
      </c>
      <c r="C1162" s="95">
        <v>44497</v>
      </c>
      <c r="D1162" s="113" t="s">
        <v>1384</v>
      </c>
      <c r="E1162" s="184"/>
      <c r="F1162" s="185"/>
    </row>
    <row r="1163" spans="2:6">
      <c r="B1163" s="114"/>
      <c r="C1163" s="114"/>
      <c r="D1163" s="114"/>
      <c r="E1163" s="71" t="s">
        <v>2376</v>
      </c>
      <c r="F1163" s="70" t="s">
        <v>2377</v>
      </c>
    </row>
    <row r="1164" spans="2:6">
      <c r="B1164" s="113">
        <v>242</v>
      </c>
      <c r="C1164" s="95">
        <v>44497</v>
      </c>
      <c r="D1164" s="113" t="s">
        <v>466</v>
      </c>
      <c r="E1164" s="184"/>
      <c r="F1164" s="185"/>
    </row>
    <row r="1165" spans="2:6">
      <c r="B1165" s="182"/>
      <c r="C1165" s="182"/>
      <c r="D1165" s="182"/>
      <c r="E1165" s="71" t="s">
        <v>2381</v>
      </c>
      <c r="F1165" s="70" t="s">
        <v>2382</v>
      </c>
    </row>
    <row r="1166" spans="2:6">
      <c r="B1166" s="183"/>
      <c r="C1166" s="183"/>
      <c r="D1166" s="183"/>
      <c r="E1166" s="71" t="s">
        <v>2383</v>
      </c>
      <c r="F1166" s="70" t="s">
        <v>2384</v>
      </c>
    </row>
    <row r="1167" spans="2:6">
      <c r="B1167" s="183"/>
      <c r="C1167" s="183"/>
      <c r="D1167" s="183"/>
      <c r="E1167" s="71" t="s">
        <v>2385</v>
      </c>
      <c r="F1167" s="70" t="s">
        <v>2386</v>
      </c>
    </row>
    <row r="1168" spans="2:6">
      <c r="B1168" s="183"/>
      <c r="C1168" s="183"/>
      <c r="D1168" s="183"/>
      <c r="E1168" s="71" t="s">
        <v>2387</v>
      </c>
      <c r="F1168" s="70" t="s">
        <v>2388</v>
      </c>
    </row>
    <row r="1169" spans="2:6">
      <c r="B1169" s="113">
        <v>243</v>
      </c>
      <c r="C1169" s="95">
        <v>44498</v>
      </c>
      <c r="D1169" s="113" t="s">
        <v>466</v>
      </c>
      <c r="E1169" s="161"/>
      <c r="F1169" s="162"/>
    </row>
    <row r="1170" spans="2:6">
      <c r="B1170" s="182"/>
      <c r="C1170" s="182"/>
      <c r="D1170" s="182"/>
      <c r="E1170" s="71" t="s">
        <v>2394</v>
      </c>
      <c r="F1170" s="70" t="s">
        <v>2403</v>
      </c>
    </row>
    <row r="1171" spans="2:6">
      <c r="B1171" s="183"/>
      <c r="C1171" s="183"/>
      <c r="D1171" s="183"/>
      <c r="E1171" s="71" t="s">
        <v>2395</v>
      </c>
      <c r="F1171" s="70" t="s">
        <v>2404</v>
      </c>
    </row>
    <row r="1172" spans="2:6">
      <c r="B1172" s="183"/>
      <c r="C1172" s="183"/>
      <c r="D1172" s="183"/>
      <c r="E1172" s="71" t="s">
        <v>2396</v>
      </c>
      <c r="F1172" s="70" t="s">
        <v>2392</v>
      </c>
    </row>
    <row r="1173" spans="2:6">
      <c r="B1173" s="186"/>
      <c r="C1173" s="186"/>
      <c r="D1173" s="186"/>
      <c r="E1173" s="71" t="s">
        <v>2397</v>
      </c>
      <c r="F1173" s="70" t="s">
        <v>2393</v>
      </c>
    </row>
    <row r="1174" spans="2:6">
      <c r="B1174" s="113">
        <v>244</v>
      </c>
      <c r="C1174" s="95">
        <v>44503</v>
      </c>
      <c r="D1174" s="113" t="s">
        <v>415</v>
      </c>
      <c r="E1174" s="184"/>
      <c r="F1174" s="185"/>
    </row>
    <row r="1175" spans="2:6">
      <c r="B1175" s="182"/>
      <c r="C1175" s="182"/>
      <c r="D1175" s="182"/>
      <c r="E1175" s="71" t="s">
        <v>349</v>
      </c>
      <c r="F1175" s="70" t="s">
        <v>2405</v>
      </c>
    </row>
    <row r="1176" spans="2:6">
      <c r="B1176" s="186"/>
      <c r="C1176" s="186"/>
      <c r="D1176" s="186"/>
      <c r="E1176" s="71" t="s">
        <v>349</v>
      </c>
      <c r="F1176" s="70" t="s">
        <v>2406</v>
      </c>
    </row>
    <row r="1177" spans="2:6">
      <c r="B1177" s="113">
        <v>245</v>
      </c>
      <c r="C1177" s="95">
        <v>44503</v>
      </c>
      <c r="D1177" s="113" t="s">
        <v>268</v>
      </c>
      <c r="E1177" s="184"/>
      <c r="F1177" s="185"/>
    </row>
    <row r="1178" spans="2:6">
      <c r="B1178" s="182"/>
      <c r="C1178" s="182"/>
      <c r="D1178" s="182"/>
      <c r="E1178" s="71" t="s">
        <v>1174</v>
      </c>
      <c r="F1178" s="70" t="s">
        <v>2407</v>
      </c>
    </row>
    <row r="1179" spans="2:6">
      <c r="B1179" s="183"/>
      <c r="C1179" s="183"/>
      <c r="D1179" s="183"/>
      <c r="E1179" s="71" t="s">
        <v>2355</v>
      </c>
      <c r="F1179" s="70" t="s">
        <v>2408</v>
      </c>
    </row>
    <row r="1180" spans="2:6">
      <c r="B1180" s="183"/>
      <c r="C1180" s="183"/>
      <c r="D1180" s="183"/>
      <c r="E1180" s="71" t="s">
        <v>2356</v>
      </c>
      <c r="F1180" s="70" t="s">
        <v>2409</v>
      </c>
    </row>
    <row r="1181" spans="2:6">
      <c r="B1181" s="113">
        <v>246</v>
      </c>
      <c r="C1181" s="95">
        <v>44505</v>
      </c>
      <c r="D1181" s="113" t="s">
        <v>685</v>
      </c>
      <c r="E1181" s="184"/>
      <c r="F1181" s="185"/>
    </row>
    <row r="1182" spans="2:6">
      <c r="B1182" s="182"/>
      <c r="C1182" s="182"/>
      <c r="D1182" s="182"/>
      <c r="E1182" s="71" t="s">
        <v>687</v>
      </c>
      <c r="F1182" s="70" t="s">
        <v>2417</v>
      </c>
    </row>
    <row r="1183" spans="2:6">
      <c r="B1183" s="183"/>
      <c r="C1183" s="183"/>
      <c r="D1183" s="183"/>
      <c r="E1183" s="71" t="s">
        <v>689</v>
      </c>
      <c r="F1183" s="70" t="s">
        <v>2418</v>
      </c>
    </row>
    <row r="1184" spans="2:6">
      <c r="B1184" s="183"/>
      <c r="C1184" s="183"/>
      <c r="D1184" s="183"/>
      <c r="E1184" s="71" t="s">
        <v>1326</v>
      </c>
      <c r="F1184" s="70" t="s">
        <v>2419</v>
      </c>
    </row>
    <row r="1185" spans="2:6">
      <c r="B1185" s="183"/>
      <c r="C1185" s="183"/>
      <c r="D1185" s="183"/>
      <c r="E1185" s="71" t="s">
        <v>1328</v>
      </c>
      <c r="F1185" s="70" t="s">
        <v>2420</v>
      </c>
    </row>
    <row r="1186" spans="2:6">
      <c r="B1186" s="183"/>
      <c r="C1186" s="183"/>
      <c r="D1186" s="183"/>
      <c r="E1186" s="71" t="s">
        <v>1330</v>
      </c>
      <c r="F1186" s="70" t="s">
        <v>2421</v>
      </c>
    </row>
    <row r="1187" spans="2:6">
      <c r="B1187" s="183"/>
      <c r="C1187" s="183"/>
      <c r="D1187" s="183"/>
      <c r="E1187" s="71" t="s">
        <v>1835</v>
      </c>
      <c r="F1187" s="70" t="s">
        <v>2422</v>
      </c>
    </row>
    <row r="1188" spans="2:6">
      <c r="B1188" s="183"/>
      <c r="C1188" s="183"/>
      <c r="D1188" s="183"/>
      <c r="E1188" s="71" t="s">
        <v>691</v>
      </c>
      <c r="F1188" s="70" t="s">
        <v>2423</v>
      </c>
    </row>
    <row r="1189" spans="2:6">
      <c r="B1189" s="183"/>
      <c r="C1189" s="183"/>
      <c r="D1189" s="183"/>
      <c r="E1189" s="71" t="s">
        <v>693</v>
      </c>
      <c r="F1189" s="70" t="s">
        <v>2424</v>
      </c>
    </row>
    <row r="1190" spans="2:6">
      <c r="B1190" s="183"/>
      <c r="C1190" s="183"/>
      <c r="D1190" s="183"/>
      <c r="E1190" s="71" t="s">
        <v>1337</v>
      </c>
      <c r="F1190" s="70" t="s">
        <v>2425</v>
      </c>
    </row>
    <row r="1191" spans="2:6">
      <c r="B1191" s="183"/>
      <c r="C1191" s="183"/>
      <c r="D1191" s="183"/>
      <c r="E1191" s="71" t="s">
        <v>1336</v>
      </c>
      <c r="F1191" s="70" t="s">
        <v>2426</v>
      </c>
    </row>
    <row r="1192" spans="2:6">
      <c r="B1192" s="183"/>
      <c r="C1192" s="183"/>
      <c r="D1192" s="183"/>
      <c r="E1192" s="71" t="s">
        <v>1335</v>
      </c>
      <c r="F1192" s="70" t="s">
        <v>2427</v>
      </c>
    </row>
    <row r="1193" spans="2:6">
      <c r="B1193" s="183"/>
      <c r="C1193" s="183"/>
      <c r="D1193" s="183"/>
      <c r="E1193" s="71" t="s">
        <v>2137</v>
      </c>
      <c r="F1193" s="70" t="s">
        <v>2428</v>
      </c>
    </row>
    <row r="1194" spans="2:6">
      <c r="B1194" s="183"/>
      <c r="C1194" s="183"/>
      <c r="D1194" s="183"/>
      <c r="E1194" s="71" t="s">
        <v>670</v>
      </c>
      <c r="F1194" s="70" t="s">
        <v>2429</v>
      </c>
    </row>
    <row r="1195" spans="2:6">
      <c r="B1195" s="183"/>
      <c r="C1195" s="183"/>
      <c r="D1195" s="183"/>
      <c r="E1195" s="71" t="s">
        <v>1342</v>
      </c>
      <c r="F1195" s="70" t="s">
        <v>2430</v>
      </c>
    </row>
    <row r="1196" spans="2:6">
      <c r="B1196" s="186"/>
      <c r="C1196" s="186"/>
      <c r="D1196" s="186"/>
      <c r="E1196" s="71" t="s">
        <v>1849</v>
      </c>
      <c r="F1196" s="70" t="s">
        <v>2431</v>
      </c>
    </row>
    <row r="1197" spans="2:6">
      <c r="B1197" s="113">
        <v>247</v>
      </c>
      <c r="C1197" s="95">
        <v>44515</v>
      </c>
      <c r="D1197" s="113" t="s">
        <v>466</v>
      </c>
      <c r="E1197" s="184"/>
      <c r="F1197" s="185"/>
    </row>
    <row r="1198" spans="2:6">
      <c r="B1198" s="182"/>
      <c r="C1198" s="182"/>
      <c r="D1198" s="182"/>
      <c r="E1198" s="71" t="s">
        <v>2435</v>
      </c>
      <c r="F1198" s="70" t="s">
        <v>307</v>
      </c>
    </row>
    <row r="1199" spans="2:6">
      <c r="B1199" s="183"/>
      <c r="C1199" s="183"/>
      <c r="D1199" s="183"/>
      <c r="E1199" s="71" t="s">
        <v>2436</v>
      </c>
      <c r="F1199" s="70" t="s">
        <v>470</v>
      </c>
    </row>
    <row r="1200" spans="2:6">
      <c r="B1200" s="183"/>
      <c r="C1200" s="183"/>
      <c r="D1200" s="183"/>
      <c r="E1200" s="71" t="s">
        <v>2437</v>
      </c>
      <c r="F1200" s="70" t="s">
        <v>2090</v>
      </c>
    </row>
    <row r="1201" spans="2:6">
      <c r="B1201" s="113">
        <v>248</v>
      </c>
      <c r="C1201" s="95">
        <v>44515</v>
      </c>
      <c r="D1201" s="113" t="s">
        <v>268</v>
      </c>
      <c r="E1201" s="184"/>
      <c r="F1201" s="185"/>
    </row>
    <row r="1202" spans="2:6">
      <c r="B1202" s="182"/>
      <c r="C1202" s="182"/>
      <c r="D1202" s="182"/>
      <c r="E1202" s="71" t="s">
        <v>2439</v>
      </c>
      <c r="F1202" s="70" t="s">
        <v>748</v>
      </c>
    </row>
    <row r="1203" spans="2:6">
      <c r="B1203" s="183"/>
      <c r="C1203" s="183"/>
      <c r="D1203" s="183"/>
      <c r="E1203" s="71" t="s">
        <v>2440</v>
      </c>
      <c r="F1203" s="70" t="s">
        <v>749</v>
      </c>
    </row>
    <row r="1204" spans="2:6">
      <c r="B1204" s="113">
        <v>249</v>
      </c>
      <c r="C1204" s="95">
        <v>44515</v>
      </c>
      <c r="D1204" s="113" t="s">
        <v>685</v>
      </c>
      <c r="E1204" s="184"/>
      <c r="F1204" s="185"/>
    </row>
    <row r="1205" spans="2:6">
      <c r="B1205" s="114"/>
      <c r="C1205" s="114"/>
      <c r="D1205" s="114"/>
      <c r="E1205" s="71" t="s">
        <v>1782</v>
      </c>
      <c r="F1205" s="70" t="s">
        <v>2442</v>
      </c>
    </row>
    <row r="1206" spans="2:6">
      <c r="B1206" s="113">
        <v>250</v>
      </c>
      <c r="C1206" s="95">
        <v>44515</v>
      </c>
      <c r="D1206" s="113" t="s">
        <v>217</v>
      </c>
      <c r="E1206" s="184"/>
      <c r="F1206" s="185"/>
    </row>
    <row r="1207" spans="2:6">
      <c r="B1207" s="113"/>
      <c r="C1207" s="113"/>
      <c r="D1207" s="113"/>
      <c r="E1207" s="71" t="s">
        <v>2352</v>
      </c>
      <c r="F1207" s="70" t="s">
        <v>2444</v>
      </c>
    </row>
    <row r="1208" spans="2:6">
      <c r="B1208" s="113">
        <v>251</v>
      </c>
      <c r="C1208" s="95">
        <v>44515</v>
      </c>
      <c r="D1208" s="113" t="s">
        <v>466</v>
      </c>
      <c r="E1208" s="184"/>
      <c r="F1208" s="185"/>
    </row>
    <row r="1209" spans="2:6">
      <c r="B1209" s="182"/>
      <c r="C1209" s="182"/>
      <c r="D1209" s="182"/>
      <c r="E1209" s="71" t="s">
        <v>2452</v>
      </c>
      <c r="F1209" s="70" t="s">
        <v>2447</v>
      </c>
    </row>
    <row r="1210" spans="2:6">
      <c r="B1210" s="183"/>
      <c r="C1210" s="183"/>
      <c r="D1210" s="183"/>
      <c r="E1210" s="71" t="s">
        <v>2453</v>
      </c>
      <c r="F1210" s="70" t="s">
        <v>2448</v>
      </c>
    </row>
    <row r="1211" spans="2:6">
      <c r="B1211" s="113">
        <v>252</v>
      </c>
      <c r="C1211" s="95">
        <v>44522</v>
      </c>
      <c r="D1211" s="113" t="s">
        <v>2455</v>
      </c>
      <c r="E1211" s="184"/>
      <c r="F1211" s="185"/>
    </row>
    <row r="1212" spans="2:6">
      <c r="B1212" s="113"/>
      <c r="C1212" s="113"/>
      <c r="D1212" s="113"/>
      <c r="E1212" s="71" t="s">
        <v>1952</v>
      </c>
      <c r="F1212" s="70" t="s">
        <v>2456</v>
      </c>
    </row>
    <row r="1213" spans="2:6">
      <c r="B1213" s="113">
        <v>253</v>
      </c>
      <c r="C1213" s="95">
        <v>44522</v>
      </c>
      <c r="D1213" s="113" t="s">
        <v>466</v>
      </c>
      <c r="E1213" s="184"/>
      <c r="F1213" s="185"/>
    </row>
    <row r="1214" spans="2:6">
      <c r="B1214" s="182"/>
      <c r="C1214" s="182"/>
      <c r="D1214" s="182"/>
      <c r="E1214" s="71" t="s">
        <v>349</v>
      </c>
      <c r="F1214" s="70" t="s">
        <v>2457</v>
      </c>
    </row>
    <row r="1215" spans="2:6">
      <c r="B1215" s="183"/>
      <c r="C1215" s="183"/>
      <c r="D1215" s="183"/>
      <c r="E1215" s="71" t="s">
        <v>349</v>
      </c>
      <c r="F1215" s="70" t="s">
        <v>2458</v>
      </c>
    </row>
    <row r="1216" spans="2:6">
      <c r="B1216" s="183"/>
      <c r="C1216" s="183"/>
      <c r="D1216" s="183"/>
      <c r="E1216" s="71" t="s">
        <v>2435</v>
      </c>
      <c r="F1216" s="70" t="s">
        <v>307</v>
      </c>
    </row>
    <row r="1217" spans="2:6">
      <c r="B1217" s="113">
        <v>254</v>
      </c>
      <c r="C1217" s="95">
        <v>44522</v>
      </c>
      <c r="D1217" s="113" t="s">
        <v>263</v>
      </c>
      <c r="E1217" s="184"/>
      <c r="F1217" s="185"/>
    </row>
    <row r="1218" spans="2:6">
      <c r="B1218" s="113"/>
      <c r="C1218" s="113"/>
      <c r="D1218" s="113"/>
      <c r="E1218" s="71" t="s">
        <v>2461</v>
      </c>
      <c r="F1218" s="70" t="s">
        <v>2462</v>
      </c>
    </row>
    <row r="1219" spans="2:6">
      <c r="B1219" s="113">
        <v>255</v>
      </c>
      <c r="C1219" s="95">
        <v>44523</v>
      </c>
      <c r="D1219" s="113" t="s">
        <v>268</v>
      </c>
      <c r="E1219" s="184"/>
      <c r="F1219" s="185"/>
    </row>
    <row r="1220" spans="2:6">
      <c r="B1220" s="113"/>
      <c r="C1220" s="113"/>
      <c r="D1220" s="113"/>
      <c r="E1220" s="71" t="s">
        <v>2465</v>
      </c>
      <c r="F1220" s="70" t="s">
        <v>264</v>
      </c>
    </row>
    <row r="1221" spans="2:6">
      <c r="B1221" s="113">
        <v>256</v>
      </c>
      <c r="C1221" s="95">
        <v>44523</v>
      </c>
      <c r="D1221" s="113" t="s">
        <v>217</v>
      </c>
      <c r="E1221" s="184"/>
      <c r="F1221" s="185"/>
    </row>
    <row r="1222" spans="2:6">
      <c r="B1222" s="113"/>
      <c r="C1222" s="113"/>
      <c r="D1222" s="113"/>
      <c r="E1222" s="71" t="s">
        <v>2352</v>
      </c>
      <c r="F1222" s="70" t="s">
        <v>2467</v>
      </c>
    </row>
    <row r="1223" spans="2:6">
      <c r="B1223" s="113">
        <v>257</v>
      </c>
      <c r="C1223" s="95">
        <v>44523</v>
      </c>
      <c r="D1223" s="113" t="s">
        <v>263</v>
      </c>
      <c r="E1223" s="184"/>
      <c r="F1223" s="185"/>
    </row>
    <row r="1224" spans="2:6">
      <c r="B1224" s="113"/>
      <c r="C1224" s="113"/>
      <c r="D1224" s="113"/>
      <c r="E1224" s="71" t="s">
        <v>2470</v>
      </c>
      <c r="F1224" s="70" t="s">
        <v>2471</v>
      </c>
    </row>
    <row r="1225" spans="2:6">
      <c r="B1225" s="113">
        <v>258</v>
      </c>
      <c r="C1225" s="95">
        <v>44529</v>
      </c>
      <c r="D1225" s="113" t="s">
        <v>466</v>
      </c>
      <c r="E1225" s="184"/>
      <c r="F1225" s="185"/>
    </row>
    <row r="1226" spans="2:6">
      <c r="B1226" s="182"/>
      <c r="C1226" s="182"/>
      <c r="D1226" s="182"/>
      <c r="E1226" s="71" t="s">
        <v>2474</v>
      </c>
      <c r="F1226" s="70" t="s">
        <v>1099</v>
      </c>
    </row>
    <row r="1227" spans="2:6">
      <c r="B1227" s="183"/>
      <c r="C1227" s="183"/>
      <c r="D1227" s="183"/>
      <c r="E1227" s="71" t="s">
        <v>2475</v>
      </c>
      <c r="F1227" s="70" t="s">
        <v>2476</v>
      </c>
    </row>
    <row r="1228" spans="2:6">
      <c r="B1228" s="183"/>
      <c r="C1228" s="183"/>
      <c r="D1228" s="183"/>
      <c r="E1228" s="71" t="s">
        <v>2477</v>
      </c>
      <c r="F1228" s="70" t="s">
        <v>2478</v>
      </c>
    </row>
    <row r="1229" spans="2:6">
      <c r="B1229" s="113">
        <v>259</v>
      </c>
      <c r="C1229" s="95">
        <v>44531</v>
      </c>
      <c r="D1229" s="113" t="s">
        <v>466</v>
      </c>
      <c r="E1229" s="184"/>
      <c r="F1229" s="185"/>
    </row>
    <row r="1230" spans="2:6">
      <c r="B1230" s="182"/>
      <c r="C1230" s="182"/>
      <c r="D1230" s="182"/>
      <c r="E1230" s="71" t="s">
        <v>2483</v>
      </c>
      <c r="F1230" s="70" t="s">
        <v>480</v>
      </c>
    </row>
    <row r="1231" spans="2:6">
      <c r="B1231" s="183"/>
      <c r="C1231" s="183"/>
      <c r="D1231" s="183"/>
      <c r="E1231" s="71" t="s">
        <v>2484</v>
      </c>
      <c r="F1231" s="70" t="s">
        <v>481</v>
      </c>
    </row>
    <row r="1232" spans="2:6">
      <c r="B1232" s="113">
        <v>260</v>
      </c>
      <c r="C1232" s="95">
        <v>44532</v>
      </c>
      <c r="D1232" s="113" t="s">
        <v>268</v>
      </c>
      <c r="E1232" s="184"/>
      <c r="F1232" s="185"/>
    </row>
    <row r="1233" spans="2:6">
      <c r="B1233" s="113"/>
      <c r="C1233" s="113"/>
      <c r="D1233" s="113"/>
      <c r="E1233" s="71" t="s">
        <v>2500</v>
      </c>
      <c r="F1233" s="70" t="s">
        <v>1698</v>
      </c>
    </row>
    <row r="1234" spans="2:6">
      <c r="B1234" s="113">
        <v>261</v>
      </c>
      <c r="C1234" s="95">
        <v>44532</v>
      </c>
      <c r="D1234" s="113" t="s">
        <v>466</v>
      </c>
      <c r="E1234" s="184"/>
      <c r="F1234" s="185"/>
    </row>
    <row r="1235" spans="2:6">
      <c r="B1235" s="182"/>
      <c r="C1235" s="182"/>
      <c r="D1235" s="182"/>
      <c r="E1235" s="71" t="s">
        <v>2503</v>
      </c>
      <c r="F1235" s="70" t="s">
        <v>257</v>
      </c>
    </row>
    <row r="1236" spans="2:6">
      <c r="B1236" s="183"/>
      <c r="C1236" s="183"/>
      <c r="D1236" s="183"/>
      <c r="E1236" s="71" t="s">
        <v>2504</v>
      </c>
      <c r="F1236" s="70" t="s">
        <v>257</v>
      </c>
    </row>
    <row r="1237" spans="2:6">
      <c r="B1237" s="113">
        <v>262</v>
      </c>
      <c r="C1237" s="95">
        <v>44532</v>
      </c>
      <c r="D1237" s="113" t="s">
        <v>217</v>
      </c>
      <c r="E1237" s="184"/>
      <c r="F1237" s="185"/>
    </row>
    <row r="1238" spans="2:6" ht="15">
      <c r="B1238" s="182"/>
      <c r="C1238" s="182"/>
      <c r="D1238" s="182"/>
      <c r="E1238" s="167" t="s">
        <v>2517</v>
      </c>
      <c r="F1238" s="33" t="s">
        <v>2487</v>
      </c>
    </row>
    <row r="1239" spans="2:6" ht="15">
      <c r="B1239" s="183"/>
      <c r="C1239" s="183"/>
      <c r="D1239" s="183"/>
      <c r="E1239" s="167" t="s">
        <v>2518</v>
      </c>
      <c r="F1239" s="33" t="s">
        <v>2489</v>
      </c>
    </row>
    <row r="1240" spans="2:6" ht="15">
      <c r="B1240" s="183"/>
      <c r="C1240" s="183"/>
      <c r="D1240" s="183"/>
      <c r="E1240" s="167" t="s">
        <v>2519</v>
      </c>
      <c r="F1240" s="33" t="s">
        <v>2498</v>
      </c>
    </row>
    <row r="1241" spans="2:6" ht="15">
      <c r="B1241" s="183"/>
      <c r="C1241" s="183"/>
      <c r="D1241" s="183"/>
      <c r="E1241" s="167" t="s">
        <v>2520</v>
      </c>
      <c r="F1241" s="33" t="s">
        <v>2490</v>
      </c>
    </row>
    <row r="1242" spans="2:6" ht="15">
      <c r="B1242" s="183"/>
      <c r="C1242" s="183"/>
      <c r="D1242" s="183"/>
      <c r="E1242" s="167" t="s">
        <v>2521</v>
      </c>
      <c r="F1242" s="33" t="s">
        <v>2491</v>
      </c>
    </row>
    <row r="1243" spans="2:6" ht="15">
      <c r="B1243" s="183"/>
      <c r="C1243" s="183"/>
      <c r="D1243" s="183"/>
      <c r="E1243" s="167" t="s">
        <v>2522</v>
      </c>
      <c r="F1243" s="33" t="s">
        <v>2492</v>
      </c>
    </row>
    <row r="1244" spans="2:6" ht="15">
      <c r="B1244" s="183"/>
      <c r="C1244" s="183"/>
      <c r="D1244" s="183"/>
      <c r="E1244" s="167" t="s">
        <v>2523</v>
      </c>
      <c r="F1244" s="33" t="s">
        <v>2493</v>
      </c>
    </row>
    <row r="1245" spans="2:6" ht="15">
      <c r="B1245" s="183"/>
      <c r="C1245" s="183"/>
      <c r="D1245" s="183"/>
      <c r="E1245" s="167" t="s">
        <v>2524</v>
      </c>
      <c r="F1245" s="33" t="s">
        <v>2494</v>
      </c>
    </row>
    <row r="1246" spans="2:6" ht="15">
      <c r="B1246" s="183"/>
      <c r="C1246" s="183"/>
      <c r="D1246" s="183"/>
      <c r="E1246" s="167" t="s">
        <v>2525</v>
      </c>
      <c r="F1246" s="33" t="s">
        <v>2495</v>
      </c>
    </row>
    <row r="1247" spans="2:6" ht="15">
      <c r="B1247" s="183"/>
      <c r="C1247" s="183"/>
      <c r="D1247" s="183"/>
      <c r="E1247" s="167" t="s">
        <v>2526</v>
      </c>
      <c r="F1247" s="33" t="s">
        <v>2496</v>
      </c>
    </row>
    <row r="1248" spans="2:6" ht="15">
      <c r="B1248" s="183"/>
      <c r="C1248" s="183"/>
      <c r="D1248" s="183"/>
      <c r="E1248" s="167" t="s">
        <v>2527</v>
      </c>
      <c r="F1248" s="33" t="s">
        <v>2497</v>
      </c>
    </row>
    <row r="1249" spans="2:6" ht="15">
      <c r="B1249" s="183"/>
      <c r="C1249" s="183"/>
      <c r="D1249" s="183"/>
      <c r="E1249" s="167" t="s">
        <v>2528</v>
      </c>
      <c r="F1249" s="33" t="s">
        <v>2499</v>
      </c>
    </row>
    <row r="1250" spans="2:6">
      <c r="B1250" s="113">
        <v>263</v>
      </c>
      <c r="C1250" s="95">
        <v>44532</v>
      </c>
      <c r="D1250" s="113" t="s">
        <v>415</v>
      </c>
      <c r="E1250" s="184"/>
      <c r="F1250" s="185"/>
    </row>
    <row r="1251" spans="2:6">
      <c r="B1251" s="182"/>
      <c r="C1251" s="182"/>
      <c r="D1251" s="182"/>
      <c r="E1251" s="71" t="s">
        <v>349</v>
      </c>
      <c r="F1251" s="70" t="s">
        <v>2529</v>
      </c>
    </row>
    <row r="1252" spans="2:6">
      <c r="B1252" s="183"/>
      <c r="C1252" s="183"/>
      <c r="D1252" s="183"/>
      <c r="E1252" s="71" t="s">
        <v>349</v>
      </c>
      <c r="F1252" s="70" t="s">
        <v>2530</v>
      </c>
    </row>
    <row r="1253" spans="2:6">
      <c r="B1253" s="186"/>
      <c r="C1253" s="186"/>
      <c r="D1253" s="186"/>
      <c r="E1253" s="71" t="s">
        <v>349</v>
      </c>
      <c r="F1253" s="70" t="s">
        <v>2531</v>
      </c>
    </row>
    <row r="1254" spans="2:6">
      <c r="B1254" s="113">
        <v>264</v>
      </c>
      <c r="C1254" s="95">
        <v>44536</v>
      </c>
      <c r="D1254" s="113" t="s">
        <v>217</v>
      </c>
      <c r="E1254" s="184"/>
      <c r="F1254" s="185"/>
    </row>
    <row r="1255" spans="2:6">
      <c r="B1255" s="113"/>
      <c r="C1255" s="113"/>
      <c r="D1255" s="113"/>
      <c r="E1255" s="71" t="s">
        <v>2533</v>
      </c>
      <c r="F1255" s="70" t="s">
        <v>2444</v>
      </c>
    </row>
    <row r="1256" spans="2:6">
      <c r="B1256" s="113">
        <v>265</v>
      </c>
      <c r="C1256" s="95">
        <v>44536</v>
      </c>
      <c r="D1256" s="113" t="s">
        <v>685</v>
      </c>
      <c r="E1256" s="184"/>
      <c r="F1256" s="185"/>
    </row>
    <row r="1257" spans="2:6">
      <c r="B1257" s="182"/>
      <c r="C1257" s="182"/>
      <c r="D1257" s="182"/>
      <c r="E1257" s="71" t="s">
        <v>349</v>
      </c>
      <c r="F1257" s="70" t="s">
        <v>2538</v>
      </c>
    </row>
    <row r="1258" spans="2:6">
      <c r="B1258" s="183"/>
      <c r="C1258" s="183"/>
      <c r="D1258" s="183"/>
      <c r="E1258" s="71" t="s">
        <v>349</v>
      </c>
      <c r="F1258" s="70" t="s">
        <v>2539</v>
      </c>
    </row>
    <row r="1259" spans="2:6">
      <c r="B1259" s="183"/>
      <c r="C1259" s="183"/>
      <c r="D1259" s="183"/>
      <c r="E1259" s="71" t="s">
        <v>349</v>
      </c>
      <c r="F1259" s="70" t="s">
        <v>2540</v>
      </c>
    </row>
    <row r="1260" spans="2:6">
      <c r="B1260" s="183"/>
      <c r="C1260" s="183"/>
      <c r="D1260" s="183"/>
      <c r="E1260" s="71" t="s">
        <v>349</v>
      </c>
      <c r="F1260" s="70" t="s">
        <v>2541</v>
      </c>
    </row>
    <row r="1261" spans="2:6">
      <c r="B1261" s="186"/>
      <c r="C1261" s="186"/>
      <c r="D1261" s="186"/>
      <c r="E1261" s="71" t="s">
        <v>349</v>
      </c>
      <c r="F1261" s="70" t="s">
        <v>2542</v>
      </c>
    </row>
    <row r="1262" spans="2:6">
      <c r="B1262" s="113">
        <v>266</v>
      </c>
      <c r="C1262" s="95">
        <v>44538</v>
      </c>
      <c r="D1262" s="113" t="s">
        <v>1384</v>
      </c>
      <c r="E1262" s="184"/>
      <c r="F1262" s="185"/>
    </row>
    <row r="1263" spans="2:6">
      <c r="B1263" s="114"/>
      <c r="C1263" s="114"/>
      <c r="D1263" s="114"/>
      <c r="E1263" s="71">
        <v>4804510</v>
      </c>
      <c r="F1263" s="70" t="s">
        <v>2543</v>
      </c>
    </row>
    <row r="1264" spans="2:6">
      <c r="B1264" s="113">
        <v>267</v>
      </c>
      <c r="C1264" s="95">
        <v>44538</v>
      </c>
      <c r="D1264" s="113" t="s">
        <v>1262</v>
      </c>
      <c r="E1264" s="184"/>
      <c r="F1264" s="185"/>
    </row>
    <row r="1265" spans="2:6">
      <c r="B1265" s="114"/>
      <c r="C1265" s="114"/>
      <c r="D1265" s="114"/>
      <c r="E1265" s="71" t="s">
        <v>2545</v>
      </c>
      <c r="F1265" s="70" t="s">
        <v>1261</v>
      </c>
    </row>
    <row r="1266" spans="2:6">
      <c r="B1266" s="113">
        <v>268</v>
      </c>
      <c r="C1266" s="95">
        <v>44540</v>
      </c>
      <c r="D1266" s="113" t="s">
        <v>1384</v>
      </c>
      <c r="E1266" s="184"/>
      <c r="F1266" s="185"/>
    </row>
    <row r="1267" spans="2:6">
      <c r="B1267" s="182"/>
      <c r="C1267" s="182"/>
      <c r="D1267" s="182"/>
      <c r="E1267" s="71" t="s">
        <v>2547</v>
      </c>
      <c r="F1267" s="70" t="s">
        <v>2548</v>
      </c>
    </row>
    <row r="1268" spans="2:6">
      <c r="B1268" s="183"/>
      <c r="C1268" s="183"/>
      <c r="D1268" s="183"/>
      <c r="E1268" s="71" t="s">
        <v>349</v>
      </c>
      <c r="F1268" s="70" t="s">
        <v>2549</v>
      </c>
    </row>
    <row r="1269" spans="2:6">
      <c r="B1269" s="183"/>
      <c r="C1269" s="183"/>
      <c r="D1269" s="183"/>
      <c r="E1269" s="71" t="s">
        <v>349</v>
      </c>
      <c r="F1269" s="70" t="s">
        <v>2550</v>
      </c>
    </row>
    <row r="1270" spans="2:6">
      <c r="B1270" s="113">
        <v>269</v>
      </c>
      <c r="C1270" s="95">
        <v>44540</v>
      </c>
      <c r="D1270" s="113" t="s">
        <v>814</v>
      </c>
      <c r="E1270" s="184"/>
      <c r="F1270" s="185"/>
    </row>
    <row r="1271" spans="2:6">
      <c r="B1271" s="113"/>
      <c r="C1271" s="113"/>
      <c r="D1271" s="113"/>
      <c r="E1271" s="71" t="s">
        <v>2551</v>
      </c>
      <c r="F1271" s="70" t="s">
        <v>2552</v>
      </c>
    </row>
    <row r="1272" spans="2:6">
      <c r="B1272" s="113">
        <v>270</v>
      </c>
      <c r="C1272" s="95">
        <v>44540</v>
      </c>
      <c r="D1272" s="113" t="s">
        <v>466</v>
      </c>
      <c r="E1272" s="184"/>
      <c r="F1272" s="185"/>
    </row>
    <row r="1273" spans="2:6">
      <c r="B1273" s="113"/>
      <c r="C1273" s="113"/>
      <c r="D1273" s="113"/>
      <c r="E1273" s="71" t="s">
        <v>2554</v>
      </c>
      <c r="F1273" s="70" t="s">
        <v>2555</v>
      </c>
    </row>
    <row r="1274" spans="2:6">
      <c r="B1274" s="113">
        <v>271</v>
      </c>
      <c r="C1274" s="95">
        <v>44544</v>
      </c>
      <c r="D1274" s="113" t="s">
        <v>268</v>
      </c>
      <c r="E1274" s="184"/>
      <c r="F1274" s="185"/>
    </row>
    <row r="1275" spans="2:6">
      <c r="B1275" s="182"/>
      <c r="C1275" s="182"/>
      <c r="D1275" s="182"/>
      <c r="E1275" s="71" t="s">
        <v>2559</v>
      </c>
      <c r="F1275" s="70" t="s">
        <v>748</v>
      </c>
    </row>
    <row r="1276" spans="2:6">
      <c r="B1276" s="183"/>
      <c r="C1276" s="183"/>
      <c r="D1276" s="183"/>
      <c r="E1276" s="71" t="s">
        <v>2560</v>
      </c>
      <c r="F1276" s="70" t="s">
        <v>749</v>
      </c>
    </row>
    <row r="1277" spans="2:6">
      <c r="B1277" s="113">
        <v>272</v>
      </c>
      <c r="C1277" s="95">
        <v>44546</v>
      </c>
      <c r="D1277" s="113" t="s">
        <v>466</v>
      </c>
      <c r="E1277" s="184"/>
      <c r="F1277" s="185"/>
    </row>
    <row r="1278" spans="2:6">
      <c r="B1278" s="113"/>
      <c r="C1278" s="113"/>
      <c r="D1278" s="113"/>
      <c r="E1278" s="71" t="s">
        <v>349</v>
      </c>
      <c r="F1278" s="70" t="s">
        <v>2562</v>
      </c>
    </row>
    <row r="1279" spans="2:6">
      <c r="B1279" s="113">
        <v>273</v>
      </c>
      <c r="C1279" s="95">
        <v>44546</v>
      </c>
      <c r="D1279" s="113" t="s">
        <v>1384</v>
      </c>
      <c r="E1279" s="184"/>
      <c r="F1279" s="185"/>
    </row>
    <row r="1280" spans="2:6">
      <c r="B1280" s="114"/>
      <c r="C1280" s="114"/>
      <c r="D1280" s="114"/>
      <c r="E1280" s="71" t="s">
        <v>2565</v>
      </c>
      <c r="F1280" s="70" t="s">
        <v>2567</v>
      </c>
    </row>
    <row r="1281" spans="2:6">
      <c r="B1281" s="113">
        <v>274</v>
      </c>
      <c r="C1281" s="95">
        <v>44546</v>
      </c>
      <c r="D1281" s="113" t="s">
        <v>415</v>
      </c>
      <c r="E1281" s="184"/>
      <c r="F1281" s="185"/>
    </row>
    <row r="1282" spans="2:6">
      <c r="B1282" s="114"/>
      <c r="C1282" s="114"/>
      <c r="D1282" s="114"/>
      <c r="E1282" s="71" t="s">
        <v>2568</v>
      </c>
      <c r="F1282" s="70" t="s">
        <v>1715</v>
      </c>
    </row>
    <row r="1283" spans="2:6">
      <c r="B1283" s="113">
        <v>275</v>
      </c>
      <c r="C1283" s="95">
        <v>44550</v>
      </c>
      <c r="D1283" s="113" t="s">
        <v>217</v>
      </c>
      <c r="E1283" s="184"/>
      <c r="F1283" s="185"/>
    </row>
    <row r="1284" spans="2:6" ht="15">
      <c r="B1284" s="182"/>
      <c r="C1284" s="182"/>
      <c r="D1284" s="182"/>
      <c r="E1284" s="167" t="s">
        <v>2569</v>
      </c>
      <c r="F1284" s="33" t="s">
        <v>1109</v>
      </c>
    </row>
    <row r="1285" spans="2:6" ht="15">
      <c r="B1285" s="183"/>
      <c r="C1285" s="183"/>
      <c r="D1285" s="183"/>
      <c r="E1285" s="167" t="s">
        <v>2570</v>
      </c>
      <c r="F1285" s="33" t="s">
        <v>2571</v>
      </c>
    </row>
    <row r="1286" spans="2:6" ht="15">
      <c r="B1286" s="183"/>
      <c r="C1286" s="183"/>
      <c r="D1286" s="183"/>
      <c r="E1286" s="167" t="s">
        <v>2572</v>
      </c>
      <c r="F1286" s="33" t="s">
        <v>2573</v>
      </c>
    </row>
    <row r="1287" spans="2:6" ht="15">
      <c r="B1287" s="183"/>
      <c r="C1287" s="183"/>
      <c r="D1287" s="183"/>
      <c r="E1287" s="167" t="s">
        <v>2574</v>
      </c>
      <c r="F1287" s="33" t="s">
        <v>2575</v>
      </c>
    </row>
    <row r="1288" spans="2:6" ht="15">
      <c r="B1288" s="183"/>
      <c r="C1288" s="183"/>
      <c r="D1288" s="183"/>
      <c r="E1288" s="167" t="s">
        <v>2576</v>
      </c>
      <c r="F1288" s="33" t="s">
        <v>1113</v>
      </c>
    </row>
    <row r="1289" spans="2:6" ht="15">
      <c r="B1289" s="183"/>
      <c r="C1289" s="183"/>
      <c r="D1289" s="183"/>
      <c r="E1289" s="167" t="s">
        <v>2577</v>
      </c>
      <c r="F1289" s="33" t="s">
        <v>1114</v>
      </c>
    </row>
    <row r="1290" spans="2:6" ht="15">
      <c r="B1290" s="183"/>
      <c r="C1290" s="183"/>
      <c r="D1290" s="183"/>
      <c r="E1290" s="167" t="s">
        <v>2578</v>
      </c>
      <c r="F1290" s="33" t="s">
        <v>2579</v>
      </c>
    </row>
    <row r="1291" spans="2:6" ht="15">
      <c r="B1291" s="183"/>
      <c r="C1291" s="183"/>
      <c r="D1291" s="183"/>
      <c r="E1291" s="167" t="s">
        <v>2580</v>
      </c>
      <c r="F1291" s="33" t="s">
        <v>1116</v>
      </c>
    </row>
    <row r="1292" spans="2:6" ht="15">
      <c r="B1292" s="183"/>
      <c r="C1292" s="183"/>
      <c r="D1292" s="183"/>
      <c r="E1292" s="167" t="s">
        <v>2581</v>
      </c>
      <c r="F1292" s="33" t="s">
        <v>2582</v>
      </c>
    </row>
    <row r="1293" spans="2:6" ht="15">
      <c r="B1293" s="183"/>
      <c r="C1293" s="183"/>
      <c r="D1293" s="183"/>
      <c r="E1293" s="167" t="s">
        <v>2583</v>
      </c>
      <c r="F1293" s="33" t="s">
        <v>2584</v>
      </c>
    </row>
    <row r="1294" spans="2:6" ht="15">
      <c r="B1294" s="183"/>
      <c r="C1294" s="183"/>
      <c r="D1294" s="183"/>
      <c r="E1294" s="167" t="s">
        <v>2585</v>
      </c>
      <c r="F1294" s="33" t="s">
        <v>2586</v>
      </c>
    </row>
    <row r="1295" spans="2:6">
      <c r="B1295" s="113">
        <v>276</v>
      </c>
      <c r="C1295" s="95">
        <v>44550</v>
      </c>
      <c r="D1295" s="113" t="s">
        <v>415</v>
      </c>
      <c r="E1295" s="184"/>
      <c r="F1295" s="185"/>
    </row>
    <row r="1296" spans="2:6">
      <c r="B1296" s="182"/>
      <c r="C1296" s="182"/>
      <c r="D1296" s="182"/>
      <c r="E1296" s="71" t="s">
        <v>349</v>
      </c>
      <c r="F1296" s="70" t="s">
        <v>2587</v>
      </c>
    </row>
    <row r="1297" spans="2:6">
      <c r="B1297" s="183"/>
      <c r="C1297" s="183"/>
      <c r="D1297" s="183"/>
      <c r="E1297" s="71" t="s">
        <v>349</v>
      </c>
      <c r="F1297" s="70" t="s">
        <v>2588</v>
      </c>
    </row>
    <row r="1298" spans="2:6">
      <c r="B1298" s="183"/>
      <c r="C1298" s="183"/>
      <c r="D1298" s="183"/>
      <c r="E1298" s="71" t="s">
        <v>349</v>
      </c>
      <c r="F1298" s="70" t="s">
        <v>2589</v>
      </c>
    </row>
    <row r="1299" spans="2:6">
      <c r="B1299" s="186"/>
      <c r="C1299" s="186"/>
      <c r="D1299" s="186"/>
      <c r="E1299" s="71" t="s">
        <v>349</v>
      </c>
      <c r="F1299" s="70" t="s">
        <v>2590</v>
      </c>
    </row>
    <row r="1300" spans="2:6">
      <c r="B1300" s="113">
        <v>277</v>
      </c>
      <c r="C1300" s="95">
        <v>44550</v>
      </c>
      <c r="D1300" s="113" t="s">
        <v>685</v>
      </c>
      <c r="E1300" s="184"/>
      <c r="F1300" s="185"/>
    </row>
    <row r="1301" spans="2:6">
      <c r="B1301" s="182"/>
      <c r="C1301" s="182"/>
      <c r="D1301" s="182"/>
      <c r="E1301" s="71" t="s">
        <v>349</v>
      </c>
      <c r="F1301" s="70" t="s">
        <v>2592</v>
      </c>
    </row>
    <row r="1302" spans="2:6">
      <c r="B1302" s="183"/>
      <c r="C1302" s="183"/>
      <c r="D1302" s="183"/>
      <c r="E1302" s="71" t="s">
        <v>349</v>
      </c>
      <c r="F1302" s="70" t="s">
        <v>2593</v>
      </c>
    </row>
    <row r="1303" spans="2:6">
      <c r="B1303" s="113">
        <v>278</v>
      </c>
      <c r="C1303" s="95">
        <v>44550</v>
      </c>
      <c r="D1303" s="113" t="s">
        <v>466</v>
      </c>
      <c r="E1303" s="184"/>
      <c r="F1303" s="185"/>
    </row>
    <row r="1304" spans="2:6">
      <c r="B1304" s="182"/>
      <c r="C1304" s="182"/>
      <c r="D1304" s="182"/>
      <c r="E1304" s="71" t="s">
        <v>2598</v>
      </c>
      <c r="F1304" s="70" t="s">
        <v>2596</v>
      </c>
    </row>
    <row r="1305" spans="2:6">
      <c r="B1305" s="183"/>
      <c r="C1305" s="183"/>
      <c r="D1305" s="183"/>
      <c r="E1305" s="71" t="s">
        <v>2599</v>
      </c>
      <c r="F1305" s="70" t="s">
        <v>2597</v>
      </c>
    </row>
    <row r="1306" spans="2:6">
      <c r="B1306" s="113">
        <v>279</v>
      </c>
      <c r="C1306" s="95">
        <v>44201</v>
      </c>
      <c r="D1306" s="113" t="s">
        <v>466</v>
      </c>
      <c r="E1306" s="184"/>
      <c r="F1306" s="185"/>
    </row>
    <row r="1307" spans="2:6">
      <c r="B1307" s="182"/>
      <c r="C1307" s="182"/>
      <c r="D1307" s="182"/>
      <c r="E1307" s="71" t="s">
        <v>349</v>
      </c>
      <c r="F1307" s="70" t="s">
        <v>2602</v>
      </c>
    </row>
    <row r="1308" spans="2:6">
      <c r="B1308" s="183"/>
      <c r="C1308" s="183"/>
      <c r="D1308" s="183"/>
      <c r="E1308" s="71" t="s">
        <v>349</v>
      </c>
      <c r="F1308" s="70" t="s">
        <v>2603</v>
      </c>
    </row>
    <row r="1309" spans="2:6">
      <c r="B1309" s="113">
        <v>280</v>
      </c>
      <c r="C1309" s="95">
        <v>44567</v>
      </c>
      <c r="D1309" s="113" t="s">
        <v>1262</v>
      </c>
      <c r="E1309" s="184"/>
      <c r="F1309" s="185"/>
    </row>
    <row r="1310" spans="2:6">
      <c r="B1310" s="114"/>
      <c r="C1310" s="114"/>
      <c r="D1310" s="114"/>
      <c r="E1310" s="71" t="s">
        <v>2607</v>
      </c>
      <c r="F1310" s="70" t="s">
        <v>1261</v>
      </c>
    </row>
    <row r="1311" spans="2:6">
      <c r="B1311" s="113">
        <v>281</v>
      </c>
      <c r="C1311" s="95">
        <v>44567</v>
      </c>
      <c r="D1311" s="113" t="s">
        <v>685</v>
      </c>
      <c r="E1311" s="187"/>
      <c r="F1311" s="188"/>
    </row>
    <row r="1312" spans="2:6">
      <c r="B1312" s="146"/>
      <c r="C1312" s="146"/>
      <c r="D1312" s="146"/>
      <c r="E1312" s="71" t="s">
        <v>2608</v>
      </c>
      <c r="F1312" s="70" t="s">
        <v>1789</v>
      </c>
    </row>
    <row r="1313" spans="2:6">
      <c r="B1313" s="113">
        <v>282</v>
      </c>
      <c r="C1313" s="95">
        <v>44568</v>
      </c>
      <c r="D1313" s="113" t="s">
        <v>685</v>
      </c>
      <c r="E1313" s="184"/>
      <c r="F1313" s="185"/>
    </row>
    <row r="1314" spans="2:6">
      <c r="B1314" s="182"/>
      <c r="C1314" s="182"/>
      <c r="D1314" s="182"/>
      <c r="E1314" s="71" t="s">
        <v>349</v>
      </c>
      <c r="F1314" s="70" t="s">
        <v>2611</v>
      </c>
    </row>
    <row r="1315" spans="2:6">
      <c r="B1315" s="183"/>
      <c r="C1315" s="183"/>
      <c r="D1315" s="183"/>
      <c r="E1315" s="71" t="s">
        <v>349</v>
      </c>
      <c r="F1315" s="70" t="s">
        <v>2612</v>
      </c>
    </row>
    <row r="1316" spans="2:6">
      <c r="B1316" s="183"/>
      <c r="C1316" s="183"/>
      <c r="D1316" s="183"/>
      <c r="E1316" s="71" t="s">
        <v>349</v>
      </c>
      <c r="F1316" s="70" t="s">
        <v>2613</v>
      </c>
    </row>
    <row r="1317" spans="2:6">
      <c r="B1317" s="183"/>
      <c r="C1317" s="183"/>
      <c r="D1317" s="183"/>
      <c r="E1317" s="71" t="s">
        <v>349</v>
      </c>
      <c r="F1317" s="70" t="s">
        <v>2614</v>
      </c>
    </row>
    <row r="1318" spans="2:6">
      <c r="B1318" s="183"/>
      <c r="C1318" s="183"/>
      <c r="D1318" s="183"/>
      <c r="E1318" s="71" t="s">
        <v>349</v>
      </c>
      <c r="F1318" s="70" t="s">
        <v>2615</v>
      </c>
    </row>
    <row r="1319" spans="2:6">
      <c r="B1319" s="113">
        <v>283</v>
      </c>
      <c r="C1319" s="95">
        <v>44571</v>
      </c>
      <c r="D1319" s="113" t="s">
        <v>1262</v>
      </c>
      <c r="E1319" s="184"/>
      <c r="F1319" s="185"/>
    </row>
    <row r="1320" spans="2:6">
      <c r="B1320" s="114"/>
      <c r="C1320" s="114"/>
      <c r="D1320" s="114"/>
      <c r="E1320" s="71" t="s">
        <v>2616</v>
      </c>
      <c r="F1320" s="70" t="s">
        <v>1261</v>
      </c>
    </row>
    <row r="1321" spans="2:6">
      <c r="B1321" s="113">
        <v>284</v>
      </c>
      <c r="C1321" s="95">
        <v>44571</v>
      </c>
      <c r="D1321" s="113" t="s">
        <v>1384</v>
      </c>
      <c r="E1321" s="184"/>
      <c r="F1321" s="185"/>
    </row>
    <row r="1322" spans="2:6">
      <c r="B1322" s="114"/>
      <c r="C1322" s="114"/>
      <c r="D1322" s="114"/>
      <c r="E1322" s="71">
        <v>5012981</v>
      </c>
      <c r="F1322" s="70" t="s">
        <v>2621</v>
      </c>
    </row>
    <row r="1323" spans="2:6">
      <c r="B1323" s="113">
        <v>285</v>
      </c>
      <c r="C1323" s="95">
        <v>44575</v>
      </c>
      <c r="D1323" s="113" t="s">
        <v>1953</v>
      </c>
      <c r="E1323" s="184"/>
      <c r="F1323" s="185"/>
    </row>
    <row r="1324" spans="2:6">
      <c r="B1324" s="182"/>
      <c r="C1324" s="182"/>
      <c r="D1324" s="182"/>
      <c r="E1324" s="71" t="s">
        <v>2629</v>
      </c>
      <c r="F1324" s="70" t="s">
        <v>820</v>
      </c>
    </row>
    <row r="1325" spans="2:6">
      <c r="B1325" s="183"/>
      <c r="C1325" s="183"/>
      <c r="D1325" s="183"/>
      <c r="E1325" s="71" t="s">
        <v>2629</v>
      </c>
      <c r="F1325" s="70" t="s">
        <v>2630</v>
      </c>
    </row>
    <row r="1326" spans="2:6">
      <c r="B1326" s="183"/>
      <c r="C1326" s="183"/>
      <c r="D1326" s="183"/>
      <c r="E1326" s="71" t="s">
        <v>2631</v>
      </c>
      <c r="F1326" s="70" t="s">
        <v>721</v>
      </c>
    </row>
    <row r="1327" spans="2:6">
      <c r="B1327" s="183"/>
      <c r="C1327" s="183"/>
      <c r="D1327" s="183"/>
      <c r="E1327" s="71" t="s">
        <v>2631</v>
      </c>
      <c r="F1327" s="70" t="s">
        <v>2632</v>
      </c>
    </row>
    <row r="1328" spans="2:6">
      <c r="B1328" s="183"/>
      <c r="C1328" s="183"/>
      <c r="D1328" s="183"/>
      <c r="E1328" s="71" t="s">
        <v>1952</v>
      </c>
      <c r="F1328" s="70" t="s">
        <v>2633</v>
      </c>
    </row>
    <row r="1329" spans="2:6">
      <c r="B1329" s="113">
        <v>286</v>
      </c>
      <c r="C1329" s="95">
        <v>44587</v>
      </c>
      <c r="D1329" s="113" t="s">
        <v>466</v>
      </c>
      <c r="E1329" s="184"/>
      <c r="F1329" s="185"/>
    </row>
    <row r="1330" spans="2:6">
      <c r="B1330" s="182"/>
      <c r="C1330" s="182"/>
      <c r="D1330" s="182"/>
      <c r="E1330" s="71" t="s">
        <v>2635</v>
      </c>
      <c r="F1330" s="70" t="s">
        <v>2088</v>
      </c>
    </row>
    <row r="1331" spans="2:6">
      <c r="B1331" s="183"/>
      <c r="C1331" s="183"/>
      <c r="D1331" s="183"/>
      <c r="E1331" s="71" t="s">
        <v>349</v>
      </c>
      <c r="F1331" s="70" t="s">
        <v>2636</v>
      </c>
    </row>
    <row r="1332" spans="2:6">
      <c r="B1332" s="183"/>
      <c r="C1332" s="183"/>
      <c r="D1332" s="183"/>
      <c r="E1332" s="71" t="s">
        <v>349</v>
      </c>
      <c r="F1332" s="70" t="s">
        <v>2638</v>
      </c>
    </row>
    <row r="1333" spans="2:6">
      <c r="B1333" s="113">
        <v>287</v>
      </c>
      <c r="C1333" s="95">
        <v>44587</v>
      </c>
      <c r="D1333" s="113" t="s">
        <v>1384</v>
      </c>
      <c r="E1333" s="184"/>
      <c r="F1333" s="185"/>
    </row>
    <row r="1334" spans="2:6">
      <c r="B1334" s="114"/>
      <c r="C1334" s="114"/>
      <c r="D1334" s="114"/>
      <c r="E1334" s="71">
        <v>4969076</v>
      </c>
      <c r="F1334" s="70" t="s">
        <v>2639</v>
      </c>
    </row>
    <row r="1335" spans="2:6">
      <c r="B1335" s="113">
        <v>289</v>
      </c>
      <c r="C1335" s="95">
        <v>44596</v>
      </c>
      <c r="D1335" s="113" t="s">
        <v>415</v>
      </c>
      <c r="E1335" s="184"/>
      <c r="F1335" s="185"/>
    </row>
    <row r="1336" spans="2:6">
      <c r="B1336" s="114"/>
      <c r="C1336" s="114"/>
      <c r="D1336" s="114"/>
      <c r="E1336" s="71" t="s">
        <v>2649</v>
      </c>
      <c r="F1336" s="70" t="s">
        <v>2650</v>
      </c>
    </row>
    <row r="1337" spans="2:6">
      <c r="B1337" s="113">
        <v>290</v>
      </c>
      <c r="C1337" s="95">
        <v>44607</v>
      </c>
      <c r="D1337" s="113" t="s">
        <v>415</v>
      </c>
      <c r="E1337" s="184"/>
      <c r="F1337" s="185"/>
    </row>
    <row r="1338" spans="2:6">
      <c r="B1338" s="114"/>
      <c r="C1338" s="114"/>
      <c r="D1338" s="114"/>
      <c r="E1338" s="71">
        <v>2014550</v>
      </c>
      <c r="F1338" s="70" t="s">
        <v>2651</v>
      </c>
    </row>
    <row r="1339" spans="2:6">
      <c r="B1339" s="113">
        <v>291</v>
      </c>
      <c r="C1339" s="95">
        <v>44608</v>
      </c>
      <c r="D1339" s="113" t="s">
        <v>466</v>
      </c>
      <c r="E1339" s="184"/>
      <c r="F1339" s="185"/>
    </row>
    <row r="1340" spans="2:6">
      <c r="B1340" s="182"/>
      <c r="C1340" s="182"/>
      <c r="D1340" s="182"/>
      <c r="E1340" s="71" t="s">
        <v>2652</v>
      </c>
      <c r="F1340" s="70" t="s">
        <v>2088</v>
      </c>
    </row>
    <row r="1341" spans="2:6">
      <c r="B1341" s="183"/>
      <c r="C1341" s="183"/>
      <c r="D1341" s="183"/>
      <c r="E1341" s="71" t="s">
        <v>2653</v>
      </c>
      <c r="F1341" s="70" t="s">
        <v>979</v>
      </c>
    </row>
    <row r="1342" spans="2:6">
      <c r="B1342" s="113" t="s">
        <v>3207</v>
      </c>
      <c r="C1342" s="95">
        <v>44796</v>
      </c>
      <c r="D1342" s="113" t="s">
        <v>466</v>
      </c>
      <c r="E1342" s="184"/>
      <c r="F1342" s="185"/>
    </row>
    <row r="1343" spans="2:6">
      <c r="B1343" s="182"/>
      <c r="C1343" s="182"/>
      <c r="D1343" s="182"/>
      <c r="E1343" s="71" t="s">
        <v>2652</v>
      </c>
      <c r="F1343" s="70" t="s">
        <v>3208</v>
      </c>
    </row>
    <row r="1344" spans="2:6">
      <c r="B1344" s="183"/>
      <c r="C1344" s="183"/>
      <c r="D1344" s="183"/>
      <c r="E1344" s="71" t="s">
        <v>3209</v>
      </c>
      <c r="F1344" s="70" t="s">
        <v>3210</v>
      </c>
    </row>
    <row r="1345" spans="2:6">
      <c r="B1345" s="113" t="s">
        <v>2666</v>
      </c>
      <c r="C1345" s="95">
        <v>44609</v>
      </c>
      <c r="D1345" s="113" t="s">
        <v>268</v>
      </c>
      <c r="E1345" s="184"/>
      <c r="F1345" s="185"/>
    </row>
    <row r="1346" spans="2:6" ht="12.75" customHeight="1">
      <c r="B1346" s="182"/>
      <c r="C1346" s="182"/>
      <c r="D1346" s="182"/>
      <c r="E1346" s="71" t="s">
        <v>2655</v>
      </c>
      <c r="F1346" s="70" t="s">
        <v>2667</v>
      </c>
    </row>
    <row r="1347" spans="2:6" ht="12.75" customHeight="1">
      <c r="B1347" s="183"/>
      <c r="C1347" s="183"/>
      <c r="D1347" s="183"/>
      <c r="E1347" s="71" t="s">
        <v>2656</v>
      </c>
      <c r="F1347" s="70" t="s">
        <v>2668</v>
      </c>
    </row>
    <row r="1348" spans="2:6" ht="12.75" customHeight="1">
      <c r="B1348" s="183"/>
      <c r="C1348" s="183"/>
      <c r="D1348" s="183"/>
      <c r="E1348" s="71" t="s">
        <v>2669</v>
      </c>
      <c r="F1348" s="70" t="s">
        <v>2670</v>
      </c>
    </row>
    <row r="1349" spans="2:6">
      <c r="B1349" s="113">
        <v>293</v>
      </c>
      <c r="C1349" s="95">
        <v>44609</v>
      </c>
      <c r="D1349" s="113" t="s">
        <v>1384</v>
      </c>
      <c r="E1349" s="184"/>
      <c r="F1349" s="185"/>
    </row>
    <row r="1350" spans="2:6">
      <c r="B1350" s="182"/>
      <c r="C1350" s="182"/>
      <c r="D1350" s="182"/>
      <c r="E1350" s="71" t="s">
        <v>2658</v>
      </c>
      <c r="F1350" s="70" t="s">
        <v>2659</v>
      </c>
    </row>
    <row r="1351" spans="2:6">
      <c r="B1351" s="183"/>
      <c r="C1351" s="183"/>
      <c r="D1351" s="183"/>
      <c r="E1351" s="71" t="s">
        <v>2660</v>
      </c>
      <c r="F1351" s="70" t="s">
        <v>2661</v>
      </c>
    </row>
    <row r="1352" spans="2:6">
      <c r="B1352" s="183"/>
      <c r="C1352" s="183"/>
      <c r="D1352" s="183"/>
      <c r="E1352" s="71" t="s">
        <v>2662</v>
      </c>
      <c r="F1352" s="70" t="s">
        <v>2663</v>
      </c>
    </row>
    <row r="1353" spans="2:6">
      <c r="B1353" s="186"/>
      <c r="C1353" s="186"/>
      <c r="D1353" s="186"/>
      <c r="E1353" s="71" t="s">
        <v>2664</v>
      </c>
      <c r="F1353" s="70" t="s">
        <v>2665</v>
      </c>
    </row>
    <row r="1354" spans="2:6">
      <c r="B1354" s="113">
        <v>294</v>
      </c>
      <c r="C1354" s="95">
        <v>44614</v>
      </c>
      <c r="D1354" s="113" t="s">
        <v>466</v>
      </c>
      <c r="E1354" s="184"/>
      <c r="F1354" s="185"/>
    </row>
    <row r="1355" spans="2:6">
      <c r="B1355" s="182"/>
      <c r="C1355" s="182"/>
      <c r="D1355" s="182"/>
      <c r="E1355" s="71" t="s">
        <v>2671</v>
      </c>
      <c r="F1355" s="70" t="s">
        <v>480</v>
      </c>
    </row>
    <row r="1356" spans="2:6">
      <c r="B1356" s="183"/>
      <c r="C1356" s="183"/>
      <c r="D1356" s="183"/>
      <c r="E1356" s="71" t="s">
        <v>2672</v>
      </c>
      <c r="F1356" s="70" t="s">
        <v>481</v>
      </c>
    </row>
    <row r="1357" spans="2:6">
      <c r="B1357" s="113">
        <v>295</v>
      </c>
      <c r="C1357" s="95">
        <v>44614</v>
      </c>
      <c r="D1357" s="113" t="s">
        <v>415</v>
      </c>
      <c r="E1357" s="184"/>
      <c r="F1357" s="185"/>
    </row>
    <row r="1358" spans="2:6">
      <c r="B1358" s="114"/>
      <c r="C1358" s="114"/>
      <c r="D1358" s="114"/>
      <c r="E1358" s="71" t="s">
        <v>2674</v>
      </c>
      <c r="F1358" s="70" t="s">
        <v>2675</v>
      </c>
    </row>
    <row r="1359" spans="2:6">
      <c r="B1359" s="113">
        <v>296</v>
      </c>
      <c r="C1359" s="95">
        <v>44616</v>
      </c>
      <c r="D1359" s="113" t="s">
        <v>415</v>
      </c>
      <c r="E1359" s="184"/>
      <c r="F1359" s="185"/>
    </row>
    <row r="1360" spans="2:6">
      <c r="B1360" s="182"/>
      <c r="C1360" s="182"/>
      <c r="D1360" s="182"/>
      <c r="E1360" s="71" t="s">
        <v>2676</v>
      </c>
      <c r="F1360" s="70" t="s">
        <v>2677</v>
      </c>
    </row>
    <row r="1361" spans="2:6">
      <c r="B1361" s="183"/>
      <c r="C1361" s="183"/>
      <c r="D1361" s="183"/>
      <c r="E1361" s="71" t="s">
        <v>2678</v>
      </c>
      <c r="F1361" s="70" t="s">
        <v>2679</v>
      </c>
    </row>
    <row r="1362" spans="2:6">
      <c r="B1362" s="183"/>
      <c r="C1362" s="183"/>
      <c r="D1362" s="183"/>
      <c r="E1362" s="71" t="s">
        <v>2680</v>
      </c>
      <c r="F1362" s="70" t="s">
        <v>1273</v>
      </c>
    </row>
    <row r="1363" spans="2:6">
      <c r="B1363" s="183"/>
      <c r="C1363" s="183"/>
      <c r="D1363" s="183"/>
      <c r="E1363" s="71" t="s">
        <v>2681</v>
      </c>
      <c r="F1363" s="70" t="s">
        <v>2682</v>
      </c>
    </row>
    <row r="1364" spans="2:6">
      <c r="B1364" s="183"/>
      <c r="C1364" s="183"/>
      <c r="D1364" s="183"/>
      <c r="E1364" s="71" t="s">
        <v>2683</v>
      </c>
      <c r="F1364" s="70" t="s">
        <v>2684</v>
      </c>
    </row>
    <row r="1365" spans="2:6">
      <c r="B1365" s="183"/>
      <c r="C1365" s="183"/>
      <c r="D1365" s="183"/>
      <c r="E1365" s="71" t="s">
        <v>2685</v>
      </c>
      <c r="F1365" s="70" t="s">
        <v>2686</v>
      </c>
    </row>
    <row r="1366" spans="2:6">
      <c r="B1366" s="183"/>
      <c r="C1366" s="183"/>
      <c r="D1366" s="183"/>
      <c r="E1366" s="71" t="s">
        <v>2687</v>
      </c>
      <c r="F1366" s="70" t="s">
        <v>2688</v>
      </c>
    </row>
    <row r="1367" spans="2:6">
      <c r="B1367" s="183"/>
      <c r="C1367" s="183"/>
      <c r="D1367" s="183"/>
      <c r="E1367" s="71" t="s">
        <v>2689</v>
      </c>
      <c r="F1367" s="70" t="s">
        <v>2690</v>
      </c>
    </row>
    <row r="1368" spans="2:6">
      <c r="B1368" s="183"/>
      <c r="C1368" s="183"/>
      <c r="D1368" s="183"/>
      <c r="E1368" s="71" t="s">
        <v>2691</v>
      </c>
      <c r="F1368" s="70" t="s">
        <v>2692</v>
      </c>
    </row>
    <row r="1369" spans="2:6">
      <c r="B1369" s="183"/>
      <c r="C1369" s="183"/>
      <c r="D1369" s="183"/>
      <c r="E1369" s="71" t="s">
        <v>2693</v>
      </c>
      <c r="F1369" s="70" t="s">
        <v>2694</v>
      </c>
    </row>
    <row r="1370" spans="2:6">
      <c r="B1370" s="183"/>
      <c r="C1370" s="183"/>
      <c r="D1370" s="183"/>
      <c r="E1370" s="71" t="s">
        <v>2695</v>
      </c>
      <c r="F1370" s="70" t="s">
        <v>2696</v>
      </c>
    </row>
    <row r="1371" spans="2:6">
      <c r="B1371" s="183"/>
      <c r="C1371" s="183"/>
      <c r="D1371" s="183"/>
      <c r="E1371" s="71" t="s">
        <v>2697</v>
      </c>
      <c r="F1371" s="70" t="s">
        <v>2698</v>
      </c>
    </row>
    <row r="1372" spans="2:6">
      <c r="B1372" s="183"/>
      <c r="C1372" s="183"/>
      <c r="D1372" s="183"/>
      <c r="E1372" s="71" t="s">
        <v>2699</v>
      </c>
      <c r="F1372" s="70" t="s">
        <v>2700</v>
      </c>
    </row>
    <row r="1373" spans="2:6">
      <c r="B1373" s="183"/>
      <c r="C1373" s="183"/>
      <c r="D1373" s="183"/>
      <c r="E1373" s="71" t="s">
        <v>2701</v>
      </c>
      <c r="F1373" s="70" t="s">
        <v>2702</v>
      </c>
    </row>
    <row r="1374" spans="2:6">
      <c r="B1374" s="183"/>
      <c r="C1374" s="183"/>
      <c r="D1374" s="183"/>
      <c r="E1374" s="71" t="s">
        <v>2703</v>
      </c>
      <c r="F1374" s="70" t="s">
        <v>2704</v>
      </c>
    </row>
    <row r="1375" spans="2:6">
      <c r="B1375" s="183"/>
      <c r="C1375" s="183"/>
      <c r="D1375" s="183"/>
      <c r="E1375" s="71" t="s">
        <v>2705</v>
      </c>
      <c r="F1375" s="70" t="s">
        <v>2706</v>
      </c>
    </row>
    <row r="1376" spans="2:6">
      <c r="B1376" s="183"/>
      <c r="C1376" s="183"/>
      <c r="D1376" s="183"/>
      <c r="E1376" s="71" t="s">
        <v>2707</v>
      </c>
      <c r="F1376" s="70" t="s">
        <v>2708</v>
      </c>
    </row>
    <row r="1377" spans="2:6">
      <c r="B1377" s="183"/>
      <c r="C1377" s="183"/>
      <c r="D1377" s="183"/>
      <c r="E1377" s="71" t="s">
        <v>2709</v>
      </c>
      <c r="F1377" s="70" t="s">
        <v>2710</v>
      </c>
    </row>
    <row r="1378" spans="2:6">
      <c r="B1378" s="186"/>
      <c r="C1378" s="186"/>
      <c r="D1378" s="186"/>
      <c r="E1378" s="71" t="s">
        <v>2711</v>
      </c>
      <c r="F1378" s="70" t="s">
        <v>2712</v>
      </c>
    </row>
    <row r="1379" spans="2:6">
      <c r="B1379" s="113">
        <v>297</v>
      </c>
      <c r="C1379" s="95">
        <v>44616</v>
      </c>
      <c r="D1379" s="113" t="s">
        <v>814</v>
      </c>
      <c r="E1379" s="184"/>
      <c r="F1379" s="185"/>
    </row>
    <row r="1380" spans="2:6">
      <c r="B1380" s="182"/>
      <c r="C1380" s="182"/>
      <c r="D1380" s="182"/>
      <c r="E1380" s="71" t="s">
        <v>349</v>
      </c>
      <c r="F1380" s="70" t="s">
        <v>2713</v>
      </c>
    </row>
    <row r="1381" spans="2:6">
      <c r="B1381" s="183"/>
      <c r="C1381" s="183"/>
      <c r="D1381" s="183"/>
      <c r="E1381" s="71" t="s">
        <v>349</v>
      </c>
      <c r="F1381" s="70" t="s">
        <v>2714</v>
      </c>
    </row>
    <row r="1382" spans="2:6">
      <c r="B1382" s="183"/>
      <c r="C1382" s="183"/>
      <c r="D1382" s="183"/>
      <c r="E1382" s="71" t="s">
        <v>349</v>
      </c>
      <c r="F1382" s="70" t="s">
        <v>2715</v>
      </c>
    </row>
    <row r="1383" spans="2:6">
      <c r="B1383" s="113">
        <v>298</v>
      </c>
      <c r="C1383" s="95">
        <v>44620</v>
      </c>
      <c r="D1383" s="113" t="s">
        <v>466</v>
      </c>
      <c r="E1383" s="184"/>
      <c r="F1383" s="185"/>
    </row>
    <row r="1384" spans="2:6">
      <c r="B1384" s="114"/>
      <c r="C1384" s="114"/>
      <c r="D1384" s="114"/>
      <c r="E1384" s="71" t="s">
        <v>2717</v>
      </c>
      <c r="F1384" s="70" t="s">
        <v>979</v>
      </c>
    </row>
    <row r="1385" spans="2:6">
      <c r="B1385" s="113">
        <v>299</v>
      </c>
      <c r="C1385" s="95">
        <v>44621</v>
      </c>
      <c r="D1385" s="113" t="s">
        <v>466</v>
      </c>
      <c r="E1385" s="184"/>
      <c r="F1385" s="185"/>
    </row>
    <row r="1386" spans="2:6">
      <c r="B1386" s="182"/>
      <c r="C1386" s="182"/>
      <c r="D1386" s="182"/>
      <c r="E1386" s="71" t="s">
        <v>2720</v>
      </c>
      <c r="F1386" s="70" t="s">
        <v>2721</v>
      </c>
    </row>
    <row r="1387" spans="2:6">
      <c r="B1387" s="183"/>
      <c r="C1387" s="183"/>
      <c r="D1387" s="183"/>
      <c r="E1387" s="71" t="s">
        <v>2722</v>
      </c>
      <c r="F1387" s="70" t="s">
        <v>2723</v>
      </c>
    </row>
    <row r="1388" spans="2:6">
      <c r="B1388" s="113">
        <v>300</v>
      </c>
      <c r="C1388" s="95">
        <v>44622</v>
      </c>
      <c r="D1388" s="113" t="s">
        <v>1384</v>
      </c>
      <c r="E1388" s="184"/>
      <c r="F1388" s="185"/>
    </row>
    <row r="1389" spans="2:6">
      <c r="B1389" s="182"/>
      <c r="C1389" s="182"/>
      <c r="D1389" s="182"/>
      <c r="E1389" s="71">
        <v>4780479</v>
      </c>
      <c r="F1389" s="70" t="s">
        <v>2731</v>
      </c>
    </row>
    <row r="1390" spans="2:6">
      <c r="B1390" s="183"/>
      <c r="C1390" s="183"/>
      <c r="D1390" s="183"/>
      <c r="E1390" s="71">
        <v>5041782</v>
      </c>
      <c r="F1390" s="70" t="s">
        <v>2732</v>
      </c>
    </row>
    <row r="1391" spans="2:6">
      <c r="B1391" s="113">
        <v>301</v>
      </c>
      <c r="C1391" s="95">
        <v>44623</v>
      </c>
      <c r="D1391" s="113" t="s">
        <v>466</v>
      </c>
      <c r="E1391" s="184"/>
      <c r="F1391" s="185"/>
    </row>
    <row r="1392" spans="2:6">
      <c r="B1392" s="182"/>
      <c r="C1392" s="182"/>
      <c r="D1392" s="182"/>
      <c r="E1392" s="71" t="s">
        <v>349</v>
      </c>
      <c r="F1392" s="70" t="s">
        <v>2734</v>
      </c>
    </row>
    <row r="1393" spans="2:6">
      <c r="B1393" s="183"/>
      <c r="C1393" s="183"/>
      <c r="D1393" s="183"/>
      <c r="E1393" s="71" t="s">
        <v>349</v>
      </c>
      <c r="F1393" s="70" t="s">
        <v>2735</v>
      </c>
    </row>
    <row r="1394" spans="2:6">
      <c r="B1394" s="183"/>
      <c r="C1394" s="183"/>
      <c r="D1394" s="183"/>
      <c r="E1394" s="71" t="s">
        <v>349</v>
      </c>
      <c r="F1394" s="70" t="s">
        <v>2736</v>
      </c>
    </row>
    <row r="1395" spans="2:6">
      <c r="B1395" s="183"/>
      <c r="C1395" s="183"/>
      <c r="D1395" s="183"/>
      <c r="E1395" s="71" t="s">
        <v>349</v>
      </c>
      <c r="F1395" s="70" t="s">
        <v>2737</v>
      </c>
    </row>
    <row r="1396" spans="2:6">
      <c r="B1396" s="183"/>
      <c r="C1396" s="183"/>
      <c r="D1396" s="183"/>
      <c r="E1396" s="71" t="s">
        <v>349</v>
      </c>
      <c r="F1396" s="70" t="s">
        <v>2738</v>
      </c>
    </row>
    <row r="1397" spans="2:6">
      <c r="B1397" s="183"/>
      <c r="C1397" s="183"/>
      <c r="D1397" s="183"/>
      <c r="E1397" s="71" t="s">
        <v>349</v>
      </c>
      <c r="F1397" s="70" t="s">
        <v>2739</v>
      </c>
    </row>
    <row r="1398" spans="2:6">
      <c r="B1398" s="183"/>
      <c r="C1398" s="183"/>
      <c r="D1398" s="183"/>
      <c r="E1398" s="71" t="s">
        <v>349</v>
      </c>
      <c r="F1398" s="70" t="s">
        <v>2740</v>
      </c>
    </row>
    <row r="1399" spans="2:6">
      <c r="B1399" s="183"/>
      <c r="C1399" s="183"/>
      <c r="D1399" s="183"/>
      <c r="E1399" s="71" t="s">
        <v>349</v>
      </c>
      <c r="F1399" s="70" t="s">
        <v>2741</v>
      </c>
    </row>
    <row r="1400" spans="2:6">
      <c r="B1400" s="183"/>
      <c r="C1400" s="183"/>
      <c r="D1400" s="183"/>
      <c r="E1400" s="71" t="s">
        <v>349</v>
      </c>
      <c r="F1400" s="70" t="s">
        <v>2742</v>
      </c>
    </row>
    <row r="1401" spans="2:6">
      <c r="B1401" s="183"/>
      <c r="C1401" s="183"/>
      <c r="D1401" s="183"/>
      <c r="E1401" s="71" t="s">
        <v>349</v>
      </c>
      <c r="F1401" s="70" t="s">
        <v>2743</v>
      </c>
    </row>
    <row r="1402" spans="2:6">
      <c r="B1402" s="183"/>
      <c r="C1402" s="183"/>
      <c r="D1402" s="183"/>
      <c r="E1402" s="71" t="s">
        <v>349</v>
      </c>
      <c r="F1402" s="70" t="s">
        <v>2744</v>
      </c>
    </row>
    <row r="1403" spans="2:6">
      <c r="B1403" s="183"/>
      <c r="C1403" s="183"/>
      <c r="D1403" s="183"/>
      <c r="E1403" s="71" t="s">
        <v>349</v>
      </c>
      <c r="F1403" s="70" t="s">
        <v>2745</v>
      </c>
    </row>
    <row r="1404" spans="2:6">
      <c r="B1404" s="183"/>
      <c r="C1404" s="183"/>
      <c r="D1404" s="183"/>
      <c r="E1404" s="71" t="s">
        <v>349</v>
      </c>
      <c r="F1404" s="70" t="s">
        <v>2746</v>
      </c>
    </row>
    <row r="1405" spans="2:6">
      <c r="B1405" s="183"/>
      <c r="C1405" s="183"/>
      <c r="D1405" s="183"/>
      <c r="E1405" s="71" t="s">
        <v>349</v>
      </c>
      <c r="F1405" s="70" t="s">
        <v>2747</v>
      </c>
    </row>
    <row r="1406" spans="2:6">
      <c r="B1406" s="183"/>
      <c r="C1406" s="183"/>
      <c r="D1406" s="183"/>
      <c r="E1406" s="71" t="s">
        <v>349</v>
      </c>
      <c r="F1406" s="70" t="s">
        <v>2748</v>
      </c>
    </row>
    <row r="1407" spans="2:6">
      <c r="B1407" s="113">
        <v>302</v>
      </c>
      <c r="C1407" s="95">
        <v>44631</v>
      </c>
      <c r="D1407" s="113" t="s">
        <v>1384</v>
      </c>
      <c r="E1407" s="184"/>
      <c r="F1407" s="185"/>
    </row>
    <row r="1408" spans="2:6">
      <c r="B1408" s="182"/>
      <c r="C1408" s="182"/>
      <c r="D1408" s="182"/>
      <c r="E1408" s="71">
        <v>4993467</v>
      </c>
      <c r="F1408" s="70" t="s">
        <v>2755</v>
      </c>
    </row>
    <row r="1409" spans="2:6">
      <c r="B1409" s="183"/>
      <c r="C1409" s="183"/>
      <c r="D1409" s="183"/>
      <c r="E1409" s="71">
        <v>5069182</v>
      </c>
      <c r="F1409" s="70" t="s">
        <v>2756</v>
      </c>
    </row>
    <row r="1410" spans="2:6">
      <c r="B1410" s="183"/>
      <c r="C1410" s="183"/>
      <c r="D1410" s="183"/>
      <c r="E1410" s="71">
        <v>5069182</v>
      </c>
      <c r="F1410" s="70" t="s">
        <v>2757</v>
      </c>
    </row>
    <row r="1411" spans="2:6">
      <c r="B1411" s="183"/>
      <c r="C1411" s="183"/>
      <c r="D1411" s="183"/>
      <c r="E1411" s="71">
        <v>5092140</v>
      </c>
      <c r="F1411" s="70" t="s">
        <v>2758</v>
      </c>
    </row>
    <row r="1412" spans="2:6">
      <c r="B1412" s="183"/>
      <c r="C1412" s="183"/>
      <c r="D1412" s="183"/>
      <c r="E1412" s="71">
        <v>5092140</v>
      </c>
      <c r="F1412" s="70" t="s">
        <v>2759</v>
      </c>
    </row>
    <row r="1413" spans="2:6">
      <c r="B1413" s="113">
        <v>303</v>
      </c>
      <c r="C1413" s="95">
        <v>44631</v>
      </c>
      <c r="D1413" s="113" t="s">
        <v>685</v>
      </c>
      <c r="E1413" s="184"/>
      <c r="F1413" s="185"/>
    </row>
    <row r="1414" spans="2:6">
      <c r="B1414" s="182"/>
      <c r="C1414" s="182"/>
      <c r="D1414" s="182"/>
      <c r="E1414" s="71" t="s">
        <v>349</v>
      </c>
      <c r="F1414" s="70" t="s">
        <v>2762</v>
      </c>
    </row>
    <row r="1415" spans="2:6">
      <c r="B1415" s="183"/>
      <c r="C1415" s="183"/>
      <c r="D1415" s="183"/>
      <c r="E1415" s="71" t="s">
        <v>349</v>
      </c>
      <c r="F1415" s="70" t="s">
        <v>2763</v>
      </c>
    </row>
    <row r="1416" spans="2:6">
      <c r="B1416" s="113">
        <v>304</v>
      </c>
      <c r="C1416" s="95">
        <v>44635</v>
      </c>
      <c r="D1416" s="113" t="s">
        <v>466</v>
      </c>
      <c r="E1416" s="184"/>
      <c r="F1416" s="185"/>
    </row>
    <row r="1417" spans="2:6">
      <c r="B1417" s="182"/>
      <c r="C1417" s="182"/>
      <c r="D1417" s="182"/>
      <c r="E1417" s="71" t="s">
        <v>349</v>
      </c>
      <c r="F1417" s="70" t="s">
        <v>2769</v>
      </c>
    </row>
    <row r="1418" spans="2:6">
      <c r="B1418" s="183"/>
      <c r="C1418" s="183"/>
      <c r="D1418" s="183"/>
      <c r="E1418" s="71" t="s">
        <v>349</v>
      </c>
      <c r="F1418" s="70" t="s">
        <v>2765</v>
      </c>
    </row>
    <row r="1419" spans="2:6">
      <c r="B1419" s="183"/>
      <c r="C1419" s="183"/>
      <c r="D1419" s="183"/>
      <c r="E1419" s="71" t="s">
        <v>349</v>
      </c>
      <c r="F1419" s="70" t="s">
        <v>2766</v>
      </c>
    </row>
    <row r="1420" spans="2:6">
      <c r="B1420" s="183"/>
      <c r="C1420" s="183"/>
      <c r="D1420" s="183"/>
      <c r="E1420" s="71" t="s">
        <v>349</v>
      </c>
      <c r="F1420" s="70" t="s">
        <v>2767</v>
      </c>
    </row>
    <row r="1421" spans="2:6">
      <c r="B1421" s="183"/>
      <c r="C1421" s="183"/>
      <c r="D1421" s="183"/>
      <c r="E1421" s="71" t="s">
        <v>349</v>
      </c>
      <c r="F1421" s="70" t="s">
        <v>2768</v>
      </c>
    </row>
    <row r="1422" spans="2:6">
      <c r="B1422" s="113">
        <v>305</v>
      </c>
      <c r="C1422" s="95">
        <v>44643</v>
      </c>
      <c r="D1422" s="113" t="s">
        <v>415</v>
      </c>
      <c r="E1422" s="184"/>
      <c r="F1422" s="185"/>
    </row>
    <row r="1423" spans="2:6">
      <c r="B1423" s="182"/>
      <c r="C1423" s="182"/>
      <c r="D1423" s="182"/>
      <c r="E1423" s="71" t="s">
        <v>349</v>
      </c>
      <c r="F1423" s="70" t="s">
        <v>2770</v>
      </c>
    </row>
    <row r="1424" spans="2:6">
      <c r="B1424" s="183"/>
      <c r="C1424" s="183"/>
      <c r="D1424" s="183"/>
      <c r="E1424" s="71" t="s">
        <v>349</v>
      </c>
      <c r="F1424" s="70" t="s">
        <v>2771</v>
      </c>
    </row>
    <row r="1425" spans="2:6">
      <c r="B1425" s="183"/>
      <c r="C1425" s="183"/>
      <c r="D1425" s="183"/>
      <c r="E1425" s="71" t="s">
        <v>349</v>
      </c>
      <c r="F1425" s="70" t="s">
        <v>2772</v>
      </c>
    </row>
    <row r="1426" spans="2:6">
      <c r="B1426" s="186"/>
      <c r="C1426" s="186"/>
      <c r="D1426" s="186"/>
      <c r="E1426" s="71" t="s">
        <v>349</v>
      </c>
      <c r="F1426" s="70" t="s">
        <v>2773</v>
      </c>
    </row>
    <row r="1427" spans="2:6">
      <c r="B1427" s="113">
        <v>306</v>
      </c>
      <c r="C1427" s="95">
        <v>44643</v>
      </c>
      <c r="D1427" s="113" t="s">
        <v>1384</v>
      </c>
      <c r="E1427" s="184"/>
      <c r="F1427" s="185"/>
    </row>
    <row r="1428" spans="2:6">
      <c r="B1428" s="182"/>
      <c r="C1428" s="182"/>
      <c r="D1428" s="182"/>
      <c r="E1428" s="71" t="s">
        <v>2774</v>
      </c>
      <c r="F1428" s="70" t="s">
        <v>2775</v>
      </c>
    </row>
    <row r="1429" spans="2:6">
      <c r="B1429" s="183"/>
      <c r="C1429" s="183"/>
      <c r="D1429" s="183"/>
      <c r="E1429" s="71" t="s">
        <v>2776</v>
      </c>
      <c r="F1429" s="70" t="s">
        <v>2777</v>
      </c>
    </row>
    <row r="1430" spans="2:6">
      <c r="B1430" s="183"/>
      <c r="C1430" s="183"/>
      <c r="D1430" s="183"/>
      <c r="E1430" s="71" t="s">
        <v>2778</v>
      </c>
      <c r="F1430" s="70" t="s">
        <v>2779</v>
      </c>
    </row>
    <row r="1431" spans="2:6">
      <c r="B1431" s="183"/>
      <c r="C1431" s="183"/>
      <c r="D1431" s="183"/>
      <c r="E1431" s="71">
        <v>5093966</v>
      </c>
      <c r="F1431" s="70" t="s">
        <v>2780</v>
      </c>
    </row>
    <row r="1432" spans="2:6">
      <c r="B1432" s="183"/>
      <c r="C1432" s="183"/>
      <c r="D1432" s="183"/>
      <c r="E1432" s="71" t="s">
        <v>2781</v>
      </c>
      <c r="F1432" s="70" t="s">
        <v>2782</v>
      </c>
    </row>
    <row r="1433" spans="2:6">
      <c r="B1433" s="113">
        <v>307</v>
      </c>
      <c r="C1433" s="95">
        <v>44644</v>
      </c>
      <c r="D1433" s="113" t="s">
        <v>685</v>
      </c>
      <c r="E1433" s="184"/>
      <c r="F1433" s="185"/>
    </row>
    <row r="1434" spans="2:6">
      <c r="B1434" s="182"/>
      <c r="C1434" s="182"/>
      <c r="D1434" s="182"/>
      <c r="E1434" s="71" t="s">
        <v>349</v>
      </c>
      <c r="F1434" s="70" t="s">
        <v>2784</v>
      </c>
    </row>
    <row r="1435" spans="2:6">
      <c r="B1435" s="183"/>
      <c r="C1435" s="183"/>
      <c r="D1435" s="183"/>
      <c r="E1435" s="71" t="s">
        <v>349</v>
      </c>
      <c r="F1435" s="70" t="s">
        <v>2785</v>
      </c>
    </row>
    <row r="1436" spans="2:6">
      <c r="B1436" s="113">
        <v>308</v>
      </c>
      <c r="C1436" s="95">
        <v>44644</v>
      </c>
      <c r="D1436" s="113" t="s">
        <v>1953</v>
      </c>
      <c r="E1436" s="184"/>
      <c r="F1436" s="185"/>
    </row>
    <row r="1437" spans="2:6">
      <c r="B1437" s="114"/>
      <c r="C1437" s="114"/>
      <c r="D1437" s="114"/>
      <c r="E1437" s="71" t="s">
        <v>1952</v>
      </c>
      <c r="F1437" s="70" t="s">
        <v>2788</v>
      </c>
    </row>
    <row r="1438" spans="2:6">
      <c r="B1438" s="113">
        <v>309</v>
      </c>
      <c r="C1438" s="95">
        <v>44649</v>
      </c>
      <c r="D1438" s="113" t="s">
        <v>1384</v>
      </c>
      <c r="E1438" s="184"/>
      <c r="F1438" s="185"/>
    </row>
    <row r="1439" spans="2:6">
      <c r="B1439" s="182"/>
      <c r="C1439" s="182"/>
      <c r="D1439" s="182"/>
      <c r="E1439" s="71" t="s">
        <v>2789</v>
      </c>
      <c r="F1439" s="70" t="s">
        <v>2790</v>
      </c>
    </row>
    <row r="1440" spans="2:6">
      <c r="B1440" s="183"/>
      <c r="C1440" s="183"/>
      <c r="D1440" s="183"/>
      <c r="E1440" s="71" t="s">
        <v>2791</v>
      </c>
      <c r="F1440" s="70" t="s">
        <v>2792</v>
      </c>
    </row>
    <row r="1441" spans="2:6">
      <c r="B1441" s="183"/>
      <c r="C1441" s="183"/>
      <c r="D1441" s="183"/>
      <c r="E1441" s="71" t="s">
        <v>2793</v>
      </c>
      <c r="F1441" s="70" t="s">
        <v>2794</v>
      </c>
    </row>
    <row r="1442" spans="2:6">
      <c r="B1442" s="186"/>
      <c r="C1442" s="186"/>
      <c r="D1442" s="186"/>
      <c r="E1442" s="71" t="s">
        <v>2795</v>
      </c>
      <c r="F1442" s="70" t="s">
        <v>2796</v>
      </c>
    </row>
    <row r="1443" spans="2:6">
      <c r="B1443" s="113">
        <v>310</v>
      </c>
      <c r="C1443" s="95">
        <v>44650</v>
      </c>
      <c r="D1443" s="113" t="s">
        <v>466</v>
      </c>
      <c r="E1443" s="184"/>
      <c r="F1443" s="185"/>
    </row>
    <row r="1444" spans="2:6">
      <c r="B1444" s="182"/>
      <c r="C1444" s="182"/>
      <c r="D1444" s="182"/>
      <c r="E1444" s="71" t="s">
        <v>349</v>
      </c>
      <c r="F1444" s="70" t="s">
        <v>2797</v>
      </c>
    </row>
    <row r="1445" spans="2:6">
      <c r="B1445" s="183"/>
      <c r="C1445" s="183"/>
      <c r="D1445" s="183"/>
      <c r="E1445" s="71" t="s">
        <v>349</v>
      </c>
      <c r="F1445" s="70" t="s">
        <v>2799</v>
      </c>
    </row>
    <row r="1446" spans="2:6">
      <c r="B1446" s="183"/>
      <c r="C1446" s="183"/>
      <c r="D1446" s="183"/>
      <c r="E1446" s="71" t="s">
        <v>349</v>
      </c>
      <c r="F1446" s="70" t="s">
        <v>2800</v>
      </c>
    </row>
    <row r="1447" spans="2:6">
      <c r="B1447" s="113">
        <v>311</v>
      </c>
      <c r="C1447" s="95">
        <v>44650</v>
      </c>
      <c r="D1447" s="113" t="s">
        <v>466</v>
      </c>
      <c r="E1447" s="184"/>
      <c r="F1447" s="185"/>
    </row>
    <row r="1448" spans="2:6">
      <c r="B1448" s="182"/>
      <c r="C1448" s="182"/>
      <c r="D1448" s="182"/>
      <c r="E1448" s="71" t="s">
        <v>349</v>
      </c>
      <c r="F1448" s="70" t="s">
        <v>2804</v>
      </c>
    </row>
    <row r="1449" spans="2:6">
      <c r="B1449" s="183"/>
      <c r="C1449" s="183"/>
      <c r="D1449" s="183"/>
      <c r="E1449" s="71" t="s">
        <v>349</v>
      </c>
      <c r="F1449" s="70" t="s">
        <v>2805</v>
      </c>
    </row>
    <row r="1450" spans="2:6">
      <c r="B1450" s="183"/>
      <c r="C1450" s="183"/>
      <c r="D1450" s="183"/>
      <c r="E1450" s="71" t="s">
        <v>349</v>
      </c>
      <c r="F1450" s="70" t="s">
        <v>2806</v>
      </c>
    </row>
    <row r="1451" spans="2:6">
      <c r="B1451" s="183"/>
      <c r="C1451" s="183"/>
      <c r="D1451" s="183"/>
      <c r="E1451" s="71" t="s">
        <v>349</v>
      </c>
      <c r="F1451" s="70" t="s">
        <v>2807</v>
      </c>
    </row>
    <row r="1452" spans="2:6">
      <c r="B1452" s="183"/>
      <c r="C1452" s="183"/>
      <c r="D1452" s="183"/>
      <c r="E1452" s="71" t="s">
        <v>349</v>
      </c>
      <c r="F1452" s="70" t="s">
        <v>2801</v>
      </c>
    </row>
    <row r="1453" spans="2:6">
      <c r="B1453" s="113">
        <v>312</v>
      </c>
      <c r="C1453" s="95">
        <v>44650</v>
      </c>
      <c r="D1453" s="113" t="s">
        <v>1384</v>
      </c>
      <c r="E1453" s="184"/>
      <c r="F1453" s="185"/>
    </row>
    <row r="1454" spans="2:6">
      <c r="B1454" s="182"/>
      <c r="C1454" s="182"/>
      <c r="D1454" s="182"/>
      <c r="E1454" s="71" t="s">
        <v>2814</v>
      </c>
      <c r="F1454" s="70" t="s">
        <v>2815</v>
      </c>
    </row>
    <row r="1455" spans="2:6">
      <c r="B1455" s="183"/>
      <c r="C1455" s="183"/>
      <c r="D1455" s="183"/>
      <c r="E1455" s="71" t="s">
        <v>2812</v>
      </c>
      <c r="F1455" s="70" t="s">
        <v>2816</v>
      </c>
    </row>
    <row r="1456" spans="2:6">
      <c r="B1456" s="113">
        <v>313</v>
      </c>
      <c r="C1456" s="95">
        <v>44650</v>
      </c>
      <c r="D1456" s="113" t="s">
        <v>745</v>
      </c>
      <c r="E1456" s="184"/>
      <c r="F1456" s="185"/>
    </row>
    <row r="1457" spans="2:6">
      <c r="B1457" s="114"/>
      <c r="C1457" s="114"/>
      <c r="D1457" s="114"/>
      <c r="E1457" s="71" t="s">
        <v>2818</v>
      </c>
      <c r="F1457" s="70" t="s">
        <v>722</v>
      </c>
    </row>
    <row r="1458" spans="2:6">
      <c r="B1458" s="113">
        <v>314</v>
      </c>
      <c r="C1458" s="95">
        <v>44652</v>
      </c>
      <c r="D1458" s="113" t="s">
        <v>1953</v>
      </c>
      <c r="E1458" s="184"/>
      <c r="F1458" s="185"/>
    </row>
    <row r="1459" spans="2:6">
      <c r="B1459" s="182"/>
      <c r="C1459" s="182"/>
      <c r="D1459" s="182"/>
      <c r="E1459" s="71" t="s">
        <v>1952</v>
      </c>
      <c r="F1459" s="70" t="s">
        <v>2819</v>
      </c>
    </row>
    <row r="1460" spans="2:6">
      <c r="B1460" s="183"/>
      <c r="C1460" s="183"/>
      <c r="D1460" s="183"/>
      <c r="E1460" s="71" t="s">
        <v>349</v>
      </c>
      <c r="F1460" s="70" t="s">
        <v>2820</v>
      </c>
    </row>
    <row r="1461" spans="2:6">
      <c r="B1461" s="113">
        <v>315</v>
      </c>
      <c r="C1461" s="95">
        <v>44656</v>
      </c>
      <c r="D1461" s="113" t="s">
        <v>685</v>
      </c>
      <c r="E1461" s="184"/>
      <c r="F1461" s="185"/>
    </row>
    <row r="1462" spans="2:6">
      <c r="B1462" s="182"/>
      <c r="C1462" s="182"/>
      <c r="D1462" s="182"/>
      <c r="E1462" s="71" t="s">
        <v>1835</v>
      </c>
      <c r="F1462" s="70" t="s">
        <v>2822</v>
      </c>
    </row>
    <row r="1463" spans="2:6">
      <c r="B1463" s="183"/>
      <c r="C1463" s="183"/>
      <c r="D1463" s="183"/>
      <c r="E1463" s="71" t="s">
        <v>2823</v>
      </c>
      <c r="F1463" s="70" t="s">
        <v>2824</v>
      </c>
    </row>
    <row r="1464" spans="2:6">
      <c r="B1464" s="183"/>
      <c r="C1464" s="183"/>
      <c r="D1464" s="183"/>
      <c r="E1464" s="71" t="s">
        <v>2137</v>
      </c>
      <c r="F1464" s="70" t="s">
        <v>2825</v>
      </c>
    </row>
    <row r="1465" spans="2:6">
      <c r="B1465" s="183"/>
      <c r="C1465" s="183"/>
      <c r="D1465" s="183"/>
      <c r="E1465" s="71" t="s">
        <v>2826</v>
      </c>
      <c r="F1465" s="70" t="s">
        <v>2827</v>
      </c>
    </row>
    <row r="1466" spans="2:6">
      <c r="B1466" s="183"/>
      <c r="C1466" s="183"/>
      <c r="D1466" s="183"/>
      <c r="E1466" s="71" t="s">
        <v>2828</v>
      </c>
      <c r="F1466" s="70" t="s">
        <v>2829</v>
      </c>
    </row>
    <row r="1467" spans="2:6">
      <c r="B1467" s="183"/>
      <c r="C1467" s="183"/>
      <c r="D1467" s="183"/>
      <c r="E1467" s="71" t="s">
        <v>669</v>
      </c>
      <c r="F1467" s="70" t="s">
        <v>2830</v>
      </c>
    </row>
    <row r="1468" spans="2:6">
      <c r="B1468" s="183"/>
      <c r="C1468" s="183"/>
      <c r="D1468" s="183"/>
      <c r="E1468" s="71" t="s">
        <v>698</v>
      </c>
      <c r="F1468" s="70" t="s">
        <v>2831</v>
      </c>
    </row>
    <row r="1469" spans="2:6">
      <c r="B1469" s="183"/>
      <c r="C1469" s="183"/>
      <c r="D1469" s="183"/>
      <c r="E1469" s="71" t="s">
        <v>700</v>
      </c>
      <c r="F1469" s="70" t="s">
        <v>2832</v>
      </c>
    </row>
    <row r="1470" spans="2:6">
      <c r="B1470" s="183"/>
      <c r="C1470" s="183"/>
      <c r="D1470" s="183"/>
      <c r="E1470" s="71" t="s">
        <v>673</v>
      </c>
      <c r="F1470" s="70" t="s">
        <v>2833</v>
      </c>
    </row>
    <row r="1471" spans="2:6">
      <c r="B1471" s="183"/>
      <c r="C1471" s="183"/>
      <c r="D1471" s="183"/>
      <c r="E1471" s="71" t="s">
        <v>674</v>
      </c>
      <c r="F1471" s="70" t="s">
        <v>2834</v>
      </c>
    </row>
    <row r="1472" spans="2:6">
      <c r="B1472" s="183"/>
      <c r="C1472" s="183"/>
      <c r="D1472" s="183"/>
      <c r="E1472" s="71" t="s">
        <v>474</v>
      </c>
      <c r="F1472" s="70" t="s">
        <v>2835</v>
      </c>
    </row>
    <row r="1473" spans="2:6">
      <c r="B1473" s="183"/>
      <c r="C1473" s="183"/>
      <c r="D1473" s="183"/>
      <c r="E1473" s="71" t="s">
        <v>474</v>
      </c>
      <c r="F1473" s="70" t="s">
        <v>2844</v>
      </c>
    </row>
    <row r="1474" spans="2:6">
      <c r="B1474" s="183"/>
      <c r="C1474" s="183"/>
      <c r="D1474" s="183"/>
      <c r="E1474" s="71" t="s">
        <v>1218</v>
      </c>
      <c r="F1474" s="70" t="s">
        <v>2836</v>
      </c>
    </row>
    <row r="1475" spans="2:6">
      <c r="B1475" s="183"/>
      <c r="C1475" s="183"/>
      <c r="D1475" s="183"/>
      <c r="E1475" s="71" t="s">
        <v>2185</v>
      </c>
      <c r="F1475" s="70" t="s">
        <v>2837</v>
      </c>
    </row>
    <row r="1476" spans="2:6">
      <c r="B1476" s="183"/>
      <c r="C1476" s="183"/>
      <c r="D1476" s="183"/>
      <c r="E1476" s="71" t="s">
        <v>676</v>
      </c>
      <c r="F1476" s="70" t="s">
        <v>2838</v>
      </c>
    </row>
    <row r="1477" spans="2:6">
      <c r="B1477" s="183"/>
      <c r="C1477" s="183"/>
      <c r="D1477" s="183"/>
      <c r="E1477" s="71" t="s">
        <v>938</v>
      </c>
      <c r="F1477" s="70" t="s">
        <v>2839</v>
      </c>
    </row>
    <row r="1478" spans="2:6">
      <c r="B1478" s="113">
        <v>316</v>
      </c>
      <c r="C1478" s="95">
        <v>44659</v>
      </c>
      <c r="D1478" s="113" t="s">
        <v>263</v>
      </c>
      <c r="E1478" s="184"/>
      <c r="F1478" s="185"/>
    </row>
    <row r="1479" spans="2:6">
      <c r="B1479" s="182"/>
      <c r="C1479" s="182"/>
      <c r="D1479" s="182"/>
      <c r="E1479" s="71">
        <v>1005677</v>
      </c>
      <c r="F1479" s="70" t="s">
        <v>2845</v>
      </c>
    </row>
    <row r="1480" spans="2:6">
      <c r="B1480" s="183"/>
      <c r="C1480" s="183"/>
      <c r="D1480" s="183"/>
      <c r="E1480" s="71">
        <v>1005678</v>
      </c>
      <c r="F1480" s="70" t="s">
        <v>2846</v>
      </c>
    </row>
    <row r="1481" spans="2:6">
      <c r="B1481" s="113">
        <v>317</v>
      </c>
      <c r="C1481" s="95">
        <v>44659</v>
      </c>
      <c r="D1481" s="113" t="s">
        <v>415</v>
      </c>
      <c r="E1481" s="184"/>
      <c r="F1481" s="185"/>
    </row>
    <row r="1482" spans="2:6">
      <c r="B1482" s="114"/>
      <c r="C1482" s="114"/>
      <c r="D1482" s="114"/>
      <c r="E1482" s="71" t="s">
        <v>349</v>
      </c>
      <c r="F1482" s="70" t="s">
        <v>2849</v>
      </c>
    </row>
    <row r="1483" spans="2:6">
      <c r="B1483" s="113">
        <v>318</v>
      </c>
      <c r="C1483" s="95">
        <v>44662</v>
      </c>
      <c r="D1483" s="113" t="s">
        <v>263</v>
      </c>
      <c r="E1483" s="184"/>
      <c r="F1483" s="185"/>
    </row>
    <row r="1484" spans="2:6">
      <c r="B1484" s="114"/>
      <c r="C1484" s="114"/>
      <c r="D1484" s="114"/>
      <c r="E1484" s="71" t="s">
        <v>2850</v>
      </c>
      <c r="F1484" s="70" t="s">
        <v>2851</v>
      </c>
    </row>
    <row r="1485" spans="2:6">
      <c r="B1485" s="113">
        <v>319</v>
      </c>
      <c r="C1485" s="95">
        <v>44662</v>
      </c>
      <c r="D1485" s="113" t="s">
        <v>268</v>
      </c>
      <c r="E1485" s="184"/>
      <c r="F1485" s="185"/>
    </row>
    <row r="1486" spans="2:6">
      <c r="B1486" s="182"/>
      <c r="C1486" s="182"/>
      <c r="D1486" s="182"/>
      <c r="E1486" s="71" t="s">
        <v>2853</v>
      </c>
      <c r="F1486" s="70" t="s">
        <v>748</v>
      </c>
    </row>
    <row r="1487" spans="2:6">
      <c r="B1487" s="183"/>
      <c r="C1487" s="183"/>
      <c r="D1487" s="183"/>
      <c r="E1487" s="71" t="s">
        <v>2854</v>
      </c>
      <c r="F1487" s="70" t="s">
        <v>264</v>
      </c>
    </row>
    <row r="1488" spans="2:6">
      <c r="B1488" s="183"/>
      <c r="C1488" s="183"/>
      <c r="D1488" s="183"/>
      <c r="E1488" s="71" t="s">
        <v>2855</v>
      </c>
      <c r="F1488" s="70" t="s">
        <v>2856</v>
      </c>
    </row>
    <row r="1489" spans="2:6">
      <c r="B1489" s="183"/>
      <c r="C1489" s="183"/>
      <c r="D1489" s="183"/>
      <c r="E1489" s="71" t="s">
        <v>2857</v>
      </c>
      <c r="F1489" s="70" t="s">
        <v>1642</v>
      </c>
    </row>
    <row r="1490" spans="2:6">
      <c r="B1490" s="113">
        <v>320</v>
      </c>
      <c r="C1490" s="95">
        <v>44665</v>
      </c>
      <c r="D1490" s="113" t="s">
        <v>685</v>
      </c>
      <c r="E1490" s="184"/>
      <c r="F1490" s="185"/>
    </row>
    <row r="1491" spans="2:6">
      <c r="B1491" s="182"/>
      <c r="C1491" s="182"/>
      <c r="D1491" s="182"/>
      <c r="E1491" s="71" t="s">
        <v>687</v>
      </c>
      <c r="F1491" s="70" t="s">
        <v>2862</v>
      </c>
    </row>
    <row r="1492" spans="2:6">
      <c r="B1492" s="183"/>
      <c r="C1492" s="183"/>
      <c r="D1492" s="183"/>
      <c r="E1492" s="71" t="s">
        <v>689</v>
      </c>
      <c r="F1492" s="70" t="s">
        <v>2863</v>
      </c>
    </row>
    <row r="1493" spans="2:6">
      <c r="B1493" s="183"/>
      <c r="C1493" s="183"/>
      <c r="D1493" s="183"/>
      <c r="E1493" s="71" t="s">
        <v>691</v>
      </c>
      <c r="F1493" s="70" t="s">
        <v>2864</v>
      </c>
    </row>
    <row r="1494" spans="2:6">
      <c r="B1494" s="183"/>
      <c r="C1494" s="183"/>
      <c r="D1494" s="183"/>
      <c r="E1494" s="71" t="s">
        <v>693</v>
      </c>
      <c r="F1494" s="70" t="s">
        <v>2865</v>
      </c>
    </row>
    <row r="1495" spans="2:6">
      <c r="B1495" s="113">
        <v>321</v>
      </c>
      <c r="C1495" s="95">
        <v>44673</v>
      </c>
      <c r="D1495" s="113" t="s">
        <v>415</v>
      </c>
      <c r="E1495" s="184"/>
      <c r="F1495" s="185"/>
    </row>
    <row r="1496" spans="2:6">
      <c r="B1496" s="182"/>
      <c r="C1496" s="182"/>
      <c r="D1496" s="182"/>
      <c r="E1496" s="71" t="s">
        <v>2888</v>
      </c>
      <c r="F1496" s="70" t="s">
        <v>2889</v>
      </c>
    </row>
    <row r="1497" spans="2:6">
      <c r="B1497" s="183"/>
      <c r="C1497" s="183"/>
      <c r="D1497" s="183"/>
      <c r="E1497" s="71" t="s">
        <v>2866</v>
      </c>
      <c r="F1497" s="70" t="s">
        <v>2867</v>
      </c>
    </row>
    <row r="1498" spans="2:6">
      <c r="B1498" s="183"/>
      <c r="C1498" s="183"/>
      <c r="D1498" s="183"/>
      <c r="E1498" s="120" t="s">
        <v>2868</v>
      </c>
      <c r="F1498" s="170" t="s">
        <v>2869</v>
      </c>
    </row>
    <row r="1499" spans="2:6">
      <c r="B1499" s="183"/>
      <c r="C1499" s="183"/>
      <c r="D1499" s="183"/>
      <c r="E1499" s="71" t="s">
        <v>2870</v>
      </c>
      <c r="F1499" s="70" t="s">
        <v>2871</v>
      </c>
    </row>
    <row r="1500" spans="2:6">
      <c r="B1500" s="183"/>
      <c r="C1500" s="183"/>
      <c r="D1500" s="183"/>
      <c r="E1500" s="71" t="s">
        <v>2872</v>
      </c>
      <c r="F1500" s="70" t="s">
        <v>2873</v>
      </c>
    </row>
    <row r="1501" spans="2:6">
      <c r="B1501" s="183"/>
      <c r="C1501" s="183"/>
      <c r="D1501" s="183"/>
      <c r="E1501" s="71" t="s">
        <v>2874</v>
      </c>
      <c r="F1501" s="70" t="s">
        <v>2875</v>
      </c>
    </row>
    <row r="1502" spans="2:6">
      <c r="B1502" s="183"/>
      <c r="C1502" s="183"/>
      <c r="D1502" s="183"/>
      <c r="E1502" s="71" t="s">
        <v>2876</v>
      </c>
      <c r="F1502" s="70" t="s">
        <v>2877</v>
      </c>
    </row>
    <row r="1503" spans="2:6">
      <c r="B1503" s="183"/>
      <c r="C1503" s="183"/>
      <c r="D1503" s="183"/>
      <c r="E1503" s="71" t="s">
        <v>2878</v>
      </c>
      <c r="F1503" s="70" t="s">
        <v>2879</v>
      </c>
    </row>
    <row r="1504" spans="2:6">
      <c r="B1504" s="183"/>
      <c r="C1504" s="183"/>
      <c r="D1504" s="183"/>
      <c r="E1504" s="71" t="s">
        <v>2880</v>
      </c>
      <c r="F1504" s="70" t="s">
        <v>2881</v>
      </c>
    </row>
    <row r="1505" spans="2:6">
      <c r="B1505" s="183"/>
      <c r="C1505" s="183"/>
      <c r="D1505" s="183"/>
      <c r="E1505" s="71" t="s">
        <v>2882</v>
      </c>
      <c r="F1505" s="70" t="s">
        <v>2883</v>
      </c>
    </row>
    <row r="1506" spans="2:6">
      <c r="B1506" s="183"/>
      <c r="C1506" s="183"/>
      <c r="D1506" s="183"/>
      <c r="E1506" s="71" t="s">
        <v>2884</v>
      </c>
      <c r="F1506" s="70" t="s">
        <v>2885</v>
      </c>
    </row>
    <row r="1507" spans="2:6">
      <c r="B1507" s="186"/>
      <c r="C1507" s="186"/>
      <c r="D1507" s="186"/>
      <c r="E1507" s="71" t="s">
        <v>2886</v>
      </c>
      <c r="F1507" s="70" t="s">
        <v>2887</v>
      </c>
    </row>
    <row r="1508" spans="2:6">
      <c r="B1508" s="113">
        <v>322</v>
      </c>
      <c r="C1508" s="95">
        <v>44677</v>
      </c>
      <c r="D1508" s="113" t="s">
        <v>685</v>
      </c>
      <c r="E1508" s="184"/>
      <c r="F1508" s="185"/>
    </row>
    <row r="1509" spans="2:6">
      <c r="B1509" s="182"/>
      <c r="C1509" s="182"/>
      <c r="D1509" s="182"/>
      <c r="E1509" s="71" t="s">
        <v>349</v>
      </c>
      <c r="F1509" s="70" t="s">
        <v>2890</v>
      </c>
    </row>
    <row r="1510" spans="2:6">
      <c r="B1510" s="183"/>
      <c r="C1510" s="183"/>
      <c r="D1510" s="183"/>
      <c r="E1510" s="71" t="s">
        <v>349</v>
      </c>
      <c r="F1510" s="70" t="s">
        <v>2891</v>
      </c>
    </row>
    <row r="1511" spans="2:6">
      <c r="B1511" s="113">
        <v>323</v>
      </c>
      <c r="C1511" s="95">
        <v>44677</v>
      </c>
      <c r="D1511" s="113" t="s">
        <v>1384</v>
      </c>
      <c r="E1511" s="184"/>
      <c r="F1511" s="185"/>
    </row>
    <row r="1512" spans="2:6">
      <c r="B1512" s="182"/>
      <c r="C1512" s="182"/>
      <c r="D1512" s="182"/>
      <c r="E1512" s="71" t="s">
        <v>2895</v>
      </c>
      <c r="F1512" s="70" t="s">
        <v>2896</v>
      </c>
    </row>
    <row r="1513" spans="2:6">
      <c r="B1513" s="183"/>
      <c r="C1513" s="183"/>
      <c r="D1513" s="183"/>
      <c r="E1513" s="71" t="s">
        <v>2893</v>
      </c>
      <c r="F1513" s="70" t="s">
        <v>2897</v>
      </c>
    </row>
    <row r="1514" spans="2:6">
      <c r="B1514" s="113">
        <v>324</v>
      </c>
      <c r="C1514" s="95">
        <v>44678</v>
      </c>
      <c r="D1514" s="113" t="s">
        <v>415</v>
      </c>
      <c r="E1514" s="184"/>
      <c r="F1514" s="185"/>
    </row>
    <row r="1515" spans="2:6">
      <c r="B1515" s="114"/>
      <c r="C1515" s="114"/>
      <c r="D1515" s="114"/>
      <c r="E1515" s="71" t="s">
        <v>2898</v>
      </c>
      <c r="F1515" s="70" t="s">
        <v>2899</v>
      </c>
    </row>
    <row r="1516" spans="2:6">
      <c r="B1516" s="113">
        <v>325</v>
      </c>
      <c r="C1516" s="95">
        <v>44678</v>
      </c>
      <c r="D1516" s="113" t="s">
        <v>466</v>
      </c>
      <c r="E1516" s="184"/>
      <c r="F1516" s="185"/>
    </row>
    <row r="1517" spans="2:6">
      <c r="B1517" s="182"/>
      <c r="C1517" s="182"/>
      <c r="D1517" s="182"/>
      <c r="E1517" s="71" t="s">
        <v>2900</v>
      </c>
      <c r="F1517" s="70" t="s">
        <v>257</v>
      </c>
    </row>
    <row r="1518" spans="2:6">
      <c r="B1518" s="183"/>
      <c r="C1518" s="183"/>
      <c r="D1518" s="183"/>
      <c r="E1518" s="71" t="s">
        <v>2901</v>
      </c>
      <c r="F1518" s="70" t="s">
        <v>480</v>
      </c>
    </row>
    <row r="1519" spans="2:6">
      <c r="B1519" s="183"/>
      <c r="C1519" s="183"/>
      <c r="D1519" s="183"/>
      <c r="E1519" s="71" t="s">
        <v>2902</v>
      </c>
      <c r="F1519" s="70" t="s">
        <v>481</v>
      </c>
    </row>
    <row r="1520" spans="2:6">
      <c r="B1520" s="113" t="s">
        <v>2906</v>
      </c>
      <c r="C1520" s="95">
        <v>44691</v>
      </c>
      <c r="D1520" s="113" t="s">
        <v>1953</v>
      </c>
      <c r="E1520" s="184"/>
      <c r="F1520" s="185"/>
    </row>
    <row r="1521" spans="2:6">
      <c r="B1521" s="182"/>
      <c r="C1521" s="182"/>
      <c r="D1521" s="182"/>
      <c r="E1521" s="71" t="s">
        <v>2904</v>
      </c>
      <c r="F1521" s="70" t="s">
        <v>1956</v>
      </c>
    </row>
    <row r="1522" spans="2:6">
      <c r="B1522" s="183"/>
      <c r="C1522" s="183"/>
      <c r="D1522" s="183"/>
      <c r="E1522" s="71" t="s">
        <v>2904</v>
      </c>
      <c r="F1522" s="70" t="s">
        <v>1739</v>
      </c>
    </row>
    <row r="1523" spans="2:6">
      <c r="B1523" s="113">
        <v>327</v>
      </c>
      <c r="C1523" s="95">
        <v>44701</v>
      </c>
      <c r="D1523" s="113" t="s">
        <v>466</v>
      </c>
      <c r="E1523" s="184"/>
      <c r="F1523" s="185"/>
    </row>
    <row r="1524" spans="2:6">
      <c r="B1524" s="182"/>
      <c r="C1524" s="182"/>
      <c r="D1524" s="182"/>
      <c r="E1524" s="71" t="s">
        <v>2907</v>
      </c>
      <c r="F1524" s="70" t="s">
        <v>2908</v>
      </c>
    </row>
    <row r="1525" spans="2:6">
      <c r="B1525" s="183"/>
      <c r="C1525" s="183"/>
      <c r="D1525" s="183"/>
      <c r="E1525" s="71" t="s">
        <v>2909</v>
      </c>
      <c r="F1525" s="70" t="s">
        <v>2910</v>
      </c>
    </row>
    <row r="1526" spans="2:6">
      <c r="B1526" s="183"/>
      <c r="C1526" s="183"/>
      <c r="D1526" s="183"/>
      <c r="E1526" s="71" t="s">
        <v>2911</v>
      </c>
      <c r="F1526" s="70" t="s">
        <v>2912</v>
      </c>
    </row>
    <row r="1527" spans="2:6">
      <c r="B1527" s="183"/>
      <c r="C1527" s="183"/>
      <c r="D1527" s="183"/>
      <c r="E1527" s="71" t="s">
        <v>2913</v>
      </c>
      <c r="F1527" s="70" t="s">
        <v>2914</v>
      </c>
    </row>
    <row r="1528" spans="2:6">
      <c r="B1528" s="113">
        <v>328</v>
      </c>
      <c r="C1528" s="95">
        <v>44701</v>
      </c>
      <c r="D1528" s="113" t="s">
        <v>415</v>
      </c>
      <c r="E1528" s="184"/>
      <c r="F1528" s="185"/>
    </row>
    <row r="1529" spans="2:6">
      <c r="B1529" s="182"/>
      <c r="C1529" s="182"/>
      <c r="D1529" s="182"/>
      <c r="E1529" s="71" t="s">
        <v>2921</v>
      </c>
      <c r="F1529" s="70" t="s">
        <v>2922</v>
      </c>
    </row>
    <row r="1530" spans="2:6">
      <c r="B1530" s="183"/>
      <c r="C1530" s="183"/>
      <c r="D1530" s="183"/>
      <c r="E1530" s="71" t="s">
        <v>2923</v>
      </c>
      <c r="F1530" s="70" t="s">
        <v>2924</v>
      </c>
    </row>
    <row r="1531" spans="2:6">
      <c r="B1531" s="183"/>
      <c r="C1531" s="183"/>
      <c r="D1531" s="183"/>
      <c r="E1531" s="71" t="s">
        <v>2925</v>
      </c>
      <c r="F1531" s="70" t="s">
        <v>2926</v>
      </c>
    </row>
    <row r="1532" spans="2:6">
      <c r="B1532" s="113">
        <v>329</v>
      </c>
      <c r="C1532" s="95">
        <v>44701</v>
      </c>
      <c r="D1532" s="113" t="s">
        <v>466</v>
      </c>
      <c r="E1532" s="184"/>
      <c r="F1532" s="185"/>
    </row>
    <row r="1533" spans="2:6">
      <c r="B1533" s="114"/>
      <c r="C1533" s="114"/>
      <c r="D1533" s="114"/>
      <c r="E1533" s="71" t="s">
        <v>2919</v>
      </c>
      <c r="F1533" s="70" t="s">
        <v>2920</v>
      </c>
    </row>
    <row r="1534" spans="2:6">
      <c r="B1534" s="113">
        <v>330</v>
      </c>
      <c r="C1534" s="95">
        <v>44701</v>
      </c>
      <c r="D1534" s="113" t="s">
        <v>685</v>
      </c>
      <c r="E1534" s="184"/>
      <c r="F1534" s="185"/>
    </row>
    <row r="1535" spans="2:6">
      <c r="B1535" s="114"/>
      <c r="C1535" s="114"/>
      <c r="D1535" s="114"/>
      <c r="E1535" s="71" t="s">
        <v>676</v>
      </c>
      <c r="F1535" s="70" t="s">
        <v>2928</v>
      </c>
    </row>
    <row r="1536" spans="2:6">
      <c r="B1536" s="113">
        <v>331</v>
      </c>
      <c r="C1536" s="95">
        <v>44701</v>
      </c>
      <c r="D1536" s="113" t="s">
        <v>2932</v>
      </c>
      <c r="E1536" s="184"/>
      <c r="F1536" s="185"/>
    </row>
    <row r="1537" spans="2:6">
      <c r="B1537" s="182"/>
      <c r="C1537" s="182"/>
      <c r="D1537" s="182"/>
      <c r="E1537" s="71" t="s">
        <v>2933</v>
      </c>
      <c r="F1537" s="70" t="s">
        <v>2934</v>
      </c>
    </row>
    <row r="1538" spans="2:6">
      <c r="B1538" s="183"/>
      <c r="C1538" s="183"/>
      <c r="D1538" s="183"/>
      <c r="E1538" s="71" t="s">
        <v>2935</v>
      </c>
      <c r="F1538" s="70" t="s">
        <v>2936</v>
      </c>
    </row>
    <row r="1539" spans="2:6">
      <c r="B1539" s="183"/>
      <c r="C1539" s="183"/>
      <c r="D1539" s="183"/>
      <c r="E1539" s="71" t="s">
        <v>2937</v>
      </c>
      <c r="F1539" s="70" t="s">
        <v>2938</v>
      </c>
    </row>
    <row r="1540" spans="2:6">
      <c r="B1540" s="183"/>
      <c r="C1540" s="183"/>
      <c r="D1540" s="183"/>
      <c r="E1540" s="71" t="s">
        <v>2939</v>
      </c>
      <c r="F1540" s="70" t="s">
        <v>2940</v>
      </c>
    </row>
    <row r="1541" spans="2:6">
      <c r="B1541" s="183"/>
      <c r="C1541" s="183"/>
      <c r="D1541" s="183"/>
      <c r="E1541" s="71" t="s">
        <v>2941</v>
      </c>
      <c r="F1541" s="70" t="s">
        <v>2942</v>
      </c>
    </row>
    <row r="1542" spans="2:6">
      <c r="B1542" s="183"/>
      <c r="C1542" s="183"/>
      <c r="D1542" s="183"/>
      <c r="E1542" s="71" t="s">
        <v>2943</v>
      </c>
      <c r="F1542" s="70" t="s">
        <v>2944</v>
      </c>
    </row>
    <row r="1543" spans="2:6">
      <c r="B1543" s="183"/>
      <c r="C1543" s="183"/>
      <c r="D1543" s="183"/>
      <c r="E1543" s="71" t="s">
        <v>2931</v>
      </c>
      <c r="F1543" s="70" t="s">
        <v>2945</v>
      </c>
    </row>
    <row r="1544" spans="2:6">
      <c r="B1544" s="113">
        <v>332</v>
      </c>
      <c r="C1544" s="95">
        <v>44732</v>
      </c>
      <c r="D1544" s="113" t="s">
        <v>466</v>
      </c>
      <c r="E1544" s="184"/>
      <c r="F1544" s="185"/>
    </row>
    <row r="1545" spans="2:6">
      <c r="B1545" s="114"/>
      <c r="C1545" s="114"/>
      <c r="D1545" s="114"/>
      <c r="E1545" s="71" t="s">
        <v>2985</v>
      </c>
      <c r="F1545" s="70" t="s">
        <v>146</v>
      </c>
    </row>
    <row r="1546" spans="2:6">
      <c r="B1546" s="113">
        <v>333</v>
      </c>
      <c r="C1546" s="95">
        <v>44732</v>
      </c>
      <c r="D1546" s="113" t="s">
        <v>685</v>
      </c>
      <c r="E1546" s="184"/>
      <c r="F1546" s="185"/>
    </row>
    <row r="1547" spans="2:6">
      <c r="B1547" s="182"/>
      <c r="C1547" s="182"/>
      <c r="D1547" s="182"/>
      <c r="E1547" s="71" t="s">
        <v>2986</v>
      </c>
      <c r="F1547" s="70" t="s">
        <v>2987</v>
      </c>
    </row>
    <row r="1548" spans="2:6">
      <c r="B1548" s="183"/>
      <c r="C1548" s="183"/>
      <c r="D1548" s="183"/>
      <c r="E1548" s="71" t="s">
        <v>670</v>
      </c>
      <c r="F1548" s="70" t="s">
        <v>2988</v>
      </c>
    </row>
    <row r="1549" spans="2:6">
      <c r="B1549" s="183"/>
      <c r="C1549" s="183"/>
      <c r="D1549" s="183"/>
      <c r="E1549" s="71" t="s">
        <v>2828</v>
      </c>
      <c r="F1549" s="70" t="s">
        <v>2989</v>
      </c>
    </row>
    <row r="1550" spans="2:6">
      <c r="B1550" s="183"/>
      <c r="C1550" s="183"/>
      <c r="D1550" s="183"/>
      <c r="E1550" s="71" t="s">
        <v>1344</v>
      </c>
      <c r="F1550" s="70" t="s">
        <v>2990</v>
      </c>
    </row>
    <row r="1551" spans="2:6">
      <c r="B1551" s="183"/>
      <c r="C1551" s="183"/>
      <c r="D1551" s="183"/>
      <c r="E1551" s="71" t="s">
        <v>1342</v>
      </c>
      <c r="F1551" s="70" t="s">
        <v>2991</v>
      </c>
    </row>
    <row r="1552" spans="2:6">
      <c r="B1552" s="183"/>
      <c r="C1552" s="183"/>
      <c r="D1552" s="183"/>
      <c r="E1552" s="71" t="s">
        <v>1849</v>
      </c>
      <c r="F1552" s="70" t="s">
        <v>2992</v>
      </c>
    </row>
    <row r="1553" spans="2:6">
      <c r="B1553" s="183"/>
      <c r="C1553" s="183"/>
      <c r="D1553" s="183"/>
      <c r="E1553" s="71" t="s">
        <v>671</v>
      </c>
      <c r="F1553" s="70" t="s">
        <v>2993</v>
      </c>
    </row>
    <row r="1554" spans="2:6">
      <c r="B1554" s="183"/>
      <c r="C1554" s="183"/>
      <c r="D1554" s="183"/>
      <c r="E1554" s="71" t="s">
        <v>687</v>
      </c>
      <c r="F1554" s="70" t="s">
        <v>2994</v>
      </c>
    </row>
    <row r="1555" spans="2:6">
      <c r="B1555" s="183"/>
      <c r="C1555" s="183"/>
      <c r="D1555" s="183"/>
      <c r="E1555" s="71" t="s">
        <v>689</v>
      </c>
      <c r="F1555" s="70" t="s">
        <v>2995</v>
      </c>
    </row>
    <row r="1556" spans="2:6">
      <c r="B1556" s="183"/>
      <c r="C1556" s="183"/>
      <c r="D1556" s="183"/>
      <c r="E1556" s="71" t="s">
        <v>1326</v>
      </c>
      <c r="F1556" s="70" t="s">
        <v>2996</v>
      </c>
    </row>
    <row r="1557" spans="2:6">
      <c r="B1557" s="183"/>
      <c r="C1557" s="183"/>
      <c r="D1557" s="183"/>
      <c r="E1557" s="71" t="s">
        <v>1328</v>
      </c>
      <c r="F1557" s="70" t="s">
        <v>2997</v>
      </c>
    </row>
    <row r="1558" spans="2:6">
      <c r="B1558" s="183"/>
      <c r="C1558" s="183"/>
      <c r="D1558" s="183"/>
      <c r="E1558" s="71" t="s">
        <v>1330</v>
      </c>
      <c r="F1558" s="70" t="s">
        <v>2998</v>
      </c>
    </row>
    <row r="1559" spans="2:6">
      <c r="B1559" s="183"/>
      <c r="C1559" s="183"/>
      <c r="D1559" s="183"/>
      <c r="E1559" s="71" t="s">
        <v>1835</v>
      </c>
      <c r="F1559" s="70" t="s">
        <v>2999</v>
      </c>
    </row>
    <row r="1560" spans="2:6">
      <c r="B1560" s="183"/>
      <c r="C1560" s="183"/>
      <c r="D1560" s="183"/>
      <c r="E1560" s="71" t="s">
        <v>2823</v>
      </c>
      <c r="F1560" s="70" t="s">
        <v>3000</v>
      </c>
    </row>
    <row r="1561" spans="2:6">
      <c r="B1561" s="183"/>
      <c r="C1561" s="183"/>
      <c r="D1561" s="183"/>
      <c r="E1561" s="71" t="s">
        <v>691</v>
      </c>
      <c r="F1561" s="70" t="s">
        <v>3001</v>
      </c>
    </row>
    <row r="1562" spans="2:6">
      <c r="B1562" s="183"/>
      <c r="C1562" s="183"/>
      <c r="D1562" s="183"/>
      <c r="E1562" s="71" t="s">
        <v>693</v>
      </c>
      <c r="F1562" s="70" t="s">
        <v>3002</v>
      </c>
    </row>
    <row r="1563" spans="2:6">
      <c r="B1563" s="183"/>
      <c r="C1563" s="183"/>
      <c r="D1563" s="183"/>
      <c r="E1563" s="71" t="s">
        <v>1337</v>
      </c>
      <c r="F1563" s="70" t="s">
        <v>3003</v>
      </c>
    </row>
    <row r="1564" spans="2:6">
      <c r="B1564" s="183"/>
      <c r="C1564" s="183"/>
      <c r="D1564" s="183"/>
      <c r="E1564" s="71" t="s">
        <v>1336</v>
      </c>
      <c r="F1564" s="70" t="s">
        <v>3004</v>
      </c>
    </row>
    <row r="1565" spans="2:6">
      <c r="B1565" s="183"/>
      <c r="C1565" s="183"/>
      <c r="D1565" s="183"/>
      <c r="E1565" s="71" t="s">
        <v>1335</v>
      </c>
      <c r="F1565" s="70" t="s">
        <v>3005</v>
      </c>
    </row>
    <row r="1566" spans="2:6">
      <c r="B1566" s="183"/>
      <c r="C1566" s="183"/>
      <c r="D1566" s="183"/>
      <c r="E1566" s="71" t="s">
        <v>2137</v>
      </c>
      <c r="F1566" s="70" t="s">
        <v>3006</v>
      </c>
    </row>
    <row r="1567" spans="2:6">
      <c r="B1567" s="183"/>
      <c r="C1567" s="183"/>
      <c r="D1567" s="183"/>
      <c r="E1567" s="71" t="s">
        <v>2826</v>
      </c>
      <c r="F1567" s="70" t="s">
        <v>3007</v>
      </c>
    </row>
    <row r="1568" spans="2:6">
      <c r="B1568" s="183"/>
      <c r="C1568" s="183"/>
      <c r="D1568" s="183"/>
      <c r="E1568" s="71" t="s">
        <v>669</v>
      </c>
      <c r="F1568" s="70" t="s">
        <v>3008</v>
      </c>
    </row>
    <row r="1569" spans="2:6">
      <c r="B1569" s="183"/>
      <c r="C1569" s="183"/>
      <c r="D1569" s="183"/>
      <c r="E1569" s="71" t="s">
        <v>698</v>
      </c>
      <c r="F1569" s="70" t="s">
        <v>3009</v>
      </c>
    </row>
    <row r="1570" spans="2:6">
      <c r="B1570" s="183"/>
      <c r="C1570" s="183"/>
      <c r="D1570" s="183"/>
      <c r="E1570" s="71" t="s">
        <v>700</v>
      </c>
      <c r="F1570" s="70" t="s">
        <v>3010</v>
      </c>
    </row>
    <row r="1571" spans="2:6">
      <c r="B1571" s="183"/>
      <c r="C1571" s="183"/>
      <c r="D1571" s="183"/>
      <c r="E1571" s="71" t="s">
        <v>674</v>
      </c>
      <c r="F1571" s="70" t="s">
        <v>3011</v>
      </c>
    </row>
    <row r="1572" spans="2:6">
      <c r="B1572" s="183"/>
      <c r="C1572" s="183"/>
      <c r="D1572" s="183"/>
      <c r="E1572" s="71" t="s">
        <v>673</v>
      </c>
      <c r="F1572" s="70" t="s">
        <v>3012</v>
      </c>
    </row>
    <row r="1573" spans="2:6">
      <c r="B1573" s="183"/>
      <c r="C1573" s="183"/>
      <c r="D1573" s="183"/>
      <c r="E1573" s="71" t="s">
        <v>474</v>
      </c>
      <c r="F1573" s="70" t="s">
        <v>3013</v>
      </c>
    </row>
    <row r="1574" spans="2:6">
      <c r="B1574" s="183"/>
      <c r="C1574" s="183"/>
      <c r="D1574" s="183"/>
      <c r="E1574" s="71" t="s">
        <v>474</v>
      </c>
      <c r="F1574" s="70" t="s">
        <v>3014</v>
      </c>
    </row>
    <row r="1575" spans="2:6">
      <c r="B1575" s="183"/>
      <c r="C1575" s="183"/>
      <c r="D1575" s="183"/>
      <c r="E1575" s="71" t="s">
        <v>1218</v>
      </c>
      <c r="F1575" s="70" t="s">
        <v>3015</v>
      </c>
    </row>
    <row r="1576" spans="2:6">
      <c r="B1576" s="183"/>
      <c r="C1576" s="183"/>
      <c r="D1576" s="183"/>
      <c r="E1576" s="71" t="s">
        <v>676</v>
      </c>
      <c r="F1576" s="70" t="s">
        <v>3016</v>
      </c>
    </row>
    <row r="1577" spans="2:6">
      <c r="B1577" s="183"/>
      <c r="C1577" s="183"/>
      <c r="D1577" s="183"/>
      <c r="E1577" s="71" t="s">
        <v>677</v>
      </c>
      <c r="F1577" s="70" t="s">
        <v>3017</v>
      </c>
    </row>
    <row r="1578" spans="2:6">
      <c r="B1578" s="183"/>
      <c r="C1578" s="183"/>
      <c r="D1578" s="183"/>
      <c r="E1578" s="71" t="s">
        <v>938</v>
      </c>
      <c r="F1578" s="70" t="s">
        <v>3018</v>
      </c>
    </row>
    <row r="1579" spans="2:6">
      <c r="B1579" s="113">
        <v>334</v>
      </c>
      <c r="C1579" s="95">
        <v>44732</v>
      </c>
      <c r="D1579" s="113" t="s">
        <v>430</v>
      </c>
      <c r="E1579" s="184"/>
      <c r="F1579" s="185"/>
    </row>
    <row r="1580" spans="2:6">
      <c r="B1580" s="114"/>
      <c r="C1580" s="114"/>
      <c r="D1580" s="114"/>
      <c r="E1580" s="71" t="s">
        <v>3025</v>
      </c>
      <c r="F1580" s="70" t="s">
        <v>2345</v>
      </c>
    </row>
    <row r="1581" spans="2:6">
      <c r="B1581" s="113">
        <v>335</v>
      </c>
      <c r="C1581" s="95">
        <v>44732</v>
      </c>
      <c r="D1581" s="113" t="s">
        <v>2932</v>
      </c>
      <c r="E1581" s="184"/>
      <c r="F1581" s="185"/>
    </row>
    <row r="1582" spans="2:6">
      <c r="B1582" s="182"/>
      <c r="C1582" s="182"/>
      <c r="D1582" s="182"/>
      <c r="E1582" s="71" t="s">
        <v>3026</v>
      </c>
      <c r="F1582" s="70" t="s">
        <v>3027</v>
      </c>
    </row>
    <row r="1583" spans="2:6">
      <c r="B1583" s="183"/>
      <c r="C1583" s="183"/>
      <c r="D1583" s="183"/>
      <c r="E1583" s="71" t="s">
        <v>3028</v>
      </c>
      <c r="F1583" s="70" t="s">
        <v>3029</v>
      </c>
    </row>
    <row r="1584" spans="2:6">
      <c r="B1584" s="183"/>
      <c r="C1584" s="183"/>
      <c r="D1584" s="183"/>
      <c r="E1584" s="71" t="s">
        <v>3030</v>
      </c>
      <c r="F1584" s="70" t="s">
        <v>3031</v>
      </c>
    </row>
    <row r="1585" spans="2:6">
      <c r="B1585" s="183"/>
      <c r="C1585" s="183"/>
      <c r="D1585" s="183"/>
      <c r="E1585" s="71" t="s">
        <v>3032</v>
      </c>
      <c r="F1585" s="70" t="s">
        <v>3033</v>
      </c>
    </row>
    <row r="1586" spans="2:6">
      <c r="B1586" s="183"/>
      <c r="C1586" s="183"/>
      <c r="D1586" s="183"/>
      <c r="E1586" s="71" t="s">
        <v>3034</v>
      </c>
      <c r="F1586" s="70" t="s">
        <v>3035</v>
      </c>
    </row>
    <row r="1587" spans="2:6">
      <c r="B1587" s="183"/>
      <c r="C1587" s="183"/>
      <c r="D1587" s="183"/>
      <c r="E1587" s="71" t="s">
        <v>3036</v>
      </c>
      <c r="F1587" s="70" t="s">
        <v>3037</v>
      </c>
    </row>
    <row r="1588" spans="2:6">
      <c r="B1588" s="183"/>
      <c r="C1588" s="183"/>
      <c r="D1588" s="183"/>
      <c r="E1588" s="71" t="s">
        <v>3038</v>
      </c>
      <c r="F1588" s="70" t="s">
        <v>3039</v>
      </c>
    </row>
    <row r="1589" spans="2:6">
      <c r="B1589" s="183"/>
      <c r="C1589" s="183"/>
      <c r="D1589" s="183"/>
      <c r="E1589" s="71" t="s">
        <v>3040</v>
      </c>
      <c r="F1589" s="70" t="s">
        <v>3041</v>
      </c>
    </row>
    <row r="1590" spans="2:6">
      <c r="B1590" s="113">
        <v>336</v>
      </c>
      <c r="C1590" s="95">
        <v>44732</v>
      </c>
      <c r="D1590" s="113" t="s">
        <v>3079</v>
      </c>
      <c r="E1590" s="184"/>
      <c r="F1590" s="185"/>
    </row>
    <row r="1591" spans="2:6">
      <c r="B1591" s="182"/>
      <c r="C1591" s="182"/>
      <c r="D1591" s="182"/>
      <c r="E1591" s="71" t="s">
        <v>3043</v>
      </c>
      <c r="F1591" s="70" t="s">
        <v>2974</v>
      </c>
    </row>
    <row r="1592" spans="2:6">
      <c r="B1592" s="183"/>
      <c r="C1592" s="183"/>
      <c r="D1592" s="183"/>
      <c r="E1592" s="71" t="s">
        <v>3044</v>
      </c>
      <c r="F1592" s="70" t="s">
        <v>2975</v>
      </c>
    </row>
    <row r="1593" spans="2:6">
      <c r="B1593" s="183"/>
      <c r="C1593" s="183"/>
      <c r="D1593" s="183"/>
      <c r="E1593" s="71" t="s">
        <v>3045</v>
      </c>
      <c r="F1593" s="70" t="s">
        <v>2957</v>
      </c>
    </row>
    <row r="1594" spans="2:6">
      <c r="B1594" s="183"/>
      <c r="C1594" s="183"/>
      <c r="D1594" s="183"/>
      <c r="E1594" s="71" t="s">
        <v>3046</v>
      </c>
      <c r="F1594" s="70" t="s">
        <v>2958</v>
      </c>
    </row>
    <row r="1595" spans="2:6">
      <c r="B1595" s="183"/>
      <c r="C1595" s="183"/>
      <c r="D1595" s="183"/>
      <c r="E1595" s="71" t="s">
        <v>3047</v>
      </c>
      <c r="F1595" s="70" t="s">
        <v>2983</v>
      </c>
    </row>
    <row r="1596" spans="2:6">
      <c r="B1596" s="183"/>
      <c r="C1596" s="183"/>
      <c r="D1596" s="183"/>
      <c r="E1596" s="71" t="s">
        <v>3048</v>
      </c>
      <c r="F1596" s="70" t="s">
        <v>2968</v>
      </c>
    </row>
    <row r="1597" spans="2:6">
      <c r="B1597" s="183"/>
      <c r="C1597" s="183"/>
      <c r="D1597" s="183"/>
      <c r="E1597" s="71" t="s">
        <v>3049</v>
      </c>
      <c r="F1597" s="70" t="s">
        <v>2973</v>
      </c>
    </row>
    <row r="1598" spans="2:6">
      <c r="B1598" s="183"/>
      <c r="C1598" s="183"/>
      <c r="D1598" s="183"/>
      <c r="E1598" s="71" t="s">
        <v>3050</v>
      </c>
      <c r="F1598" s="70" t="s">
        <v>2462</v>
      </c>
    </row>
    <row r="1599" spans="2:6">
      <c r="B1599" s="183"/>
      <c r="C1599" s="183"/>
      <c r="D1599" s="183"/>
      <c r="E1599" s="71" t="s">
        <v>3051</v>
      </c>
      <c r="F1599" s="70" t="s">
        <v>2972</v>
      </c>
    </row>
    <row r="1600" spans="2:6">
      <c r="B1600" s="183"/>
      <c r="C1600" s="183"/>
      <c r="D1600" s="183"/>
      <c r="E1600" s="71" t="s">
        <v>3052</v>
      </c>
      <c r="F1600" s="70" t="s">
        <v>2976</v>
      </c>
    </row>
    <row r="1601" spans="2:6">
      <c r="B1601" s="183"/>
      <c r="C1601" s="183"/>
      <c r="D1601" s="183"/>
      <c r="E1601" s="71" t="s">
        <v>3053</v>
      </c>
      <c r="F1601" s="70" t="s">
        <v>2946</v>
      </c>
    </row>
    <row r="1602" spans="2:6">
      <c r="B1602" s="183"/>
      <c r="C1602" s="183"/>
      <c r="D1602" s="183"/>
      <c r="E1602" s="71" t="s">
        <v>3054</v>
      </c>
      <c r="F1602" s="70" t="s">
        <v>3080</v>
      </c>
    </row>
    <row r="1603" spans="2:6">
      <c r="B1603" s="183"/>
      <c r="C1603" s="183"/>
      <c r="D1603" s="183"/>
      <c r="E1603" s="71" t="s">
        <v>3055</v>
      </c>
      <c r="F1603" s="70" t="s">
        <v>3081</v>
      </c>
    </row>
    <row r="1604" spans="2:6">
      <c r="B1604" s="183"/>
      <c r="C1604" s="183"/>
      <c r="D1604" s="183"/>
      <c r="E1604" s="71" t="s">
        <v>3056</v>
      </c>
      <c r="F1604" s="70" t="s">
        <v>3082</v>
      </c>
    </row>
    <row r="1605" spans="2:6">
      <c r="B1605" s="183"/>
      <c r="C1605" s="183"/>
      <c r="D1605" s="183"/>
      <c r="E1605" s="71" t="s">
        <v>3057</v>
      </c>
      <c r="F1605" s="70" t="s">
        <v>3083</v>
      </c>
    </row>
    <row r="1606" spans="2:6">
      <c r="B1606" s="183"/>
      <c r="C1606" s="183"/>
      <c r="D1606" s="183"/>
      <c r="E1606" s="71" t="s">
        <v>3058</v>
      </c>
      <c r="F1606" s="70" t="s">
        <v>3084</v>
      </c>
    </row>
    <row r="1607" spans="2:6">
      <c r="B1607" s="183"/>
      <c r="C1607" s="183"/>
      <c r="D1607" s="183"/>
      <c r="E1607" s="71" t="s">
        <v>3059</v>
      </c>
      <c r="F1607" s="70" t="s">
        <v>3085</v>
      </c>
    </row>
    <row r="1608" spans="2:6">
      <c r="B1608" s="183"/>
      <c r="C1608" s="183"/>
      <c r="D1608" s="183"/>
      <c r="E1608" s="71" t="s">
        <v>3060</v>
      </c>
      <c r="F1608" s="70" t="s">
        <v>3086</v>
      </c>
    </row>
    <row r="1609" spans="2:6">
      <c r="B1609" s="183"/>
      <c r="C1609" s="183"/>
      <c r="D1609" s="183"/>
      <c r="E1609" s="71" t="s">
        <v>3061</v>
      </c>
      <c r="F1609" s="70" t="s">
        <v>3087</v>
      </c>
    </row>
    <row r="1610" spans="2:6">
      <c r="B1610" s="183"/>
      <c r="C1610" s="183"/>
      <c r="D1610" s="183"/>
      <c r="E1610" s="71" t="s">
        <v>3062</v>
      </c>
      <c r="F1610" s="70" t="s">
        <v>3088</v>
      </c>
    </row>
    <row r="1611" spans="2:6">
      <c r="B1611" s="183"/>
      <c r="C1611" s="183"/>
      <c r="D1611" s="183"/>
      <c r="E1611" s="71" t="s">
        <v>3063</v>
      </c>
      <c r="F1611" s="70" t="s">
        <v>3089</v>
      </c>
    </row>
    <row r="1612" spans="2:6">
      <c r="B1612" s="183"/>
      <c r="C1612" s="183"/>
      <c r="D1612" s="183"/>
      <c r="E1612" s="71" t="s">
        <v>3064</v>
      </c>
      <c r="F1612" s="70" t="s">
        <v>3090</v>
      </c>
    </row>
    <row r="1613" spans="2:6">
      <c r="B1613" s="183"/>
      <c r="C1613" s="183"/>
      <c r="D1613" s="183"/>
      <c r="E1613" s="71" t="s">
        <v>3065</v>
      </c>
      <c r="F1613" s="70" t="s">
        <v>3091</v>
      </c>
    </row>
    <row r="1614" spans="2:6">
      <c r="B1614" s="183"/>
      <c r="C1614" s="183"/>
      <c r="D1614" s="183"/>
      <c r="E1614" s="71" t="s">
        <v>3066</v>
      </c>
      <c r="F1614" s="70" t="s">
        <v>3092</v>
      </c>
    </row>
    <row r="1615" spans="2:6">
      <c r="B1615" s="183"/>
      <c r="C1615" s="183"/>
      <c r="D1615" s="183"/>
      <c r="E1615" s="71" t="s">
        <v>3067</v>
      </c>
      <c r="F1615" s="70" t="s">
        <v>3093</v>
      </c>
    </row>
    <row r="1616" spans="2:6">
      <c r="B1616" s="183"/>
      <c r="C1616" s="183"/>
      <c r="D1616" s="183"/>
      <c r="E1616" s="71" t="s">
        <v>3068</v>
      </c>
      <c r="F1616" s="70" t="s">
        <v>3094</v>
      </c>
    </row>
    <row r="1617" spans="2:6">
      <c r="B1617" s="183"/>
      <c r="C1617" s="183"/>
      <c r="D1617" s="183"/>
      <c r="E1617" s="71" t="s">
        <v>3069</v>
      </c>
      <c r="F1617" s="70" t="s">
        <v>3095</v>
      </c>
    </row>
    <row r="1618" spans="2:6">
      <c r="B1618" s="183"/>
      <c r="C1618" s="183"/>
      <c r="D1618" s="183"/>
      <c r="E1618" s="71" t="s">
        <v>3070</v>
      </c>
      <c r="F1618" s="70" t="s">
        <v>3096</v>
      </c>
    </row>
    <row r="1619" spans="2:6">
      <c r="B1619" s="183"/>
      <c r="C1619" s="183"/>
      <c r="D1619" s="183"/>
      <c r="E1619" s="71" t="s">
        <v>3071</v>
      </c>
      <c r="F1619" s="70" t="s">
        <v>3097</v>
      </c>
    </row>
    <row r="1620" spans="2:6">
      <c r="B1620" s="183"/>
      <c r="C1620" s="183"/>
      <c r="D1620" s="183"/>
      <c r="E1620" s="71" t="s">
        <v>3072</v>
      </c>
      <c r="F1620" s="70" t="s">
        <v>3098</v>
      </c>
    </row>
    <row r="1621" spans="2:6">
      <c r="B1621" s="183"/>
      <c r="C1621" s="183"/>
      <c r="D1621" s="183"/>
      <c r="E1621" s="71" t="s">
        <v>3073</v>
      </c>
      <c r="F1621" s="70" t="s">
        <v>3099</v>
      </c>
    </row>
    <row r="1622" spans="2:6">
      <c r="B1622" s="183"/>
      <c r="C1622" s="183"/>
      <c r="D1622" s="183"/>
      <c r="E1622" s="71" t="s">
        <v>3074</v>
      </c>
      <c r="F1622" s="70" t="s">
        <v>3100</v>
      </c>
    </row>
    <row r="1623" spans="2:6">
      <c r="B1623" s="183"/>
      <c r="C1623" s="183"/>
      <c r="D1623" s="183"/>
      <c r="E1623" s="71" t="s">
        <v>3075</v>
      </c>
      <c r="F1623" s="70" t="s">
        <v>3101</v>
      </c>
    </row>
    <row r="1624" spans="2:6">
      <c r="B1624" s="183"/>
      <c r="C1624" s="183"/>
      <c r="D1624" s="183"/>
      <c r="E1624" s="71" t="s">
        <v>3076</v>
      </c>
      <c r="F1624" s="70" t="s">
        <v>3102</v>
      </c>
    </row>
    <row r="1625" spans="2:6">
      <c r="B1625" s="113">
        <v>337</v>
      </c>
      <c r="C1625" s="95">
        <v>44733</v>
      </c>
      <c r="D1625" s="113" t="s">
        <v>685</v>
      </c>
      <c r="E1625" s="184"/>
      <c r="F1625" s="185"/>
    </row>
    <row r="1626" spans="2:6">
      <c r="B1626" s="182"/>
      <c r="C1626" s="182"/>
      <c r="D1626" s="182"/>
      <c r="E1626" s="71" t="s">
        <v>670</v>
      </c>
      <c r="F1626" s="70" t="s">
        <v>3103</v>
      </c>
    </row>
    <row r="1627" spans="2:6">
      <c r="B1627" s="183"/>
      <c r="C1627" s="183"/>
      <c r="D1627" s="183"/>
      <c r="E1627" s="121" t="s">
        <v>700</v>
      </c>
      <c r="F1627" s="172" t="s">
        <v>3104</v>
      </c>
    </row>
    <row r="1628" spans="2:6">
      <c r="B1628" s="113">
        <v>338</v>
      </c>
      <c r="C1628" s="95">
        <v>44743</v>
      </c>
      <c r="D1628" s="113" t="s">
        <v>415</v>
      </c>
      <c r="E1628" s="184"/>
      <c r="F1628" s="185"/>
    </row>
    <row r="1629" spans="2:6">
      <c r="B1629" s="182"/>
      <c r="C1629" s="182"/>
      <c r="D1629" s="182"/>
      <c r="E1629" s="71" t="s">
        <v>3106</v>
      </c>
      <c r="F1629" s="70" t="s">
        <v>3107</v>
      </c>
    </row>
    <row r="1630" spans="2:6">
      <c r="B1630" s="183"/>
      <c r="C1630" s="183"/>
      <c r="D1630" s="183"/>
      <c r="E1630" s="71" t="s">
        <v>3108</v>
      </c>
      <c r="F1630" s="70" t="s">
        <v>3109</v>
      </c>
    </row>
    <row r="1631" spans="2:6">
      <c r="B1631" s="183"/>
      <c r="C1631" s="183"/>
      <c r="D1631" s="183"/>
      <c r="E1631" s="71" t="s">
        <v>3110</v>
      </c>
      <c r="F1631" s="70" t="s">
        <v>3111</v>
      </c>
    </row>
    <row r="1632" spans="2:6">
      <c r="B1632" s="113">
        <v>339</v>
      </c>
      <c r="C1632" s="95">
        <v>44755</v>
      </c>
      <c r="D1632" s="113" t="s">
        <v>1953</v>
      </c>
      <c r="E1632" s="184"/>
      <c r="F1632" s="185"/>
    </row>
    <row r="1633" spans="2:6">
      <c r="B1633" s="182"/>
      <c r="C1633" s="182"/>
      <c r="D1633" s="182"/>
      <c r="E1633" s="71" t="s">
        <v>1952</v>
      </c>
      <c r="F1633" s="70" t="s">
        <v>3112</v>
      </c>
    </row>
    <row r="1634" spans="2:6">
      <c r="B1634" s="183"/>
      <c r="C1634" s="183"/>
      <c r="D1634" s="183"/>
      <c r="E1634" s="71" t="s">
        <v>1952</v>
      </c>
      <c r="F1634" s="70" t="s">
        <v>3113</v>
      </c>
    </row>
    <row r="1635" spans="2:6">
      <c r="B1635" s="183"/>
      <c r="C1635" s="183"/>
      <c r="D1635" s="183"/>
      <c r="E1635" s="71" t="s">
        <v>910</v>
      </c>
      <c r="F1635" s="70" t="s">
        <v>3114</v>
      </c>
    </row>
    <row r="1636" spans="2:6">
      <c r="B1636" s="183"/>
      <c r="C1636" s="183"/>
      <c r="D1636" s="183"/>
      <c r="E1636" s="71" t="s">
        <v>924</v>
      </c>
      <c r="F1636" s="70" t="s">
        <v>3115</v>
      </c>
    </row>
    <row r="1637" spans="2:6">
      <c r="B1637" s="183"/>
      <c r="C1637" s="183"/>
      <c r="D1637" s="183"/>
      <c r="E1637" s="71" t="s">
        <v>655</v>
      </c>
      <c r="F1637" s="70" t="s">
        <v>3116</v>
      </c>
    </row>
    <row r="1638" spans="2:6">
      <c r="B1638" s="183"/>
      <c r="C1638" s="183"/>
      <c r="D1638" s="183"/>
      <c r="E1638" s="71" t="s">
        <v>1214</v>
      </c>
      <c r="F1638" s="70" t="s">
        <v>3117</v>
      </c>
    </row>
    <row r="1639" spans="2:6">
      <c r="B1639" s="183"/>
      <c r="C1639" s="183"/>
      <c r="D1639" s="183"/>
      <c r="E1639" s="71" t="s">
        <v>1214</v>
      </c>
      <c r="F1639" s="70" t="s">
        <v>3118</v>
      </c>
    </row>
    <row r="1640" spans="2:6">
      <c r="B1640" s="183"/>
      <c r="C1640" s="183"/>
      <c r="D1640" s="183"/>
      <c r="E1640" s="71" t="s">
        <v>2016</v>
      </c>
      <c r="F1640" s="70" t="s">
        <v>3119</v>
      </c>
    </row>
    <row r="1641" spans="2:6">
      <c r="B1641" s="113">
        <v>340</v>
      </c>
      <c r="C1641" s="95">
        <v>44763</v>
      </c>
      <c r="D1641" s="113" t="s">
        <v>1953</v>
      </c>
      <c r="E1641" s="184"/>
      <c r="F1641" s="185"/>
    </row>
    <row r="1642" spans="2:6">
      <c r="B1642" s="113"/>
      <c r="C1642" s="113"/>
      <c r="D1642" s="113"/>
      <c r="E1642" s="71" t="s">
        <v>789</v>
      </c>
      <c r="F1642" s="70" t="s">
        <v>3122</v>
      </c>
    </row>
    <row r="1643" spans="2:6">
      <c r="B1643" s="113">
        <v>341</v>
      </c>
      <c r="C1643" s="95">
        <v>44769</v>
      </c>
      <c r="D1643" s="113" t="s">
        <v>1384</v>
      </c>
      <c r="E1643" s="184"/>
      <c r="F1643" s="185"/>
    </row>
    <row r="1644" spans="2:6">
      <c r="B1644" s="182"/>
      <c r="C1644" s="182"/>
      <c r="D1644" s="182"/>
      <c r="E1644" s="71" t="s">
        <v>3125</v>
      </c>
      <c r="F1644" s="70" t="s">
        <v>3129</v>
      </c>
    </row>
    <row r="1645" spans="2:6">
      <c r="B1645" s="183"/>
      <c r="C1645" s="183"/>
      <c r="D1645" s="183"/>
      <c r="E1645" s="71">
        <v>5308016</v>
      </c>
      <c r="F1645" s="70" t="s">
        <v>3130</v>
      </c>
    </row>
    <row r="1646" spans="2:6">
      <c r="B1646" s="113">
        <v>342</v>
      </c>
      <c r="C1646" s="95">
        <v>44769</v>
      </c>
      <c r="D1646" s="113" t="s">
        <v>430</v>
      </c>
      <c r="E1646" s="184"/>
      <c r="F1646" s="185"/>
    </row>
    <row r="1647" spans="2:6">
      <c r="B1647" s="182"/>
      <c r="C1647" s="182"/>
      <c r="D1647" s="182"/>
      <c r="E1647" s="71" t="s">
        <v>349</v>
      </c>
      <c r="F1647" s="70" t="s">
        <v>3131</v>
      </c>
    </row>
    <row r="1648" spans="2:6">
      <c r="B1648" s="183"/>
      <c r="C1648" s="183"/>
      <c r="D1648" s="183"/>
      <c r="E1648" s="71" t="s">
        <v>349</v>
      </c>
      <c r="F1648" s="70" t="s">
        <v>3132</v>
      </c>
    </row>
    <row r="1649" spans="2:6">
      <c r="B1649" s="113">
        <v>343</v>
      </c>
      <c r="C1649" s="95">
        <v>44769</v>
      </c>
      <c r="D1649" s="113" t="s">
        <v>466</v>
      </c>
      <c r="E1649" s="184"/>
      <c r="F1649" s="185"/>
    </row>
    <row r="1650" spans="2:6">
      <c r="B1650" s="113"/>
      <c r="C1650" s="113"/>
      <c r="D1650" s="113"/>
      <c r="E1650" s="71" t="s">
        <v>3133</v>
      </c>
      <c r="F1650" s="70" t="s">
        <v>3134</v>
      </c>
    </row>
    <row r="1651" spans="2:6">
      <c r="B1651" s="113">
        <v>344</v>
      </c>
      <c r="C1651" s="95">
        <v>44771</v>
      </c>
      <c r="D1651" s="113" t="s">
        <v>3079</v>
      </c>
      <c r="E1651" s="184"/>
      <c r="F1651" s="185"/>
    </row>
    <row r="1652" spans="2:6">
      <c r="B1652" s="182"/>
      <c r="C1652" s="182"/>
      <c r="D1652" s="182"/>
      <c r="E1652" s="71" t="s">
        <v>349</v>
      </c>
      <c r="F1652" s="70" t="s">
        <v>3149</v>
      </c>
    </row>
    <row r="1653" spans="2:6">
      <c r="B1653" s="183"/>
      <c r="C1653" s="183"/>
      <c r="D1653" s="183"/>
      <c r="E1653" s="71" t="s">
        <v>3150</v>
      </c>
      <c r="F1653" s="70" t="s">
        <v>3151</v>
      </c>
    </row>
    <row r="1654" spans="2:6">
      <c r="B1654" s="183"/>
      <c r="C1654" s="183"/>
      <c r="D1654" s="183"/>
      <c r="E1654" s="71" t="s">
        <v>3152</v>
      </c>
      <c r="F1654" s="70" t="s">
        <v>3153</v>
      </c>
    </row>
    <row r="1655" spans="2:6">
      <c r="B1655" s="113">
        <v>345</v>
      </c>
      <c r="C1655" s="95">
        <v>44782</v>
      </c>
      <c r="D1655" s="113" t="s">
        <v>685</v>
      </c>
      <c r="E1655" s="184"/>
      <c r="F1655" s="185"/>
    </row>
    <row r="1656" spans="2:6">
      <c r="B1656" s="183"/>
      <c r="C1656" s="183"/>
      <c r="D1656" s="183"/>
      <c r="E1656" s="71" t="s">
        <v>670</v>
      </c>
      <c r="F1656" s="70" t="s">
        <v>3184</v>
      </c>
    </row>
    <row r="1657" spans="2:6">
      <c r="B1657" s="183"/>
      <c r="C1657" s="183"/>
      <c r="D1657" s="183"/>
      <c r="E1657" s="71" t="s">
        <v>2828</v>
      </c>
      <c r="F1657" s="70" t="s">
        <v>3183</v>
      </c>
    </row>
    <row r="1658" spans="2:6">
      <c r="B1658" s="183"/>
      <c r="C1658" s="183"/>
      <c r="D1658" s="183"/>
      <c r="E1658" s="71" t="s">
        <v>1344</v>
      </c>
      <c r="F1658" s="70" t="s">
        <v>3182</v>
      </c>
    </row>
    <row r="1659" spans="2:6">
      <c r="B1659" s="183"/>
      <c r="C1659" s="183"/>
      <c r="D1659" s="183"/>
      <c r="E1659" s="71" t="s">
        <v>1342</v>
      </c>
      <c r="F1659" s="70" t="s">
        <v>3181</v>
      </c>
    </row>
    <row r="1660" spans="2:6">
      <c r="B1660" s="183"/>
      <c r="C1660" s="183"/>
      <c r="D1660" s="183"/>
      <c r="E1660" s="71" t="s">
        <v>1849</v>
      </c>
      <c r="F1660" s="70" t="s">
        <v>3180</v>
      </c>
    </row>
    <row r="1661" spans="2:6">
      <c r="B1661" s="183"/>
      <c r="C1661" s="183"/>
      <c r="D1661" s="183"/>
      <c r="E1661" s="71" t="s">
        <v>671</v>
      </c>
      <c r="F1661" s="70" t="s">
        <v>3179</v>
      </c>
    </row>
    <row r="1662" spans="2:6">
      <c r="B1662" s="183"/>
      <c r="C1662" s="183"/>
      <c r="D1662" s="183"/>
      <c r="E1662" s="71" t="s">
        <v>687</v>
      </c>
      <c r="F1662" s="70" t="s">
        <v>3178</v>
      </c>
    </row>
    <row r="1663" spans="2:6">
      <c r="B1663" s="183"/>
      <c r="C1663" s="183"/>
      <c r="D1663" s="183"/>
      <c r="E1663" s="71" t="s">
        <v>689</v>
      </c>
      <c r="F1663" s="70" t="s">
        <v>3177</v>
      </c>
    </row>
    <row r="1664" spans="2:6">
      <c r="B1664" s="183"/>
      <c r="C1664" s="183"/>
      <c r="D1664" s="183"/>
      <c r="E1664" s="71" t="s">
        <v>1326</v>
      </c>
      <c r="F1664" s="70" t="s">
        <v>3176</v>
      </c>
    </row>
    <row r="1665" spans="2:6">
      <c r="B1665" s="183"/>
      <c r="C1665" s="183"/>
      <c r="D1665" s="183"/>
      <c r="E1665" s="71" t="s">
        <v>1328</v>
      </c>
      <c r="F1665" s="70" t="s">
        <v>3175</v>
      </c>
    </row>
    <row r="1666" spans="2:6">
      <c r="B1666" s="183"/>
      <c r="C1666" s="183"/>
      <c r="D1666" s="183"/>
      <c r="E1666" s="71" t="s">
        <v>1330</v>
      </c>
      <c r="F1666" s="70" t="s">
        <v>3174</v>
      </c>
    </row>
    <row r="1667" spans="2:6">
      <c r="B1667" s="183"/>
      <c r="C1667" s="183"/>
      <c r="D1667" s="183"/>
      <c r="E1667" s="71" t="s">
        <v>1835</v>
      </c>
      <c r="F1667" s="70" t="s">
        <v>3173</v>
      </c>
    </row>
    <row r="1668" spans="2:6">
      <c r="B1668" s="183"/>
      <c r="C1668" s="183"/>
      <c r="D1668" s="183"/>
      <c r="E1668" s="71" t="s">
        <v>2823</v>
      </c>
      <c r="F1668" s="70" t="s">
        <v>3172</v>
      </c>
    </row>
    <row r="1669" spans="2:6">
      <c r="B1669" s="183"/>
      <c r="C1669" s="183"/>
      <c r="D1669" s="183"/>
      <c r="E1669" s="71" t="s">
        <v>691</v>
      </c>
      <c r="F1669" s="70" t="s">
        <v>3171</v>
      </c>
    </row>
    <row r="1670" spans="2:6">
      <c r="B1670" s="183"/>
      <c r="C1670" s="183"/>
      <c r="D1670" s="183"/>
      <c r="E1670" s="71" t="s">
        <v>693</v>
      </c>
      <c r="F1670" s="70" t="s">
        <v>3170</v>
      </c>
    </row>
    <row r="1671" spans="2:6">
      <c r="B1671" s="183"/>
      <c r="C1671" s="183"/>
      <c r="D1671" s="183"/>
      <c r="E1671" s="71" t="s">
        <v>1337</v>
      </c>
      <c r="F1671" s="70" t="s">
        <v>3169</v>
      </c>
    </row>
    <row r="1672" spans="2:6">
      <c r="B1672" s="183"/>
      <c r="C1672" s="183"/>
      <c r="D1672" s="183"/>
      <c r="E1672" s="71" t="s">
        <v>1336</v>
      </c>
      <c r="F1672" s="70" t="s">
        <v>3168</v>
      </c>
    </row>
    <row r="1673" spans="2:6">
      <c r="B1673" s="183"/>
      <c r="C1673" s="183"/>
      <c r="D1673" s="183"/>
      <c r="E1673" s="71" t="s">
        <v>1335</v>
      </c>
      <c r="F1673" s="70" t="s">
        <v>3167</v>
      </c>
    </row>
    <row r="1674" spans="2:6">
      <c r="B1674" s="183"/>
      <c r="C1674" s="183"/>
      <c r="D1674" s="183"/>
      <c r="E1674" s="71" t="s">
        <v>2137</v>
      </c>
      <c r="F1674" s="70" t="s">
        <v>3166</v>
      </c>
    </row>
    <row r="1675" spans="2:6">
      <c r="B1675" s="183"/>
      <c r="C1675" s="183"/>
      <c r="D1675" s="183"/>
      <c r="E1675" s="71" t="s">
        <v>2826</v>
      </c>
      <c r="F1675" s="70" t="s">
        <v>3165</v>
      </c>
    </row>
    <row r="1676" spans="2:6">
      <c r="B1676" s="183"/>
      <c r="C1676" s="183"/>
      <c r="D1676" s="183"/>
      <c r="E1676" s="71" t="s">
        <v>669</v>
      </c>
      <c r="F1676" s="70" t="s">
        <v>3164</v>
      </c>
    </row>
    <row r="1677" spans="2:6">
      <c r="B1677" s="183"/>
      <c r="C1677" s="183"/>
      <c r="D1677" s="183"/>
      <c r="E1677" s="71" t="s">
        <v>698</v>
      </c>
      <c r="F1677" s="70" t="s">
        <v>3163</v>
      </c>
    </row>
    <row r="1678" spans="2:6">
      <c r="B1678" s="183"/>
      <c r="C1678" s="183"/>
      <c r="D1678" s="183"/>
      <c r="E1678" s="71" t="s">
        <v>700</v>
      </c>
      <c r="F1678" s="70" t="s">
        <v>3162</v>
      </c>
    </row>
    <row r="1679" spans="2:6">
      <c r="B1679" s="183"/>
      <c r="C1679" s="183"/>
      <c r="D1679" s="183"/>
      <c r="E1679" s="71" t="s">
        <v>674</v>
      </c>
      <c r="F1679" s="70" t="s">
        <v>3161</v>
      </c>
    </row>
    <row r="1680" spans="2:6">
      <c r="B1680" s="183"/>
      <c r="C1680" s="183"/>
      <c r="D1680" s="183"/>
      <c r="E1680" s="71" t="s">
        <v>673</v>
      </c>
      <c r="F1680" s="70" t="s">
        <v>3160</v>
      </c>
    </row>
    <row r="1681" spans="2:6">
      <c r="B1681" s="183"/>
      <c r="C1681" s="183"/>
      <c r="D1681" s="183"/>
      <c r="E1681" s="71" t="s">
        <v>474</v>
      </c>
      <c r="F1681" s="70" t="s">
        <v>3159</v>
      </c>
    </row>
    <row r="1682" spans="2:6">
      <c r="B1682" s="183"/>
      <c r="C1682" s="183"/>
      <c r="D1682" s="183"/>
      <c r="E1682" s="71" t="s">
        <v>474</v>
      </c>
      <c r="F1682" s="70" t="s">
        <v>3158</v>
      </c>
    </row>
    <row r="1683" spans="2:6">
      <c r="B1683" s="183"/>
      <c r="C1683" s="183"/>
      <c r="D1683" s="183"/>
      <c r="E1683" s="71" t="s">
        <v>1218</v>
      </c>
      <c r="F1683" s="70" t="s">
        <v>3157</v>
      </c>
    </row>
    <row r="1684" spans="2:6">
      <c r="B1684" s="183"/>
      <c r="C1684" s="183"/>
      <c r="D1684" s="183"/>
      <c r="E1684" s="71" t="s">
        <v>676</v>
      </c>
      <c r="F1684" s="70" t="s">
        <v>3156</v>
      </c>
    </row>
    <row r="1685" spans="2:6">
      <c r="B1685" s="183"/>
      <c r="C1685" s="183"/>
      <c r="D1685" s="183"/>
      <c r="E1685" s="71" t="s">
        <v>677</v>
      </c>
      <c r="F1685" s="70" t="s">
        <v>3155</v>
      </c>
    </row>
    <row r="1686" spans="2:6">
      <c r="B1686" s="183"/>
      <c r="C1686" s="183"/>
      <c r="D1686" s="183"/>
      <c r="E1686" s="71" t="s">
        <v>938</v>
      </c>
      <c r="F1686" s="70" t="s">
        <v>3154</v>
      </c>
    </row>
    <row r="1687" spans="2:6">
      <c r="B1687" s="113">
        <v>346</v>
      </c>
      <c r="C1687" s="95">
        <v>44789</v>
      </c>
      <c r="D1687" s="113" t="s">
        <v>466</v>
      </c>
      <c r="E1687" s="184"/>
      <c r="F1687" s="185"/>
    </row>
    <row r="1688" spans="2:6">
      <c r="B1688" s="182"/>
      <c r="C1688" s="182"/>
      <c r="D1688" s="182"/>
      <c r="E1688" s="71" t="s">
        <v>3188</v>
      </c>
      <c r="F1688" s="70" t="s">
        <v>3189</v>
      </c>
    </row>
    <row r="1689" spans="2:6">
      <c r="B1689" s="183"/>
      <c r="C1689" s="183"/>
      <c r="D1689" s="183"/>
      <c r="E1689" s="71" t="s">
        <v>3190</v>
      </c>
      <c r="F1689" s="70" t="s">
        <v>3191</v>
      </c>
    </row>
    <row r="1690" spans="2:6">
      <c r="B1690" s="183"/>
      <c r="C1690" s="183"/>
      <c r="D1690" s="183"/>
      <c r="E1690" s="71" t="s">
        <v>3192</v>
      </c>
      <c r="F1690" s="70" t="s">
        <v>3193</v>
      </c>
    </row>
    <row r="1691" spans="2:6">
      <c r="B1691" s="183"/>
      <c r="C1691" s="183"/>
      <c r="D1691" s="183"/>
      <c r="E1691" s="71" t="s">
        <v>3194</v>
      </c>
      <c r="F1691" s="70" t="s">
        <v>2447</v>
      </c>
    </row>
    <row r="1692" spans="2:6">
      <c r="B1692" s="183"/>
      <c r="C1692" s="183"/>
      <c r="D1692" s="183"/>
      <c r="E1692" s="71" t="s">
        <v>3195</v>
      </c>
      <c r="F1692" s="70" t="s">
        <v>2404</v>
      </c>
    </row>
    <row r="1693" spans="2:6">
      <c r="B1693" s="113">
        <v>347</v>
      </c>
      <c r="C1693" s="95">
        <v>44791</v>
      </c>
      <c r="D1693" s="113" t="s">
        <v>3079</v>
      </c>
      <c r="E1693" s="184"/>
      <c r="F1693" s="185"/>
    </row>
    <row r="1694" spans="2:6">
      <c r="B1694" s="114"/>
      <c r="C1694" s="114"/>
      <c r="D1694" s="114"/>
      <c r="E1694" s="71" t="s">
        <v>3204</v>
      </c>
      <c r="F1694" s="70" t="s">
        <v>3203</v>
      </c>
    </row>
    <row r="1695" spans="2:6">
      <c r="B1695" s="113">
        <v>348</v>
      </c>
      <c r="C1695" s="95">
        <v>44806</v>
      </c>
      <c r="D1695" s="113" t="s">
        <v>1384</v>
      </c>
      <c r="E1695" s="184"/>
      <c r="F1695" s="185"/>
    </row>
    <row r="1696" spans="2:6" ht="12.75" customHeight="1">
      <c r="B1696" s="182"/>
      <c r="C1696" s="182"/>
      <c r="D1696" s="182"/>
      <c r="E1696" s="71" t="s">
        <v>3215</v>
      </c>
      <c r="F1696" s="70" t="s">
        <v>3216</v>
      </c>
    </row>
    <row r="1697" spans="2:6" ht="12.75" customHeight="1">
      <c r="B1697" s="183"/>
      <c r="C1697" s="183"/>
      <c r="D1697" s="183"/>
      <c r="E1697" s="71" t="s">
        <v>3217</v>
      </c>
      <c r="F1697" s="70" t="s">
        <v>3218</v>
      </c>
    </row>
    <row r="1698" spans="2:6" ht="12.75" customHeight="1">
      <c r="B1698" s="183"/>
      <c r="C1698" s="183"/>
      <c r="D1698" s="183"/>
      <c r="E1698" s="71" t="s">
        <v>3219</v>
      </c>
      <c r="F1698" s="70" t="s">
        <v>3220</v>
      </c>
    </row>
    <row r="1699" spans="2:6" ht="12.75" customHeight="1">
      <c r="B1699" s="183"/>
      <c r="C1699" s="183"/>
      <c r="D1699" s="183"/>
      <c r="E1699" s="71" t="s">
        <v>3221</v>
      </c>
      <c r="F1699" s="70" t="s">
        <v>3222</v>
      </c>
    </row>
    <row r="1700" spans="2:6" ht="12.75" customHeight="1">
      <c r="B1700" s="183"/>
      <c r="C1700" s="183"/>
      <c r="D1700" s="183"/>
      <c r="E1700" s="71" t="s">
        <v>3223</v>
      </c>
      <c r="F1700" s="70" t="s">
        <v>3224</v>
      </c>
    </row>
    <row r="1701" spans="2:6" ht="12.75" customHeight="1">
      <c r="B1701" s="183"/>
      <c r="C1701" s="183"/>
      <c r="D1701" s="183"/>
      <c r="E1701" s="71" t="s">
        <v>420</v>
      </c>
      <c r="F1701" s="70" t="s">
        <v>3225</v>
      </c>
    </row>
    <row r="1702" spans="2:6" ht="12.75" customHeight="1">
      <c r="B1702" s="183"/>
      <c r="C1702" s="183"/>
      <c r="D1702" s="183"/>
      <c r="E1702" s="71" t="s">
        <v>424</v>
      </c>
      <c r="F1702" s="70" t="s">
        <v>3226</v>
      </c>
    </row>
    <row r="1703" spans="2:6">
      <c r="B1703" s="183"/>
      <c r="C1703" s="183"/>
      <c r="D1703" s="183"/>
      <c r="E1703" s="71" t="s">
        <v>3227</v>
      </c>
      <c r="F1703" s="70" t="s">
        <v>3228</v>
      </c>
    </row>
    <row r="1704" spans="2:6">
      <c r="B1704" s="183"/>
      <c r="C1704" s="183"/>
      <c r="D1704" s="183"/>
      <c r="E1704" s="71" t="s">
        <v>3229</v>
      </c>
      <c r="F1704" s="70" t="s">
        <v>3230</v>
      </c>
    </row>
    <row r="1705" spans="2:6">
      <c r="B1705" s="113">
        <v>349</v>
      </c>
      <c r="C1705" s="95">
        <v>44806</v>
      </c>
      <c r="D1705" s="113" t="s">
        <v>2932</v>
      </c>
      <c r="E1705" s="184"/>
      <c r="F1705" s="185"/>
    </row>
    <row r="1706" spans="2:6" ht="12.75" customHeight="1">
      <c r="B1706" s="182"/>
      <c r="C1706" s="182"/>
      <c r="D1706" s="182"/>
      <c r="E1706" s="71" t="s">
        <v>3232</v>
      </c>
      <c r="F1706" s="70" t="s">
        <v>3233</v>
      </c>
    </row>
    <row r="1707" spans="2:6" ht="12.75" customHeight="1">
      <c r="B1707" s="183"/>
      <c r="C1707" s="183"/>
      <c r="D1707" s="183"/>
      <c r="E1707" s="71" t="s">
        <v>3234</v>
      </c>
      <c r="F1707" s="70" t="s">
        <v>3235</v>
      </c>
    </row>
    <row r="1708" spans="2:6" ht="12.75" customHeight="1">
      <c r="B1708" s="183"/>
      <c r="C1708" s="183"/>
      <c r="D1708" s="183"/>
      <c r="E1708" s="71" t="s">
        <v>3236</v>
      </c>
      <c r="F1708" s="70" t="s">
        <v>3237</v>
      </c>
    </row>
    <row r="1709" spans="2:6" ht="12.75" customHeight="1">
      <c r="B1709" s="183"/>
      <c r="C1709" s="183"/>
      <c r="D1709" s="183"/>
      <c r="E1709" s="71" t="s">
        <v>3238</v>
      </c>
      <c r="F1709" s="70" t="s">
        <v>3239</v>
      </c>
    </row>
    <row r="1710" spans="2:6" ht="12.75" customHeight="1">
      <c r="B1710" s="183"/>
      <c r="C1710" s="183"/>
      <c r="D1710" s="183"/>
      <c r="E1710" s="71" t="s">
        <v>3240</v>
      </c>
      <c r="F1710" s="70" t="s">
        <v>3241</v>
      </c>
    </row>
    <row r="1711" spans="2:6" ht="12.75" customHeight="1">
      <c r="B1711" s="183"/>
      <c r="C1711" s="183"/>
      <c r="D1711" s="183"/>
      <c r="E1711" s="71" t="s">
        <v>3242</v>
      </c>
      <c r="F1711" s="70" t="s">
        <v>3243</v>
      </c>
    </row>
    <row r="1712" spans="2:6" ht="12.75" customHeight="1">
      <c r="B1712" s="183"/>
      <c r="C1712" s="183"/>
      <c r="D1712" s="183"/>
      <c r="E1712" s="71" t="s">
        <v>3244</v>
      </c>
      <c r="F1712" s="70" t="s">
        <v>3245</v>
      </c>
    </row>
    <row r="1713" spans="2:6" ht="12.75" customHeight="1">
      <c r="B1713" s="183"/>
      <c r="C1713" s="183"/>
      <c r="D1713" s="183"/>
      <c r="E1713" s="71" t="s">
        <v>3246</v>
      </c>
      <c r="F1713" s="70" t="s">
        <v>3247</v>
      </c>
    </row>
    <row r="1714" spans="2:6">
      <c r="B1714" s="113">
        <v>350</v>
      </c>
      <c r="C1714" s="95">
        <v>44816</v>
      </c>
      <c r="D1714" s="113" t="s">
        <v>2932</v>
      </c>
      <c r="E1714" s="184"/>
      <c r="F1714" s="185"/>
    </row>
    <row r="1715" spans="2:6">
      <c r="B1715" s="114"/>
      <c r="C1715" s="114"/>
      <c r="D1715" s="114"/>
      <c r="E1715" s="71" t="s">
        <v>3249</v>
      </c>
      <c r="F1715" s="70" t="s">
        <v>3250</v>
      </c>
    </row>
    <row r="1716" spans="2:6">
      <c r="B1716" s="113">
        <v>351</v>
      </c>
      <c r="C1716" s="95">
        <v>44816</v>
      </c>
      <c r="D1716" s="113" t="s">
        <v>268</v>
      </c>
      <c r="E1716" s="184"/>
      <c r="F1716" s="185"/>
    </row>
    <row r="1717" spans="2:6">
      <c r="B1717" s="182"/>
      <c r="C1717" s="182"/>
      <c r="D1717" s="182"/>
      <c r="E1717" s="71" t="s">
        <v>3251</v>
      </c>
      <c r="F1717" s="70" t="s">
        <v>3252</v>
      </c>
    </row>
    <row r="1718" spans="2:6">
      <c r="B1718" s="183"/>
      <c r="C1718" s="183"/>
      <c r="D1718" s="183"/>
      <c r="E1718" s="71" t="s">
        <v>3253</v>
      </c>
      <c r="F1718" s="70" t="s">
        <v>3254</v>
      </c>
    </row>
    <row r="1719" spans="2:6">
      <c r="B1719" s="183"/>
      <c r="C1719" s="183"/>
      <c r="D1719" s="183"/>
      <c r="E1719" s="71" t="s">
        <v>3255</v>
      </c>
      <c r="F1719" s="70" t="s">
        <v>3256</v>
      </c>
    </row>
    <row r="1720" spans="2:6">
      <c r="B1720" s="183"/>
      <c r="C1720" s="183"/>
      <c r="D1720" s="183"/>
      <c r="E1720" s="71" t="s">
        <v>3257</v>
      </c>
      <c r="F1720" s="70" t="s">
        <v>3258</v>
      </c>
    </row>
    <row r="1721" spans="2:6">
      <c r="B1721" s="113">
        <v>352</v>
      </c>
      <c r="C1721" s="95">
        <v>44838</v>
      </c>
      <c r="D1721" s="113" t="s">
        <v>1953</v>
      </c>
      <c r="E1721" s="184"/>
      <c r="F1721" s="185"/>
    </row>
    <row r="1722" spans="2:6">
      <c r="B1722" s="114"/>
      <c r="C1722" s="114"/>
      <c r="D1722" s="114"/>
      <c r="E1722" s="71" t="s">
        <v>3262</v>
      </c>
      <c r="F1722" s="70" t="s">
        <v>3263</v>
      </c>
    </row>
    <row r="1723" spans="2:6">
      <c r="B1723" s="113">
        <v>353</v>
      </c>
      <c r="C1723" s="95">
        <v>44838</v>
      </c>
      <c r="D1723" s="113" t="s">
        <v>1953</v>
      </c>
      <c r="E1723" s="184"/>
      <c r="F1723" s="185"/>
    </row>
    <row r="1724" spans="2:6">
      <c r="B1724" s="182"/>
      <c r="C1724" s="182"/>
      <c r="D1724" s="182"/>
      <c r="E1724" s="71" t="s">
        <v>349</v>
      </c>
      <c r="F1724" s="70" t="s">
        <v>3268</v>
      </c>
    </row>
    <row r="1725" spans="2:6">
      <c r="B1725" s="183"/>
      <c r="C1725" s="183"/>
      <c r="D1725" s="183"/>
      <c r="E1725" s="71" t="s">
        <v>349</v>
      </c>
      <c r="F1725" s="70" t="s">
        <v>3269</v>
      </c>
    </row>
    <row r="1726" spans="2:6">
      <c r="B1726" s="183"/>
      <c r="C1726" s="183"/>
      <c r="D1726" s="183"/>
      <c r="E1726" s="71" t="s">
        <v>349</v>
      </c>
      <c r="F1726" s="70" t="s">
        <v>3270</v>
      </c>
    </row>
    <row r="1727" spans="2:6">
      <c r="B1727" s="183"/>
      <c r="C1727" s="183"/>
      <c r="D1727" s="183"/>
      <c r="E1727" s="71" t="s">
        <v>349</v>
      </c>
      <c r="F1727" s="70" t="s">
        <v>3271</v>
      </c>
    </row>
    <row r="1728" spans="2:6">
      <c r="B1728" s="183"/>
      <c r="C1728" s="183"/>
      <c r="D1728" s="183"/>
      <c r="E1728" s="71" t="s">
        <v>349</v>
      </c>
      <c r="F1728" s="70" t="s">
        <v>3272</v>
      </c>
    </row>
    <row r="1729" spans="2:6">
      <c r="B1729" s="183"/>
      <c r="C1729" s="183"/>
      <c r="D1729" s="183"/>
      <c r="E1729" s="71" t="s">
        <v>349</v>
      </c>
      <c r="F1729" s="70" t="s">
        <v>3273</v>
      </c>
    </row>
    <row r="1730" spans="2:6">
      <c r="B1730" s="183"/>
      <c r="C1730" s="183"/>
      <c r="D1730" s="183"/>
      <c r="E1730" s="71" t="s">
        <v>349</v>
      </c>
      <c r="F1730" s="70" t="s">
        <v>3274</v>
      </c>
    </row>
    <row r="1731" spans="2:6">
      <c r="B1731" s="113">
        <v>354</v>
      </c>
      <c r="C1731" s="95">
        <v>44838</v>
      </c>
      <c r="D1731" s="113" t="s">
        <v>415</v>
      </c>
      <c r="E1731" s="184"/>
      <c r="F1731" s="185"/>
    </row>
    <row r="1732" spans="2:6">
      <c r="B1732" s="182"/>
      <c r="C1732" s="182"/>
      <c r="D1732" s="182"/>
      <c r="E1732" s="71">
        <v>2014552</v>
      </c>
      <c r="F1732" s="70" t="s">
        <v>3275</v>
      </c>
    </row>
    <row r="1733" spans="2:6">
      <c r="B1733" s="183"/>
      <c r="C1733" s="183"/>
      <c r="D1733" s="183"/>
      <c r="E1733" s="71" t="s">
        <v>3276</v>
      </c>
      <c r="F1733" s="70" t="s">
        <v>3277</v>
      </c>
    </row>
    <row r="1734" spans="2:6">
      <c r="B1734" s="183"/>
      <c r="C1734" s="183"/>
      <c r="D1734" s="183"/>
      <c r="E1734" s="71" t="s">
        <v>3276</v>
      </c>
      <c r="F1734" s="70" t="s">
        <v>3278</v>
      </c>
    </row>
    <row r="1735" spans="2:6">
      <c r="B1735" s="183"/>
      <c r="C1735" s="183"/>
      <c r="D1735" s="183"/>
      <c r="E1735" s="71" t="s">
        <v>3279</v>
      </c>
      <c r="F1735" s="70" t="s">
        <v>3280</v>
      </c>
    </row>
    <row r="1736" spans="2:6">
      <c r="B1736" s="183"/>
      <c r="C1736" s="183"/>
      <c r="D1736" s="183"/>
      <c r="E1736" s="71" t="s">
        <v>3279</v>
      </c>
      <c r="F1736" s="70" t="s">
        <v>3281</v>
      </c>
    </row>
    <row r="1737" spans="2:6">
      <c r="B1737" s="113">
        <v>355</v>
      </c>
      <c r="C1737" s="95">
        <v>44839</v>
      </c>
      <c r="D1737" s="113" t="s">
        <v>268</v>
      </c>
      <c r="E1737" s="184"/>
      <c r="F1737" s="185"/>
    </row>
    <row r="1738" spans="2:6">
      <c r="B1738" s="182"/>
      <c r="C1738" s="182"/>
      <c r="D1738" s="182"/>
      <c r="E1738" s="71" t="s">
        <v>1174</v>
      </c>
      <c r="F1738" s="70" t="s">
        <v>3282</v>
      </c>
    </row>
    <row r="1739" spans="2:6">
      <c r="B1739" s="183"/>
      <c r="C1739" s="183"/>
      <c r="D1739" s="183"/>
      <c r="E1739" s="71" t="s">
        <v>2355</v>
      </c>
      <c r="F1739" s="70" t="s">
        <v>3283</v>
      </c>
    </row>
    <row r="1740" spans="2:6">
      <c r="B1740" s="183"/>
      <c r="C1740" s="183"/>
      <c r="D1740" s="183"/>
      <c r="E1740" s="71" t="s">
        <v>2356</v>
      </c>
      <c r="F1740" s="70" t="s">
        <v>3284</v>
      </c>
    </row>
    <row r="1741" spans="2:6">
      <c r="B1741" s="113">
        <v>356</v>
      </c>
      <c r="C1741" s="95">
        <v>44851</v>
      </c>
      <c r="D1741" s="113" t="s">
        <v>466</v>
      </c>
      <c r="E1741" s="184"/>
      <c r="F1741" s="185"/>
    </row>
    <row r="1742" spans="2:6">
      <c r="B1742" s="182"/>
      <c r="C1742" s="182"/>
      <c r="D1742" s="182"/>
      <c r="E1742" s="71" t="s">
        <v>3289</v>
      </c>
      <c r="F1742" s="70" t="s">
        <v>3290</v>
      </c>
    </row>
    <row r="1743" spans="2:6">
      <c r="B1743" s="183"/>
      <c r="C1743" s="183"/>
      <c r="D1743" s="183"/>
      <c r="E1743" s="71" t="s">
        <v>2911</v>
      </c>
      <c r="F1743" s="70" t="s">
        <v>3291</v>
      </c>
    </row>
    <row r="1744" spans="2:6">
      <c r="B1744" s="183"/>
      <c r="C1744" s="183"/>
      <c r="D1744" s="183"/>
      <c r="E1744" s="71" t="s">
        <v>3292</v>
      </c>
      <c r="F1744" s="70" t="s">
        <v>3293</v>
      </c>
    </row>
    <row r="1745" spans="2:6">
      <c r="B1745" s="183"/>
      <c r="C1745" s="183"/>
      <c r="D1745" s="183"/>
      <c r="E1745" s="71" t="s">
        <v>3294</v>
      </c>
      <c r="F1745" s="70" t="s">
        <v>3295</v>
      </c>
    </row>
    <row r="1746" spans="2:6">
      <c r="B1746" s="186"/>
      <c r="C1746" s="186"/>
      <c r="D1746" s="186"/>
      <c r="E1746" s="71" t="s">
        <v>3296</v>
      </c>
      <c r="F1746" s="70" t="s">
        <v>3297</v>
      </c>
    </row>
    <row r="1747" spans="2:6">
      <c r="B1747" s="113">
        <v>357</v>
      </c>
      <c r="C1747" s="95">
        <v>44858</v>
      </c>
      <c r="D1747" s="113" t="s">
        <v>814</v>
      </c>
      <c r="E1747" s="184"/>
      <c r="F1747" s="185"/>
    </row>
    <row r="1748" spans="2:6">
      <c r="B1748" s="114"/>
      <c r="C1748" s="114"/>
      <c r="D1748" s="114"/>
      <c r="E1748" s="71" t="s">
        <v>1437</v>
      </c>
      <c r="F1748" s="70" t="s">
        <v>3308</v>
      </c>
    </row>
    <row r="1749" spans="2:6" ht="12.75" customHeight="1">
      <c r="B1749" s="113">
        <v>358</v>
      </c>
      <c r="C1749" s="95">
        <v>44858</v>
      </c>
      <c r="D1749" s="113" t="s">
        <v>685</v>
      </c>
      <c r="E1749" s="184"/>
      <c r="F1749" s="185"/>
    </row>
    <row r="1750" spans="2:6" ht="12.75" customHeight="1">
      <c r="B1750" s="183"/>
      <c r="C1750" s="183"/>
      <c r="D1750" s="183"/>
      <c r="E1750" s="71" t="s">
        <v>1326</v>
      </c>
      <c r="F1750" s="70" t="s">
        <v>3311</v>
      </c>
    </row>
    <row r="1751" spans="2:6" ht="12.75" customHeight="1">
      <c r="B1751" s="183"/>
      <c r="C1751" s="183"/>
      <c r="D1751" s="183"/>
      <c r="E1751" s="71" t="s">
        <v>1835</v>
      </c>
      <c r="F1751" s="70" t="s">
        <v>3312</v>
      </c>
    </row>
    <row r="1752" spans="2:6" ht="12.75" customHeight="1">
      <c r="B1752" s="183"/>
      <c r="C1752" s="183"/>
      <c r="D1752" s="183"/>
      <c r="E1752" s="71" t="s">
        <v>1337</v>
      </c>
      <c r="F1752" s="70" t="s">
        <v>3313</v>
      </c>
    </row>
    <row r="1753" spans="2:6" ht="12.75" customHeight="1">
      <c r="B1753" s="183"/>
      <c r="C1753" s="183"/>
      <c r="D1753" s="183"/>
      <c r="E1753" s="71" t="s">
        <v>2137</v>
      </c>
      <c r="F1753" s="70" t="s">
        <v>3314</v>
      </c>
    </row>
    <row r="1754" spans="2:6" ht="12.75" customHeight="1">
      <c r="B1754" s="183"/>
      <c r="C1754" s="183"/>
      <c r="D1754" s="183"/>
      <c r="E1754" s="71" t="s">
        <v>670</v>
      </c>
      <c r="F1754" s="70" t="s">
        <v>3315</v>
      </c>
    </row>
    <row r="1755" spans="2:6" ht="12.75" customHeight="1">
      <c r="B1755" s="183"/>
      <c r="C1755" s="183"/>
      <c r="D1755" s="183"/>
      <c r="E1755" s="71" t="s">
        <v>1849</v>
      </c>
      <c r="F1755" s="70" t="s">
        <v>3316</v>
      </c>
    </row>
    <row r="1756" spans="2:6" ht="12.75" customHeight="1">
      <c r="B1756" s="183"/>
      <c r="C1756" s="183"/>
      <c r="D1756" s="183"/>
      <c r="E1756" s="71" t="s">
        <v>669</v>
      </c>
      <c r="F1756" s="70" t="s">
        <v>3317</v>
      </c>
    </row>
    <row r="1757" spans="2:6" ht="12.75" customHeight="1">
      <c r="B1757" s="183"/>
      <c r="C1757" s="183"/>
      <c r="D1757" s="183"/>
      <c r="E1757" s="71" t="s">
        <v>698</v>
      </c>
      <c r="F1757" s="70" t="s">
        <v>3318</v>
      </c>
    </row>
    <row r="1758" spans="2:6" ht="12.75" customHeight="1">
      <c r="B1758" s="183"/>
      <c r="C1758" s="183"/>
      <c r="D1758" s="183"/>
      <c r="E1758" s="71" t="s">
        <v>700</v>
      </c>
      <c r="F1758" s="70" t="s">
        <v>3319</v>
      </c>
    </row>
    <row r="1759" spans="2:6" ht="12.75" customHeight="1">
      <c r="B1759" s="183"/>
      <c r="C1759" s="183"/>
      <c r="D1759" s="183"/>
      <c r="E1759" s="71" t="s">
        <v>674</v>
      </c>
      <c r="F1759" s="70" t="s">
        <v>3320</v>
      </c>
    </row>
    <row r="1760" spans="2:6" ht="12.75" customHeight="1">
      <c r="B1760" s="183"/>
      <c r="C1760" s="183"/>
      <c r="D1760" s="183"/>
      <c r="E1760" s="71" t="s">
        <v>474</v>
      </c>
      <c r="F1760" s="70" t="s">
        <v>3321</v>
      </c>
    </row>
    <row r="1761" spans="2:6" ht="12.75" customHeight="1">
      <c r="B1761" s="183"/>
      <c r="C1761" s="183"/>
      <c r="D1761" s="183"/>
      <c r="E1761" s="71" t="s">
        <v>474</v>
      </c>
      <c r="F1761" s="70" t="s">
        <v>3322</v>
      </c>
    </row>
    <row r="1762" spans="2:6" ht="12.75" customHeight="1">
      <c r="B1762" s="183"/>
      <c r="C1762" s="183"/>
      <c r="D1762" s="183"/>
      <c r="E1762" s="71" t="s">
        <v>1218</v>
      </c>
      <c r="F1762" s="70" t="s">
        <v>3323</v>
      </c>
    </row>
    <row r="1763" spans="2:6" ht="12.75" customHeight="1">
      <c r="B1763" s="183"/>
      <c r="C1763" s="183"/>
      <c r="D1763" s="183"/>
      <c r="E1763" s="71" t="s">
        <v>676</v>
      </c>
      <c r="F1763" s="70" t="s">
        <v>3324</v>
      </c>
    </row>
    <row r="1764" spans="2:6">
      <c r="B1764" s="183"/>
      <c r="C1764" s="183"/>
      <c r="D1764" s="183"/>
      <c r="E1764" s="71" t="s">
        <v>938</v>
      </c>
      <c r="F1764" s="70" t="s">
        <v>3325</v>
      </c>
    </row>
    <row r="1765" spans="2:6">
      <c r="B1765" s="113">
        <v>359</v>
      </c>
      <c r="C1765" s="95">
        <v>44860</v>
      </c>
      <c r="D1765" s="113" t="s">
        <v>685</v>
      </c>
      <c r="E1765" s="184"/>
      <c r="F1765" s="185"/>
    </row>
    <row r="1766" spans="2:6">
      <c r="B1766" s="183"/>
      <c r="C1766" s="183"/>
      <c r="D1766" s="183"/>
      <c r="E1766" s="71" t="s">
        <v>1330</v>
      </c>
      <c r="F1766" s="70" t="s">
        <v>3326</v>
      </c>
    </row>
    <row r="1767" spans="2:6">
      <c r="B1767" s="183"/>
      <c r="C1767" s="183"/>
      <c r="D1767" s="183"/>
      <c r="E1767" s="71" t="s">
        <v>1335</v>
      </c>
      <c r="F1767" s="70" t="s">
        <v>3327</v>
      </c>
    </row>
    <row r="1768" spans="2:6">
      <c r="B1768" s="113">
        <v>360</v>
      </c>
      <c r="C1768" s="95">
        <v>44866</v>
      </c>
      <c r="D1768" s="113" t="s">
        <v>1384</v>
      </c>
      <c r="E1768" s="184"/>
      <c r="F1768" s="185"/>
    </row>
    <row r="1769" spans="2:6">
      <c r="B1769" s="114"/>
      <c r="C1769" s="114"/>
      <c r="D1769" s="114"/>
      <c r="E1769" s="71">
        <v>5452981</v>
      </c>
      <c r="F1769" s="70" t="s">
        <v>3330</v>
      </c>
    </row>
    <row r="1770" spans="2:6">
      <c r="B1770" s="113">
        <v>361</v>
      </c>
      <c r="C1770" s="95">
        <v>44875</v>
      </c>
      <c r="D1770" s="113" t="s">
        <v>3332</v>
      </c>
      <c r="E1770" s="184"/>
      <c r="F1770" s="185"/>
    </row>
    <row r="1771" spans="2:6">
      <c r="B1771" s="113"/>
      <c r="C1771" s="113"/>
      <c r="D1771" s="113"/>
      <c r="E1771" s="71" t="s">
        <v>1630</v>
      </c>
      <c r="F1771" s="70" t="s">
        <v>909</v>
      </c>
    </row>
    <row r="1772" spans="2:6">
      <c r="B1772" s="113">
        <v>362</v>
      </c>
      <c r="C1772" s="95">
        <v>44893</v>
      </c>
      <c r="D1772" s="113" t="s">
        <v>466</v>
      </c>
      <c r="E1772" s="184"/>
      <c r="F1772" s="185"/>
    </row>
    <row r="1773" spans="2:6">
      <c r="B1773" s="183"/>
      <c r="C1773" s="183"/>
      <c r="D1773" s="183"/>
      <c r="E1773" s="71" t="s">
        <v>3334</v>
      </c>
      <c r="F1773" s="70" t="s">
        <v>2476</v>
      </c>
    </row>
    <row r="1774" spans="2:6">
      <c r="B1774" s="183"/>
      <c r="C1774" s="183"/>
      <c r="D1774" s="183"/>
      <c r="E1774" s="71" t="s">
        <v>3335</v>
      </c>
      <c r="F1774" s="70" t="s">
        <v>2351</v>
      </c>
    </row>
    <row r="1775" spans="2:6">
      <c r="B1775" s="113" t="s">
        <v>3337</v>
      </c>
      <c r="C1775" s="95">
        <v>44893</v>
      </c>
      <c r="D1775" s="113" t="s">
        <v>685</v>
      </c>
      <c r="E1775" s="184"/>
      <c r="F1775" s="185"/>
    </row>
    <row r="1776" spans="2:6">
      <c r="B1776" s="183"/>
      <c r="C1776" s="183"/>
      <c r="D1776" s="183"/>
      <c r="E1776" s="71" t="s">
        <v>3334</v>
      </c>
      <c r="F1776" s="70" t="s">
        <v>3338</v>
      </c>
    </row>
    <row r="1777" spans="2:6">
      <c r="B1777" s="183"/>
      <c r="C1777" s="183"/>
      <c r="D1777" s="183"/>
      <c r="E1777" s="71" t="s">
        <v>3335</v>
      </c>
      <c r="F1777" s="70" t="s">
        <v>3339</v>
      </c>
    </row>
    <row r="1778" spans="2:6">
      <c r="B1778" s="183"/>
      <c r="C1778" s="183"/>
      <c r="D1778" s="183"/>
      <c r="E1778" s="71" t="s">
        <v>3340</v>
      </c>
      <c r="F1778" s="70" t="s">
        <v>1099</v>
      </c>
    </row>
    <row r="1779" spans="2:6">
      <c r="B1779" s="183"/>
      <c r="C1779" s="183"/>
      <c r="D1779" s="183"/>
      <c r="E1779" s="71" t="s">
        <v>3340</v>
      </c>
      <c r="F1779" s="70" t="s">
        <v>3341</v>
      </c>
    </row>
    <row r="1780" spans="2:6">
      <c r="B1780" s="113">
        <v>363</v>
      </c>
      <c r="C1780" s="95">
        <v>44894</v>
      </c>
      <c r="D1780" s="113" t="s">
        <v>1384</v>
      </c>
      <c r="E1780" s="184"/>
      <c r="F1780" s="185"/>
    </row>
    <row r="1781" spans="2:6">
      <c r="B1781" s="114"/>
      <c r="C1781" s="114"/>
      <c r="D1781" s="114"/>
      <c r="E1781" s="71" t="s">
        <v>3334</v>
      </c>
      <c r="F1781" s="70" t="s">
        <v>3346</v>
      </c>
    </row>
    <row r="1782" spans="2:6">
      <c r="B1782" s="113">
        <v>364</v>
      </c>
      <c r="C1782" s="95">
        <v>44919</v>
      </c>
      <c r="D1782" s="113" t="s">
        <v>268</v>
      </c>
      <c r="E1782" s="184"/>
      <c r="F1782" s="185"/>
    </row>
    <row r="1783" spans="2:6">
      <c r="B1783" s="114"/>
      <c r="C1783" s="114"/>
      <c r="D1783" s="114"/>
      <c r="E1783" s="71" t="s">
        <v>3347</v>
      </c>
      <c r="F1783" s="70" t="s">
        <v>3348</v>
      </c>
    </row>
    <row r="1784" spans="2:6">
      <c r="B1784" s="113">
        <v>365</v>
      </c>
      <c r="C1784" s="95">
        <v>44910</v>
      </c>
      <c r="D1784" s="113" t="s">
        <v>1384</v>
      </c>
      <c r="E1784" s="184"/>
      <c r="F1784" s="185"/>
    </row>
    <row r="1785" spans="2:6">
      <c r="B1785" s="183"/>
      <c r="C1785" s="183"/>
      <c r="D1785" s="183"/>
      <c r="E1785" s="71" t="s">
        <v>3353</v>
      </c>
      <c r="F1785" s="70" t="s">
        <v>3354</v>
      </c>
    </row>
    <row r="1786" spans="2:6">
      <c r="B1786" s="183"/>
      <c r="C1786" s="183"/>
      <c r="D1786" s="183"/>
      <c r="E1786" s="71" t="s">
        <v>2479</v>
      </c>
      <c r="F1786" s="70" t="s">
        <v>3355</v>
      </c>
    </row>
    <row r="1787" spans="2:6">
      <c r="B1787" s="183"/>
      <c r="C1787" s="183"/>
      <c r="D1787" s="183"/>
      <c r="E1787" s="71" t="s">
        <v>1625</v>
      </c>
      <c r="F1787" s="70" t="s">
        <v>3356</v>
      </c>
    </row>
    <row r="1788" spans="2:6">
      <c r="B1788" s="183"/>
      <c r="C1788" s="183"/>
      <c r="D1788" s="183"/>
      <c r="E1788" s="71" t="s">
        <v>1625</v>
      </c>
      <c r="F1788" s="70" t="s">
        <v>3357</v>
      </c>
    </row>
    <row r="1789" spans="2:6">
      <c r="B1789" s="183"/>
      <c r="C1789" s="183"/>
      <c r="D1789" s="183"/>
      <c r="E1789" s="71" t="s">
        <v>1625</v>
      </c>
      <c r="F1789" s="70" t="s">
        <v>3358</v>
      </c>
    </row>
    <row r="1790" spans="2:6">
      <c r="B1790" s="113">
        <v>366</v>
      </c>
      <c r="C1790" s="95">
        <v>44917</v>
      </c>
      <c r="D1790" s="113" t="s">
        <v>415</v>
      </c>
      <c r="E1790" s="184"/>
      <c r="F1790" s="185"/>
    </row>
    <row r="1791" spans="2:6">
      <c r="B1791" s="183"/>
      <c r="C1791" s="183"/>
      <c r="D1791" s="183"/>
      <c r="E1791" s="71" t="s">
        <v>3279</v>
      </c>
      <c r="F1791" s="70" t="s">
        <v>3359</v>
      </c>
    </row>
    <row r="1792" spans="2:6">
      <c r="B1792" s="183"/>
      <c r="C1792" s="183"/>
      <c r="D1792" s="183"/>
      <c r="E1792" s="71" t="s">
        <v>3276</v>
      </c>
      <c r="F1792" s="70" t="s">
        <v>3360</v>
      </c>
    </row>
    <row r="1793" spans="2:6">
      <c r="B1793" s="183"/>
      <c r="C1793" s="183"/>
      <c r="D1793" s="183"/>
      <c r="E1793" s="71" t="s">
        <v>3361</v>
      </c>
      <c r="F1793" s="70" t="s">
        <v>3362</v>
      </c>
    </row>
    <row r="1794" spans="2:6">
      <c r="B1794" s="183"/>
      <c r="C1794" s="183"/>
      <c r="D1794" s="183"/>
      <c r="E1794" s="71" t="s">
        <v>3363</v>
      </c>
      <c r="F1794" s="70" t="s">
        <v>3364</v>
      </c>
    </row>
    <row r="1795" spans="2:6">
      <c r="B1795" s="183"/>
      <c r="C1795" s="183"/>
      <c r="D1795" s="183"/>
      <c r="E1795" s="71">
        <v>2014553</v>
      </c>
      <c r="F1795" s="70" t="s">
        <v>3365</v>
      </c>
    </row>
    <row r="1796" spans="2:6">
      <c r="B1796" s="183"/>
      <c r="C1796" s="183"/>
      <c r="D1796" s="183"/>
      <c r="E1796" s="71" t="s">
        <v>349</v>
      </c>
      <c r="F1796" s="70" t="s">
        <v>3366</v>
      </c>
    </row>
    <row r="1797" spans="2:6">
      <c r="B1797" s="183"/>
      <c r="C1797" s="183"/>
      <c r="D1797" s="183"/>
      <c r="E1797" s="71" t="s">
        <v>349</v>
      </c>
      <c r="F1797" s="70" t="s">
        <v>3367</v>
      </c>
    </row>
    <row r="1798" spans="2:6">
      <c r="B1798" s="183"/>
      <c r="C1798" s="183"/>
      <c r="D1798" s="183"/>
      <c r="E1798" s="71" t="s">
        <v>349</v>
      </c>
      <c r="F1798" s="70" t="s">
        <v>3368</v>
      </c>
    </row>
    <row r="1799" spans="2:6">
      <c r="B1799" s="183"/>
      <c r="C1799" s="183"/>
      <c r="D1799" s="183"/>
      <c r="E1799" s="71" t="s">
        <v>349</v>
      </c>
      <c r="F1799" s="70" t="s">
        <v>3369</v>
      </c>
    </row>
    <row r="1800" spans="2:6">
      <c r="B1800" s="113">
        <v>367</v>
      </c>
      <c r="C1800" s="95">
        <v>44939</v>
      </c>
      <c r="D1800" s="113" t="s">
        <v>814</v>
      </c>
      <c r="E1800" s="184"/>
      <c r="F1800" s="185"/>
    </row>
    <row r="1801" spans="2:6">
      <c r="B1801" s="182"/>
      <c r="C1801" s="182"/>
      <c r="D1801" s="182"/>
      <c r="E1801" s="71" t="s">
        <v>349</v>
      </c>
      <c r="F1801" s="70" t="s">
        <v>3371</v>
      </c>
    </row>
    <row r="1802" spans="2:6">
      <c r="B1802" s="183"/>
      <c r="C1802" s="183"/>
      <c r="D1802" s="183"/>
      <c r="E1802" s="71" t="s">
        <v>349</v>
      </c>
      <c r="F1802" s="70" t="s">
        <v>3372</v>
      </c>
    </row>
    <row r="1803" spans="2:6">
      <c r="B1803" s="183"/>
      <c r="C1803" s="183"/>
      <c r="D1803" s="183"/>
      <c r="E1803" s="71" t="s">
        <v>349</v>
      </c>
      <c r="F1803" s="70" t="s">
        <v>3373</v>
      </c>
    </row>
    <row r="1804" spans="2:6">
      <c r="B1804" s="183"/>
      <c r="C1804" s="183"/>
      <c r="D1804" s="183"/>
      <c r="E1804" s="71" t="s">
        <v>349</v>
      </c>
      <c r="F1804" s="70" t="s">
        <v>3377</v>
      </c>
    </row>
    <row r="1805" spans="2:6">
      <c r="B1805" s="183"/>
      <c r="C1805" s="183"/>
      <c r="D1805" s="183"/>
      <c r="E1805" s="71" t="s">
        <v>349</v>
      </c>
      <c r="F1805" s="70" t="s">
        <v>3379</v>
      </c>
    </row>
    <row r="1806" spans="2:6">
      <c r="B1806" s="183"/>
      <c r="C1806" s="183"/>
      <c r="D1806" s="183"/>
      <c r="E1806" s="71" t="s">
        <v>349</v>
      </c>
      <c r="F1806" s="70" t="s">
        <v>3380</v>
      </c>
    </row>
    <row r="1807" spans="2:6">
      <c r="B1807" s="186"/>
      <c r="C1807" s="186"/>
      <c r="D1807" s="186"/>
      <c r="E1807" s="71" t="s">
        <v>3378</v>
      </c>
      <c r="F1807" s="70" t="s">
        <v>3381</v>
      </c>
    </row>
    <row r="1808" spans="2:6">
      <c r="B1808" s="113">
        <v>368</v>
      </c>
      <c r="C1808" s="95">
        <v>44939</v>
      </c>
      <c r="D1808" s="113" t="s">
        <v>814</v>
      </c>
      <c r="E1808" s="184"/>
      <c r="F1808" s="185"/>
    </row>
    <row r="1809" spans="2:6">
      <c r="B1809" s="114"/>
      <c r="C1809" s="114"/>
      <c r="D1809" s="114"/>
      <c r="E1809" s="71" t="s">
        <v>1437</v>
      </c>
      <c r="F1809" s="70" t="s">
        <v>3382</v>
      </c>
    </row>
    <row r="1810" spans="2:6">
      <c r="B1810" s="113">
        <v>369</v>
      </c>
      <c r="C1810" s="95">
        <v>44939</v>
      </c>
      <c r="D1810" s="113" t="s">
        <v>685</v>
      </c>
      <c r="E1810" s="184"/>
      <c r="F1810" s="185"/>
    </row>
    <row r="1811" spans="2:6">
      <c r="B1811" s="183"/>
      <c r="C1811" s="183"/>
      <c r="D1811" s="183"/>
      <c r="E1811" s="71" t="s">
        <v>3334</v>
      </c>
      <c r="F1811" s="70" t="s">
        <v>3391</v>
      </c>
    </row>
    <row r="1812" spans="2:6">
      <c r="B1812" s="183"/>
      <c r="C1812" s="183"/>
      <c r="D1812" s="183"/>
      <c r="E1812" s="71" t="s">
        <v>349</v>
      </c>
      <c r="F1812" s="70" t="s">
        <v>3392</v>
      </c>
    </row>
    <row r="1813" spans="2:6">
      <c r="B1813" s="183"/>
      <c r="C1813" s="183"/>
      <c r="D1813" s="183"/>
      <c r="E1813" s="71" t="s">
        <v>349</v>
      </c>
      <c r="F1813" s="70" t="s">
        <v>3393</v>
      </c>
    </row>
    <row r="1814" spans="2:6">
      <c r="B1814" s="183"/>
      <c r="C1814" s="183"/>
      <c r="D1814" s="183"/>
      <c r="E1814" s="71" t="s">
        <v>349</v>
      </c>
      <c r="F1814" s="70" t="s">
        <v>3385</v>
      </c>
    </row>
    <row r="1815" spans="2:6">
      <c r="B1815" s="183"/>
      <c r="C1815" s="183"/>
      <c r="D1815" s="183"/>
      <c r="E1815" s="71" t="s">
        <v>349</v>
      </c>
      <c r="F1815" s="70" t="s">
        <v>3386</v>
      </c>
    </row>
    <row r="1816" spans="2:6">
      <c r="B1816" s="183"/>
      <c r="C1816" s="183"/>
      <c r="D1816" s="183"/>
      <c r="E1816" s="71" t="s">
        <v>349</v>
      </c>
      <c r="F1816" s="70" t="s">
        <v>3387</v>
      </c>
    </row>
    <row r="1817" spans="2:6">
      <c r="B1817" s="183"/>
      <c r="C1817" s="183"/>
      <c r="D1817" s="183"/>
      <c r="E1817" s="71" t="s">
        <v>349</v>
      </c>
      <c r="F1817" s="70" t="s">
        <v>3388</v>
      </c>
    </row>
    <row r="1818" spans="2:6">
      <c r="B1818" s="113">
        <v>370</v>
      </c>
      <c r="C1818" s="95">
        <v>44946</v>
      </c>
      <c r="D1818" s="113" t="s">
        <v>685</v>
      </c>
      <c r="E1818" s="184"/>
      <c r="F1818" s="185"/>
    </row>
    <row r="1819" spans="2:6">
      <c r="B1819" s="183"/>
      <c r="C1819" s="183"/>
      <c r="D1819" s="183"/>
      <c r="E1819" s="71" t="s">
        <v>349</v>
      </c>
      <c r="F1819" s="70" t="s">
        <v>3396</v>
      </c>
    </row>
    <row r="1820" spans="2:6">
      <c r="B1820" s="183"/>
      <c r="C1820" s="183"/>
      <c r="D1820" s="183"/>
      <c r="E1820" s="71" t="s">
        <v>349</v>
      </c>
      <c r="F1820" s="70" t="s">
        <v>3397</v>
      </c>
    </row>
    <row r="1821" spans="2:6">
      <c r="B1821" s="183"/>
      <c r="C1821" s="183"/>
      <c r="D1821" s="183"/>
      <c r="E1821" s="71" t="s">
        <v>349</v>
      </c>
      <c r="F1821" s="70" t="s">
        <v>3398</v>
      </c>
    </row>
    <row r="1822" spans="2:6">
      <c r="B1822" s="183"/>
      <c r="C1822" s="183"/>
      <c r="D1822" s="183"/>
      <c r="E1822" s="71" t="s">
        <v>349</v>
      </c>
      <c r="F1822" s="70" t="s">
        <v>3399</v>
      </c>
    </row>
    <row r="1823" spans="2:6">
      <c r="B1823" s="183"/>
      <c r="C1823" s="183"/>
      <c r="D1823" s="183"/>
      <c r="E1823" s="71" t="s">
        <v>349</v>
      </c>
      <c r="F1823" s="70" t="s">
        <v>3400</v>
      </c>
    </row>
    <row r="1824" spans="2:6">
      <c r="B1824" s="183"/>
      <c r="C1824" s="183"/>
      <c r="D1824" s="183"/>
      <c r="E1824" s="71" t="s">
        <v>349</v>
      </c>
      <c r="F1824" s="70" t="s">
        <v>3401</v>
      </c>
    </row>
    <row r="1825" spans="2:6">
      <c r="B1825" s="183"/>
      <c r="C1825" s="183"/>
      <c r="D1825" s="183"/>
      <c r="E1825" s="71" t="s">
        <v>349</v>
      </c>
      <c r="F1825" s="70" t="s">
        <v>3402</v>
      </c>
    </row>
    <row r="1826" spans="2:6">
      <c r="B1826" s="183"/>
      <c r="C1826" s="183"/>
      <c r="D1826" s="183"/>
      <c r="E1826" s="71" t="s">
        <v>349</v>
      </c>
      <c r="F1826" s="70" t="s">
        <v>3403</v>
      </c>
    </row>
    <row r="1827" spans="2:6">
      <c r="B1827" s="183"/>
      <c r="C1827" s="183"/>
      <c r="D1827" s="183"/>
      <c r="E1827" s="71" t="s">
        <v>349</v>
      </c>
      <c r="F1827" s="70" t="s">
        <v>3404</v>
      </c>
    </row>
    <row r="1828" spans="2:6">
      <c r="B1828" s="183"/>
      <c r="C1828" s="183"/>
      <c r="D1828" s="183"/>
      <c r="E1828" s="71" t="s">
        <v>349</v>
      </c>
      <c r="F1828" s="70" t="s">
        <v>3405</v>
      </c>
    </row>
    <row r="1829" spans="2:6">
      <c r="B1829" s="183"/>
      <c r="C1829" s="183"/>
      <c r="D1829" s="183"/>
      <c r="E1829" s="71" t="s">
        <v>349</v>
      </c>
      <c r="F1829" s="70" t="s">
        <v>3406</v>
      </c>
    </row>
    <row r="1830" spans="2:6">
      <c r="B1830" s="183"/>
      <c r="C1830" s="183"/>
      <c r="D1830" s="183"/>
      <c r="E1830" s="71" t="s">
        <v>349</v>
      </c>
      <c r="F1830" s="70" t="s">
        <v>3407</v>
      </c>
    </row>
    <row r="1831" spans="2:6">
      <c r="B1831" s="183"/>
      <c r="C1831" s="183"/>
      <c r="D1831" s="183"/>
      <c r="E1831" s="71" t="s">
        <v>349</v>
      </c>
      <c r="F1831" s="70" t="s">
        <v>3408</v>
      </c>
    </row>
    <row r="1832" spans="2:6">
      <c r="B1832" s="183"/>
      <c r="C1832" s="183"/>
      <c r="D1832" s="183"/>
      <c r="E1832" s="71" t="s">
        <v>349</v>
      </c>
      <c r="F1832" s="70" t="s">
        <v>3409</v>
      </c>
    </row>
    <row r="1833" spans="2:6">
      <c r="B1833" s="113">
        <v>371</v>
      </c>
      <c r="C1833" s="95">
        <v>44946</v>
      </c>
      <c r="D1833" s="113" t="s">
        <v>430</v>
      </c>
      <c r="E1833" s="184"/>
      <c r="F1833" s="185"/>
    </row>
    <row r="1834" spans="2:6">
      <c r="B1834" s="183"/>
      <c r="C1834" s="183"/>
      <c r="D1834" s="183"/>
      <c r="E1834" s="71" t="s">
        <v>3410</v>
      </c>
      <c r="F1834" s="70" t="s">
        <v>3411</v>
      </c>
    </row>
    <row r="1835" spans="2:6">
      <c r="B1835" s="183"/>
      <c r="C1835" s="183"/>
      <c r="D1835" s="183"/>
      <c r="E1835" s="71" t="s">
        <v>3410</v>
      </c>
      <c r="F1835" s="70" t="s">
        <v>3412</v>
      </c>
    </row>
    <row r="1836" spans="2:6">
      <c r="B1836" s="113">
        <v>372</v>
      </c>
      <c r="C1836" s="95">
        <v>44946</v>
      </c>
      <c r="D1836" s="113" t="s">
        <v>466</v>
      </c>
      <c r="E1836" s="184"/>
      <c r="F1836" s="185"/>
    </row>
    <row r="1837" spans="2:6">
      <c r="B1837" s="183"/>
      <c r="C1837" s="183"/>
      <c r="D1837" s="183"/>
      <c r="E1837" s="71" t="s">
        <v>3414</v>
      </c>
      <c r="F1837" s="70" t="s">
        <v>3415</v>
      </c>
    </row>
    <row r="1838" spans="2:6">
      <c r="B1838" s="183"/>
      <c r="C1838" s="183"/>
      <c r="D1838" s="183"/>
      <c r="E1838" s="71" t="s">
        <v>3416</v>
      </c>
      <c r="F1838" s="70" t="s">
        <v>3417</v>
      </c>
    </row>
    <row r="1839" spans="2:6">
      <c r="B1839" s="183"/>
      <c r="C1839" s="183"/>
      <c r="D1839" s="183"/>
      <c r="E1839" s="71" t="s">
        <v>3418</v>
      </c>
      <c r="F1839" s="70" t="s">
        <v>3419</v>
      </c>
    </row>
    <row r="1840" spans="2:6">
      <c r="B1840" s="183"/>
      <c r="C1840" s="183"/>
      <c r="D1840" s="183"/>
      <c r="E1840" s="71" t="s">
        <v>3420</v>
      </c>
      <c r="F1840" s="70" t="s">
        <v>3421</v>
      </c>
    </row>
    <row r="1841" spans="2:6">
      <c r="B1841" s="113">
        <v>373</v>
      </c>
      <c r="C1841" s="95">
        <v>44952</v>
      </c>
      <c r="D1841" s="113" t="s">
        <v>1384</v>
      </c>
      <c r="E1841" s="184"/>
      <c r="F1841" s="185"/>
    </row>
    <row r="1842" spans="2:6">
      <c r="B1842" s="183"/>
      <c r="C1842" s="183"/>
      <c r="D1842" s="183"/>
      <c r="E1842" s="71" t="s">
        <v>3423</v>
      </c>
      <c r="F1842" s="70" t="s">
        <v>3424</v>
      </c>
    </row>
    <row r="1843" spans="2:6">
      <c r="B1843" s="183"/>
      <c r="C1843" s="183"/>
      <c r="D1843" s="183"/>
      <c r="E1843" s="71" t="s">
        <v>3425</v>
      </c>
      <c r="F1843" s="70" t="s">
        <v>3426</v>
      </c>
    </row>
    <row r="1844" spans="2:6">
      <c r="B1844" s="183"/>
      <c r="C1844" s="183"/>
      <c r="D1844" s="183"/>
      <c r="E1844" s="71" t="s">
        <v>3427</v>
      </c>
      <c r="F1844" s="70" t="s">
        <v>3428</v>
      </c>
    </row>
    <row r="1845" spans="2:6">
      <c r="B1845" s="183"/>
      <c r="C1845" s="183"/>
      <c r="D1845" s="183"/>
      <c r="E1845" s="71" t="s">
        <v>3429</v>
      </c>
      <c r="F1845" s="70" t="s">
        <v>3430</v>
      </c>
    </row>
    <row r="1846" spans="2:6">
      <c r="B1846" s="183"/>
      <c r="C1846" s="183"/>
      <c r="D1846" s="183"/>
      <c r="E1846" s="71" t="s">
        <v>3431</v>
      </c>
      <c r="F1846" s="70" t="s">
        <v>3432</v>
      </c>
    </row>
    <row r="1847" spans="2:6">
      <c r="B1847" s="183"/>
      <c r="C1847" s="183"/>
      <c r="D1847" s="183"/>
      <c r="E1847" s="71" t="s">
        <v>3433</v>
      </c>
      <c r="F1847" s="70" t="s">
        <v>3434</v>
      </c>
    </row>
    <row r="1848" spans="2:6">
      <c r="B1848" s="183"/>
      <c r="C1848" s="183"/>
      <c r="D1848" s="183"/>
      <c r="E1848" s="71" t="s">
        <v>3435</v>
      </c>
      <c r="F1848" s="70" t="s">
        <v>3436</v>
      </c>
    </row>
    <row r="1849" spans="2:6">
      <c r="B1849" s="183"/>
      <c r="C1849" s="183"/>
      <c r="D1849" s="183"/>
      <c r="E1849" s="71" t="s">
        <v>3437</v>
      </c>
      <c r="F1849" s="70" t="s">
        <v>3438</v>
      </c>
    </row>
    <row r="1850" spans="2:6">
      <c r="B1850" s="183"/>
      <c r="C1850" s="183"/>
      <c r="D1850" s="183"/>
      <c r="E1850" s="71" t="s">
        <v>3439</v>
      </c>
      <c r="F1850" s="70" t="s">
        <v>3440</v>
      </c>
    </row>
    <row r="1851" spans="2:6">
      <c r="B1851" s="183"/>
      <c r="C1851" s="183"/>
      <c r="D1851" s="183"/>
      <c r="E1851" s="71" t="s">
        <v>3441</v>
      </c>
      <c r="F1851" s="70" t="s">
        <v>3442</v>
      </c>
    </row>
    <row r="1852" spans="2:6">
      <c r="B1852" s="183"/>
      <c r="C1852" s="183"/>
      <c r="D1852" s="183"/>
      <c r="E1852" s="71" t="s">
        <v>3443</v>
      </c>
      <c r="F1852" s="70" t="s">
        <v>3444</v>
      </c>
    </row>
    <row r="1853" spans="2:6">
      <c r="B1853" s="183"/>
      <c r="C1853" s="183"/>
      <c r="D1853" s="183"/>
      <c r="E1853" s="71" t="s">
        <v>3445</v>
      </c>
      <c r="F1853" s="70" t="s">
        <v>3446</v>
      </c>
    </row>
    <row r="1854" spans="2:6">
      <c r="B1854" s="183"/>
      <c r="C1854" s="183"/>
      <c r="D1854" s="183"/>
      <c r="E1854" s="71" t="s">
        <v>3447</v>
      </c>
      <c r="F1854" s="70" t="s">
        <v>3448</v>
      </c>
    </row>
    <row r="1855" spans="2:6">
      <c r="B1855" s="183"/>
      <c r="C1855" s="183"/>
      <c r="D1855" s="183"/>
      <c r="E1855" s="71" t="s">
        <v>3449</v>
      </c>
      <c r="F1855" s="70" t="s">
        <v>3450</v>
      </c>
    </row>
    <row r="1856" spans="2:6">
      <c r="B1856" s="113">
        <v>374</v>
      </c>
      <c r="C1856" s="95">
        <v>44952</v>
      </c>
      <c r="D1856" s="113" t="s">
        <v>466</v>
      </c>
      <c r="E1856" s="184"/>
      <c r="F1856" s="185"/>
    </row>
    <row r="1857" spans="2:6">
      <c r="B1857" s="183"/>
      <c r="C1857" s="183"/>
      <c r="D1857" s="183"/>
      <c r="E1857" s="71" t="s">
        <v>3452</v>
      </c>
      <c r="F1857" s="70" t="s">
        <v>3453</v>
      </c>
    </row>
    <row r="1858" spans="2:6">
      <c r="B1858" s="183"/>
      <c r="C1858" s="183"/>
      <c r="D1858" s="183"/>
      <c r="E1858" s="71" t="s">
        <v>3454</v>
      </c>
      <c r="F1858" s="70" t="s">
        <v>3455</v>
      </c>
    </row>
    <row r="1859" spans="2:6">
      <c r="B1859" s="183"/>
      <c r="C1859" s="183"/>
      <c r="D1859" s="183"/>
      <c r="E1859" s="71" t="s">
        <v>3456</v>
      </c>
      <c r="F1859" s="70" t="s">
        <v>3457</v>
      </c>
    </row>
    <row r="1860" spans="2:6">
      <c r="B1860" s="183"/>
      <c r="C1860" s="183"/>
      <c r="D1860" s="183"/>
      <c r="E1860" s="71" t="s">
        <v>349</v>
      </c>
      <c r="F1860" s="70" t="s">
        <v>3458</v>
      </c>
    </row>
    <row r="1861" spans="2:6">
      <c r="B1861" s="183"/>
      <c r="C1861" s="183"/>
      <c r="D1861" s="183"/>
      <c r="E1861" s="71" t="s">
        <v>349</v>
      </c>
      <c r="F1861" s="70" t="s">
        <v>3459</v>
      </c>
    </row>
    <row r="1862" spans="2:6">
      <c r="B1862" s="183"/>
      <c r="C1862" s="183"/>
      <c r="D1862" s="183"/>
      <c r="E1862" s="71" t="s">
        <v>3460</v>
      </c>
      <c r="F1862" s="70" t="s">
        <v>3461</v>
      </c>
    </row>
    <row r="1863" spans="2:6">
      <c r="B1863" s="183"/>
      <c r="C1863" s="183"/>
      <c r="D1863" s="183"/>
      <c r="E1863" s="71" t="s">
        <v>3462</v>
      </c>
      <c r="F1863" s="70" t="s">
        <v>3463</v>
      </c>
    </row>
    <row r="1864" spans="2:6">
      <c r="B1864" s="183"/>
      <c r="C1864" s="183"/>
      <c r="D1864" s="183"/>
      <c r="E1864" s="71" t="s">
        <v>3464</v>
      </c>
      <c r="F1864" s="70" t="s">
        <v>3465</v>
      </c>
    </row>
    <row r="1865" spans="2:6">
      <c r="B1865" s="183"/>
      <c r="C1865" s="183"/>
      <c r="D1865" s="183"/>
      <c r="E1865" s="71" t="s">
        <v>3466</v>
      </c>
      <c r="F1865" s="70" t="s">
        <v>3467</v>
      </c>
    </row>
    <row r="1866" spans="2:6">
      <c r="B1866" s="113">
        <v>375</v>
      </c>
      <c r="C1866" s="95">
        <v>44957</v>
      </c>
      <c r="D1866" s="113" t="s">
        <v>415</v>
      </c>
      <c r="E1866" s="184"/>
      <c r="F1866" s="185"/>
    </row>
    <row r="1867" spans="2:6">
      <c r="B1867" s="183"/>
      <c r="C1867" s="183"/>
      <c r="D1867" s="183"/>
      <c r="E1867" s="85" t="s">
        <v>3475</v>
      </c>
      <c r="F1867" s="86" t="s">
        <v>3476</v>
      </c>
    </row>
    <row r="1868" spans="2:6">
      <c r="B1868" s="183"/>
      <c r="C1868" s="183"/>
      <c r="D1868" s="183"/>
      <c r="E1868" s="71" t="s">
        <v>3477</v>
      </c>
      <c r="F1868" s="70" t="s">
        <v>3478</v>
      </c>
    </row>
    <row r="1869" spans="2:6">
      <c r="B1869" s="183"/>
      <c r="C1869" s="183"/>
      <c r="D1869" s="183"/>
      <c r="E1869" s="71" t="s">
        <v>3479</v>
      </c>
      <c r="F1869" s="70" t="s">
        <v>3480</v>
      </c>
    </row>
    <row r="1870" spans="2:6">
      <c r="B1870" s="183"/>
      <c r="C1870" s="183"/>
      <c r="D1870" s="183"/>
      <c r="E1870" s="71" t="s">
        <v>3481</v>
      </c>
      <c r="F1870" s="70" t="s">
        <v>3482</v>
      </c>
    </row>
    <row r="1871" spans="2:6">
      <c r="B1871" s="183"/>
      <c r="C1871" s="183"/>
      <c r="D1871" s="183"/>
      <c r="E1871" s="71" t="s">
        <v>3483</v>
      </c>
      <c r="F1871" s="70" t="s">
        <v>3484</v>
      </c>
    </row>
    <row r="1872" spans="2:6">
      <c r="B1872" s="183"/>
      <c r="C1872" s="183"/>
      <c r="D1872" s="183"/>
      <c r="E1872" s="71" t="s">
        <v>3485</v>
      </c>
      <c r="F1872" s="70" t="s">
        <v>3486</v>
      </c>
    </row>
    <row r="1873" spans="2:6">
      <c r="B1873" s="183"/>
      <c r="C1873" s="183"/>
      <c r="D1873" s="183"/>
      <c r="E1873" s="71" t="s">
        <v>3487</v>
      </c>
      <c r="F1873" s="70" t="s">
        <v>3488</v>
      </c>
    </row>
    <row r="1874" spans="2:6">
      <c r="B1874" s="183"/>
      <c r="C1874" s="183"/>
      <c r="D1874" s="183"/>
      <c r="E1874" s="71" t="s">
        <v>3489</v>
      </c>
      <c r="F1874" s="70" t="s">
        <v>3490</v>
      </c>
    </row>
    <row r="1875" spans="2:6">
      <c r="B1875" s="183"/>
      <c r="C1875" s="183"/>
      <c r="D1875" s="183"/>
      <c r="E1875" s="71" t="s">
        <v>3491</v>
      </c>
      <c r="F1875" s="70" t="s">
        <v>3492</v>
      </c>
    </row>
    <row r="1876" spans="2:6">
      <c r="B1876" s="183"/>
      <c r="C1876" s="183"/>
      <c r="D1876" s="183"/>
      <c r="E1876" s="71" t="s">
        <v>3493</v>
      </c>
      <c r="F1876" s="70" t="s">
        <v>3494</v>
      </c>
    </row>
    <row r="1877" spans="2:6">
      <c r="B1877" s="183"/>
      <c r="C1877" s="183"/>
      <c r="D1877" s="183"/>
      <c r="E1877" s="71" t="s">
        <v>3495</v>
      </c>
      <c r="F1877" s="70" t="s">
        <v>3496</v>
      </c>
    </row>
    <row r="1878" spans="2:6">
      <c r="B1878" s="183"/>
      <c r="C1878" s="183"/>
      <c r="D1878" s="183"/>
      <c r="E1878" s="71" t="s">
        <v>3497</v>
      </c>
      <c r="F1878" s="70" t="s">
        <v>3498</v>
      </c>
    </row>
    <row r="1879" spans="2:6">
      <c r="B1879" s="183"/>
      <c r="C1879" s="183"/>
      <c r="D1879" s="183"/>
      <c r="E1879" s="71" t="s">
        <v>3499</v>
      </c>
      <c r="F1879" s="70" t="s">
        <v>3500</v>
      </c>
    </row>
    <row r="1880" spans="2:6">
      <c r="B1880" s="183"/>
      <c r="C1880" s="183"/>
      <c r="D1880" s="183"/>
      <c r="E1880" s="71" t="s">
        <v>3501</v>
      </c>
      <c r="F1880" s="70" t="s">
        <v>3502</v>
      </c>
    </row>
    <row r="1881" spans="2:6">
      <c r="B1881" s="183"/>
      <c r="C1881" s="183"/>
      <c r="D1881" s="183"/>
      <c r="E1881" s="71" t="s">
        <v>3503</v>
      </c>
      <c r="F1881" s="70" t="s">
        <v>3504</v>
      </c>
    </row>
    <row r="1882" spans="2:6">
      <c r="B1882" s="183"/>
      <c r="C1882" s="183"/>
      <c r="D1882" s="183"/>
      <c r="E1882" s="71" t="s">
        <v>3505</v>
      </c>
      <c r="F1882" s="70" t="s">
        <v>3506</v>
      </c>
    </row>
    <row r="1883" spans="2:6">
      <c r="B1883" s="113">
        <v>376</v>
      </c>
      <c r="C1883" s="95">
        <v>44957</v>
      </c>
      <c r="D1883" s="113" t="s">
        <v>814</v>
      </c>
      <c r="E1883" s="184"/>
      <c r="F1883" s="185"/>
    </row>
    <row r="1884" spans="2:6">
      <c r="B1884" s="114"/>
      <c r="C1884" s="114"/>
      <c r="D1884" s="114"/>
      <c r="E1884" s="71" t="s">
        <v>3507</v>
      </c>
      <c r="F1884" s="70" t="s">
        <v>3508</v>
      </c>
    </row>
    <row r="1885" spans="2:6">
      <c r="B1885" s="112">
        <v>377</v>
      </c>
      <c r="C1885" s="95">
        <v>44963</v>
      </c>
      <c r="D1885" s="112" t="s">
        <v>217</v>
      </c>
      <c r="E1885" s="187"/>
      <c r="F1885" s="188"/>
    </row>
    <row r="1886" spans="2:6">
      <c r="B1886" s="134"/>
      <c r="C1886" s="134"/>
      <c r="D1886" s="134"/>
      <c r="E1886" s="85" t="s">
        <v>3512</v>
      </c>
      <c r="F1886" s="86" t="s">
        <v>909</v>
      </c>
    </row>
    <row r="1887" spans="2:6">
      <c r="B1887" s="113">
        <v>378</v>
      </c>
      <c r="C1887" s="95">
        <v>44972</v>
      </c>
      <c r="D1887" s="113" t="s">
        <v>685</v>
      </c>
      <c r="E1887" s="184"/>
      <c r="F1887" s="185"/>
    </row>
    <row r="1888" spans="2:6">
      <c r="B1888" s="183"/>
      <c r="C1888" s="183"/>
      <c r="D1888" s="183"/>
      <c r="E1888" s="71" t="s">
        <v>349</v>
      </c>
      <c r="F1888" s="70" t="s">
        <v>3514</v>
      </c>
    </row>
    <row r="1889" spans="2:6">
      <c r="B1889" s="183"/>
      <c r="C1889" s="183"/>
      <c r="D1889" s="183"/>
      <c r="E1889" s="71" t="s">
        <v>349</v>
      </c>
      <c r="F1889" s="70" t="s">
        <v>3515</v>
      </c>
    </row>
    <row r="1890" spans="2:6">
      <c r="B1890" s="183"/>
      <c r="C1890" s="183"/>
      <c r="D1890" s="183"/>
      <c r="E1890" s="71" t="s">
        <v>349</v>
      </c>
      <c r="F1890" s="70" t="s">
        <v>3516</v>
      </c>
    </row>
    <row r="1891" spans="2:6">
      <c r="B1891" s="183"/>
      <c r="C1891" s="183"/>
      <c r="D1891" s="183"/>
      <c r="E1891" s="71" t="s">
        <v>349</v>
      </c>
      <c r="F1891" s="70" t="s">
        <v>3517</v>
      </c>
    </row>
    <row r="1892" spans="2:6">
      <c r="B1892" s="183"/>
      <c r="C1892" s="183"/>
      <c r="D1892" s="183"/>
      <c r="E1892" s="71" t="s">
        <v>349</v>
      </c>
      <c r="F1892" s="70" t="s">
        <v>3518</v>
      </c>
    </row>
    <row r="1893" spans="2:6">
      <c r="B1893" s="183"/>
      <c r="C1893" s="183"/>
      <c r="D1893" s="183"/>
      <c r="E1893" s="71" t="s">
        <v>349</v>
      </c>
      <c r="F1893" s="70" t="s">
        <v>3519</v>
      </c>
    </row>
    <row r="1894" spans="2:6">
      <c r="B1894" s="183"/>
      <c r="C1894" s="183"/>
      <c r="D1894" s="183"/>
      <c r="E1894" s="71" t="s">
        <v>349</v>
      </c>
      <c r="F1894" s="70" t="s">
        <v>3520</v>
      </c>
    </row>
    <row r="1895" spans="2:6">
      <c r="B1895" s="183"/>
      <c r="C1895" s="183"/>
      <c r="D1895" s="183"/>
      <c r="E1895" s="71" t="s">
        <v>349</v>
      </c>
      <c r="F1895" s="70" t="s">
        <v>3521</v>
      </c>
    </row>
    <row r="1896" spans="2:6">
      <c r="B1896" s="183"/>
      <c r="C1896" s="183"/>
      <c r="D1896" s="183"/>
      <c r="E1896" s="71" t="s">
        <v>349</v>
      </c>
      <c r="F1896" s="70" t="s">
        <v>3522</v>
      </c>
    </row>
    <row r="1897" spans="2:6">
      <c r="B1897" s="183"/>
      <c r="C1897" s="183"/>
      <c r="D1897" s="183"/>
      <c r="E1897" s="71" t="s">
        <v>349</v>
      </c>
      <c r="F1897" s="70" t="s">
        <v>3523</v>
      </c>
    </row>
    <row r="1898" spans="2:6">
      <c r="B1898" s="183"/>
      <c r="C1898" s="183"/>
      <c r="D1898" s="183"/>
      <c r="E1898" s="71" t="s">
        <v>474</v>
      </c>
      <c r="F1898" s="70" t="s">
        <v>3524</v>
      </c>
    </row>
    <row r="1899" spans="2:6">
      <c r="B1899" s="183"/>
      <c r="C1899" s="183"/>
      <c r="D1899" s="183"/>
      <c r="E1899" s="71" t="s">
        <v>1218</v>
      </c>
      <c r="F1899" s="70" t="s">
        <v>3525</v>
      </c>
    </row>
    <row r="1900" spans="2:6">
      <c r="B1900" s="113">
        <v>379</v>
      </c>
      <c r="C1900" s="95">
        <v>44972</v>
      </c>
      <c r="D1900" s="113" t="s">
        <v>814</v>
      </c>
      <c r="E1900" s="184"/>
      <c r="F1900" s="185"/>
    </row>
    <row r="1901" spans="2:6">
      <c r="B1901" s="182"/>
      <c r="C1901" s="182"/>
      <c r="D1901" s="182"/>
      <c r="E1901" s="71" t="s">
        <v>349</v>
      </c>
      <c r="F1901" s="70" t="s">
        <v>3531</v>
      </c>
    </row>
    <row r="1902" spans="2:6">
      <c r="B1902" s="183"/>
      <c r="C1902" s="183"/>
      <c r="D1902" s="183"/>
      <c r="E1902" s="71" t="s">
        <v>349</v>
      </c>
      <c r="F1902" s="70" t="s">
        <v>3534</v>
      </c>
    </row>
    <row r="1903" spans="2:6">
      <c r="B1903" s="183"/>
      <c r="C1903" s="183"/>
      <c r="D1903" s="183"/>
      <c r="E1903" s="71" t="s">
        <v>349</v>
      </c>
      <c r="F1903" s="70" t="s">
        <v>3533</v>
      </c>
    </row>
    <row r="1904" spans="2:6">
      <c r="B1904" s="183"/>
      <c r="C1904" s="183"/>
      <c r="D1904" s="183"/>
      <c r="E1904" s="71" t="s">
        <v>349</v>
      </c>
      <c r="F1904" s="70" t="s">
        <v>3536</v>
      </c>
    </row>
    <row r="1905" spans="2:6">
      <c r="B1905" s="183"/>
      <c r="C1905" s="183"/>
      <c r="D1905" s="183"/>
      <c r="E1905" s="71" t="s">
        <v>349</v>
      </c>
      <c r="F1905" s="70" t="s">
        <v>3535</v>
      </c>
    </row>
    <row r="1906" spans="2:6">
      <c r="B1906" s="183"/>
      <c r="C1906" s="183"/>
      <c r="D1906" s="183"/>
      <c r="E1906" s="71" t="s">
        <v>349</v>
      </c>
      <c r="F1906" s="70" t="s">
        <v>3539</v>
      </c>
    </row>
    <row r="1907" spans="2:6">
      <c r="B1907" s="183"/>
      <c r="C1907" s="183"/>
      <c r="D1907" s="183"/>
      <c r="E1907" s="71" t="s">
        <v>349</v>
      </c>
      <c r="F1907" s="70" t="s">
        <v>3538</v>
      </c>
    </row>
    <row r="1908" spans="2:6">
      <c r="B1908" s="183"/>
      <c r="C1908" s="183"/>
      <c r="D1908" s="183"/>
      <c r="E1908" s="71" t="s">
        <v>1298</v>
      </c>
      <c r="F1908" s="70" t="s">
        <v>3540</v>
      </c>
    </row>
    <row r="1909" spans="2:6">
      <c r="B1909" s="186"/>
      <c r="C1909" s="186"/>
      <c r="D1909" s="186"/>
      <c r="E1909" s="71" t="s">
        <v>1437</v>
      </c>
      <c r="F1909" s="70" t="s">
        <v>3541</v>
      </c>
    </row>
    <row r="1910" spans="2:6">
      <c r="B1910" s="112">
        <v>380</v>
      </c>
      <c r="C1910" s="95">
        <v>44972</v>
      </c>
      <c r="D1910" s="112" t="s">
        <v>415</v>
      </c>
      <c r="E1910" s="187"/>
      <c r="F1910" s="188"/>
    </row>
    <row r="1911" spans="2:6">
      <c r="B1911" s="134"/>
      <c r="C1911" s="134"/>
      <c r="D1911" s="134"/>
      <c r="E1911" s="85" t="s">
        <v>3545</v>
      </c>
      <c r="F1911" s="86" t="s">
        <v>3546</v>
      </c>
    </row>
    <row r="1912" spans="2:6">
      <c r="B1912" s="113">
        <v>381</v>
      </c>
      <c r="C1912" s="95">
        <v>44972</v>
      </c>
      <c r="D1912" s="113" t="s">
        <v>466</v>
      </c>
      <c r="E1912" s="184"/>
      <c r="F1912" s="185"/>
    </row>
    <row r="1913" spans="2:6">
      <c r="B1913" s="183"/>
      <c r="C1913" s="183"/>
      <c r="D1913" s="183"/>
      <c r="E1913" s="71" t="s">
        <v>3547</v>
      </c>
      <c r="F1913" s="70" t="s">
        <v>3548</v>
      </c>
    </row>
    <row r="1914" spans="2:6">
      <c r="B1914" s="183"/>
      <c r="C1914" s="183"/>
      <c r="D1914" s="183"/>
      <c r="E1914" s="71" t="s">
        <v>3549</v>
      </c>
      <c r="F1914" s="70" t="s">
        <v>3550</v>
      </c>
    </row>
    <row r="1915" spans="2:6">
      <c r="B1915" s="183"/>
      <c r="C1915" s="183"/>
      <c r="D1915" s="183"/>
      <c r="E1915" s="71" t="s">
        <v>3551</v>
      </c>
      <c r="F1915" s="70" t="s">
        <v>3552</v>
      </c>
    </row>
    <row r="1916" spans="2:6">
      <c r="B1916" s="183"/>
      <c r="C1916" s="183"/>
      <c r="D1916" s="183"/>
      <c r="E1916" s="71" t="s">
        <v>3553</v>
      </c>
      <c r="F1916" s="70" t="s">
        <v>3554</v>
      </c>
    </row>
    <row r="1917" spans="2:6">
      <c r="B1917" s="183"/>
      <c r="C1917" s="183"/>
      <c r="D1917" s="183"/>
      <c r="E1917" s="71" t="s">
        <v>3555</v>
      </c>
      <c r="F1917" s="70" t="s">
        <v>3556</v>
      </c>
    </row>
    <row r="1918" spans="2:6">
      <c r="B1918" s="183"/>
      <c r="C1918" s="183"/>
      <c r="D1918" s="183"/>
      <c r="E1918" s="71" t="s">
        <v>3557</v>
      </c>
      <c r="F1918" s="70" t="s">
        <v>3558</v>
      </c>
    </row>
    <row r="1919" spans="2:6">
      <c r="B1919" s="183"/>
      <c r="C1919" s="183"/>
      <c r="D1919" s="183"/>
      <c r="E1919" s="71" t="s">
        <v>3559</v>
      </c>
      <c r="F1919" s="70" t="s">
        <v>3560</v>
      </c>
    </row>
    <row r="1920" spans="2:6">
      <c r="B1920" s="183"/>
      <c r="C1920" s="183"/>
      <c r="D1920" s="183"/>
      <c r="E1920" s="71" t="s">
        <v>3561</v>
      </c>
      <c r="F1920" s="70" t="s">
        <v>3562</v>
      </c>
    </row>
    <row r="1921" spans="2:6">
      <c r="B1921" s="183"/>
      <c r="C1921" s="183"/>
      <c r="D1921" s="183"/>
      <c r="E1921" s="71" t="s">
        <v>3563</v>
      </c>
      <c r="F1921" s="70" t="s">
        <v>3564</v>
      </c>
    </row>
    <row r="1922" spans="2:6">
      <c r="B1922" s="183"/>
      <c r="C1922" s="183"/>
      <c r="D1922" s="183"/>
      <c r="E1922" s="71" t="s">
        <v>3565</v>
      </c>
      <c r="F1922" s="70" t="s">
        <v>3566</v>
      </c>
    </row>
    <row r="1923" spans="2:6">
      <c r="B1923" s="183"/>
      <c r="C1923" s="183"/>
      <c r="D1923" s="183"/>
      <c r="E1923" s="71" t="s">
        <v>3567</v>
      </c>
      <c r="F1923" s="70" t="s">
        <v>3568</v>
      </c>
    </row>
    <row r="1924" spans="2:6">
      <c r="B1924" s="183"/>
      <c r="C1924" s="183"/>
      <c r="D1924" s="183"/>
      <c r="E1924" s="71" t="s">
        <v>3569</v>
      </c>
      <c r="F1924" s="70" t="s">
        <v>3570</v>
      </c>
    </row>
    <row r="1925" spans="2:6">
      <c r="B1925" s="183"/>
      <c r="C1925" s="183"/>
      <c r="D1925" s="183"/>
      <c r="E1925" s="71" t="s">
        <v>3571</v>
      </c>
      <c r="F1925" s="70" t="s">
        <v>3572</v>
      </c>
    </row>
    <row r="1926" spans="2:6">
      <c r="B1926" s="183"/>
      <c r="C1926" s="183"/>
      <c r="D1926" s="183"/>
      <c r="E1926" s="71" t="s">
        <v>3571</v>
      </c>
      <c r="F1926" s="70" t="s">
        <v>3573</v>
      </c>
    </row>
    <row r="1927" spans="2:6">
      <c r="B1927" s="183"/>
      <c r="C1927" s="183"/>
      <c r="D1927" s="183"/>
      <c r="E1927" s="71" t="s">
        <v>3574</v>
      </c>
      <c r="F1927" s="70" t="s">
        <v>3575</v>
      </c>
    </row>
    <row r="1928" spans="2:6">
      <c r="B1928" s="113">
        <v>382</v>
      </c>
      <c r="C1928" s="95">
        <v>44973</v>
      </c>
      <c r="D1928" s="113" t="s">
        <v>814</v>
      </c>
      <c r="E1928" s="184"/>
      <c r="F1928" s="185"/>
    </row>
    <row r="1929" spans="2:6">
      <c r="B1929" s="182"/>
      <c r="C1929" s="182"/>
      <c r="D1929" s="182"/>
      <c r="E1929" s="71" t="s">
        <v>349</v>
      </c>
      <c r="F1929" s="70" t="s">
        <v>3578</v>
      </c>
    </row>
    <row r="1930" spans="2:6">
      <c r="B1930" s="183"/>
      <c r="C1930" s="183"/>
      <c r="D1930" s="183"/>
      <c r="E1930" s="71" t="s">
        <v>349</v>
      </c>
      <c r="F1930" s="70" t="s">
        <v>3579</v>
      </c>
    </row>
    <row r="1931" spans="2:6">
      <c r="B1931" s="183"/>
      <c r="C1931" s="183"/>
      <c r="D1931" s="183"/>
      <c r="E1931" s="71" t="s">
        <v>349</v>
      </c>
      <c r="F1931" s="70" t="s">
        <v>3580</v>
      </c>
    </row>
    <row r="1932" spans="2:6">
      <c r="B1932" s="183"/>
      <c r="C1932" s="183"/>
      <c r="D1932" s="183"/>
      <c r="E1932" s="71" t="s">
        <v>349</v>
      </c>
      <c r="F1932" s="70" t="s">
        <v>3581</v>
      </c>
    </row>
    <row r="1933" spans="2:6">
      <c r="B1933" s="183"/>
      <c r="C1933" s="183"/>
      <c r="D1933" s="183"/>
      <c r="E1933" s="71" t="s">
        <v>349</v>
      </c>
      <c r="F1933" s="70" t="s">
        <v>3582</v>
      </c>
    </row>
    <row r="1934" spans="2:6">
      <c r="B1934" s="113">
        <v>383</v>
      </c>
      <c r="C1934" s="95">
        <v>44973</v>
      </c>
      <c r="D1934" s="113" t="s">
        <v>466</v>
      </c>
      <c r="E1934" s="184"/>
      <c r="F1934" s="185"/>
    </row>
    <row r="1935" spans="2:6">
      <c r="B1935" s="183"/>
      <c r="C1935" s="183"/>
      <c r="D1935" s="183"/>
      <c r="E1935" s="71" t="s">
        <v>3583</v>
      </c>
      <c r="F1935" s="70" t="s">
        <v>3584</v>
      </c>
    </row>
    <row r="1936" spans="2:6">
      <c r="B1936" s="183"/>
      <c r="C1936" s="183"/>
      <c r="D1936" s="183"/>
      <c r="E1936" s="71" t="s">
        <v>3585</v>
      </c>
      <c r="F1936" s="70" t="s">
        <v>3586</v>
      </c>
    </row>
    <row r="1937" spans="2:6">
      <c r="B1937" s="113">
        <v>384</v>
      </c>
      <c r="C1937" s="95">
        <v>44995</v>
      </c>
      <c r="D1937" s="113" t="s">
        <v>466</v>
      </c>
      <c r="E1937" s="184"/>
      <c r="F1937" s="185"/>
    </row>
    <row r="1938" spans="2:6">
      <c r="B1938" s="182"/>
      <c r="C1938" s="182"/>
      <c r="D1938" s="182"/>
      <c r="E1938" s="71" t="s">
        <v>349</v>
      </c>
      <c r="F1938" s="70" t="s">
        <v>3575</v>
      </c>
    </row>
    <row r="1939" spans="2:6">
      <c r="B1939" s="183"/>
      <c r="C1939" s="183"/>
      <c r="D1939" s="183"/>
      <c r="E1939" s="71" t="s">
        <v>349</v>
      </c>
      <c r="F1939" s="70" t="s">
        <v>3594</v>
      </c>
    </row>
    <row r="1940" spans="2:6">
      <c r="B1940" s="183"/>
      <c r="C1940" s="183"/>
      <c r="D1940" s="183"/>
      <c r="E1940" s="71" t="s">
        <v>349</v>
      </c>
      <c r="F1940" s="70" t="s">
        <v>3595</v>
      </c>
    </row>
    <row r="1941" spans="2:6">
      <c r="B1941" s="183"/>
      <c r="C1941" s="183"/>
      <c r="D1941" s="183"/>
      <c r="E1941" s="71" t="s">
        <v>349</v>
      </c>
      <c r="F1941" s="70" t="s">
        <v>3596</v>
      </c>
    </row>
    <row r="1942" spans="2:6">
      <c r="B1942" s="183"/>
      <c r="C1942" s="183"/>
      <c r="D1942" s="183"/>
      <c r="E1942" s="71"/>
      <c r="F1942" s="70" t="s">
        <v>3597</v>
      </c>
    </row>
    <row r="1943" spans="2:6">
      <c r="B1943" s="183"/>
      <c r="C1943" s="183"/>
      <c r="D1943" s="183"/>
      <c r="E1943" s="71" t="s">
        <v>349</v>
      </c>
      <c r="F1943" s="70" t="s">
        <v>3598</v>
      </c>
    </row>
    <row r="1944" spans="2:6">
      <c r="B1944" s="113">
        <v>385</v>
      </c>
      <c r="C1944" s="95">
        <v>44995</v>
      </c>
      <c r="D1944" s="113" t="s">
        <v>268</v>
      </c>
      <c r="E1944" s="184"/>
      <c r="F1944" s="185"/>
    </row>
    <row r="1945" spans="2:6">
      <c r="B1945" s="182"/>
      <c r="C1945" s="182"/>
      <c r="D1945" s="182"/>
      <c r="E1945" s="71" t="s">
        <v>1174</v>
      </c>
      <c r="F1945" s="70" t="s">
        <v>3603</v>
      </c>
    </row>
    <row r="1946" spans="2:6">
      <c r="B1946" s="183"/>
      <c r="C1946" s="183"/>
      <c r="D1946" s="183"/>
      <c r="E1946" s="71" t="s">
        <v>2355</v>
      </c>
      <c r="F1946" s="70" t="s">
        <v>3604</v>
      </c>
    </row>
    <row r="1947" spans="2:6">
      <c r="B1947" s="183"/>
      <c r="C1947" s="183"/>
      <c r="D1947" s="183"/>
      <c r="E1947" s="71" t="s">
        <v>2356</v>
      </c>
      <c r="F1947" s="70" t="s">
        <v>3605</v>
      </c>
    </row>
    <row r="1948" spans="2:6">
      <c r="B1948" s="113">
        <v>386</v>
      </c>
      <c r="C1948" s="95">
        <v>44999</v>
      </c>
      <c r="D1948" s="113" t="s">
        <v>685</v>
      </c>
      <c r="E1948" s="184"/>
      <c r="F1948" s="185"/>
    </row>
    <row r="1949" spans="2:6">
      <c r="B1949" s="183"/>
      <c r="C1949" s="183"/>
      <c r="D1949" s="183"/>
      <c r="E1949" s="71" t="s">
        <v>349</v>
      </c>
      <c r="F1949" s="70" t="s">
        <v>3606</v>
      </c>
    </row>
    <row r="1950" spans="2:6">
      <c r="B1950" s="183"/>
      <c r="C1950" s="183"/>
      <c r="D1950" s="183"/>
      <c r="E1950" s="71" t="s">
        <v>349</v>
      </c>
      <c r="F1950" s="70" t="s">
        <v>3607</v>
      </c>
    </row>
    <row r="1951" spans="2:6">
      <c r="B1951" s="113">
        <v>387</v>
      </c>
      <c r="C1951" s="95">
        <v>44999</v>
      </c>
      <c r="D1951" s="113" t="s">
        <v>466</v>
      </c>
      <c r="E1951" s="184"/>
      <c r="F1951" s="185"/>
    </row>
    <row r="1952" spans="2:6">
      <c r="B1952" s="183"/>
      <c r="C1952" s="183"/>
      <c r="D1952" s="183"/>
      <c r="E1952" s="71" t="s">
        <v>3609</v>
      </c>
      <c r="F1952" s="70" t="s">
        <v>3610</v>
      </c>
    </row>
    <row r="1953" spans="2:6">
      <c r="B1953" s="183"/>
      <c r="C1953" s="183"/>
      <c r="D1953" s="183"/>
      <c r="E1953" s="71" t="s">
        <v>3611</v>
      </c>
      <c r="F1953" s="70" t="s">
        <v>3612</v>
      </c>
    </row>
    <row r="1954" spans="2:6">
      <c r="B1954" s="183"/>
      <c r="C1954" s="183"/>
      <c r="D1954" s="183"/>
      <c r="E1954" s="71" t="s">
        <v>3611</v>
      </c>
      <c r="F1954" s="70" t="s">
        <v>3613</v>
      </c>
    </row>
    <row r="1955" spans="2:6">
      <c r="B1955" s="112">
        <v>388</v>
      </c>
      <c r="C1955" s="95">
        <v>44999</v>
      </c>
      <c r="D1955" s="112" t="s">
        <v>415</v>
      </c>
      <c r="E1955" s="187"/>
      <c r="F1955" s="188"/>
    </row>
    <row r="1956" spans="2:6">
      <c r="B1956" s="134"/>
      <c r="C1956" s="134"/>
      <c r="D1956" s="134"/>
      <c r="E1956" s="85">
        <v>2014502</v>
      </c>
      <c r="F1956" s="86" t="s">
        <v>3615</v>
      </c>
    </row>
    <row r="1957" spans="2:6">
      <c r="B1957" s="113">
        <v>389</v>
      </c>
      <c r="C1957" s="95">
        <v>44999</v>
      </c>
      <c r="D1957" s="113" t="s">
        <v>814</v>
      </c>
      <c r="E1957" s="184"/>
      <c r="F1957" s="185"/>
    </row>
    <row r="1958" spans="2:6">
      <c r="B1958" s="182"/>
      <c r="C1958" s="182"/>
      <c r="D1958" s="182"/>
      <c r="E1958" s="71" t="s">
        <v>349</v>
      </c>
      <c r="F1958" s="70" t="s">
        <v>3616</v>
      </c>
    </row>
    <row r="1959" spans="2:6">
      <c r="B1959" s="183"/>
      <c r="C1959" s="183"/>
      <c r="D1959" s="183"/>
      <c r="E1959" s="71" t="s">
        <v>349</v>
      </c>
      <c r="F1959" s="70" t="s">
        <v>3617</v>
      </c>
    </row>
    <row r="1960" spans="2:6">
      <c r="B1960" s="183"/>
      <c r="C1960" s="183"/>
      <c r="D1960" s="183"/>
      <c r="E1960" s="71" t="s">
        <v>349</v>
      </c>
      <c r="F1960" s="70" t="s">
        <v>3618</v>
      </c>
    </row>
    <row r="1961" spans="2:6">
      <c r="B1961" s="113">
        <v>390</v>
      </c>
      <c r="C1961" s="95">
        <v>45001</v>
      </c>
      <c r="D1961" s="113" t="s">
        <v>814</v>
      </c>
      <c r="E1961" s="184"/>
      <c r="F1961" s="185"/>
    </row>
    <row r="1962" spans="2:6">
      <c r="B1962" s="114"/>
      <c r="C1962" s="114"/>
      <c r="D1962" s="114"/>
      <c r="E1962" s="71" t="s">
        <v>3620</v>
      </c>
      <c r="F1962" s="70" t="s">
        <v>3621</v>
      </c>
    </row>
    <row r="1963" spans="2:6">
      <c r="B1963" s="113">
        <v>391</v>
      </c>
      <c r="C1963" s="95">
        <v>45009</v>
      </c>
      <c r="D1963" s="113" t="s">
        <v>1384</v>
      </c>
      <c r="E1963" s="184"/>
      <c r="F1963" s="185"/>
    </row>
    <row r="1964" spans="2:6">
      <c r="B1964" s="146"/>
      <c r="C1964" s="146"/>
      <c r="D1964" s="146"/>
      <c r="E1964" s="71" t="s">
        <v>3623</v>
      </c>
      <c r="F1964" s="70" t="s">
        <v>3624</v>
      </c>
    </row>
    <row r="1965" spans="2:6">
      <c r="B1965" s="113">
        <v>392</v>
      </c>
      <c r="C1965" s="95">
        <v>45009</v>
      </c>
      <c r="D1965" s="113" t="s">
        <v>466</v>
      </c>
      <c r="E1965" s="184"/>
      <c r="F1965" s="185"/>
    </row>
    <row r="1966" spans="2:6">
      <c r="B1966" s="183"/>
      <c r="C1966" s="183"/>
      <c r="D1966" s="183"/>
      <c r="E1966" s="71" t="s">
        <v>406</v>
      </c>
      <c r="F1966" s="70" t="s">
        <v>3627</v>
      </c>
    </row>
    <row r="1967" spans="2:6">
      <c r="B1967" s="183"/>
      <c r="C1967" s="183"/>
      <c r="D1967" s="183"/>
      <c r="E1967" s="71" t="s">
        <v>3628</v>
      </c>
      <c r="F1967" s="70" t="s">
        <v>3629</v>
      </c>
    </row>
    <row r="1968" spans="2:6">
      <c r="B1968" s="183"/>
      <c r="C1968" s="183"/>
      <c r="D1968" s="183"/>
      <c r="E1968" s="71" t="s">
        <v>3630</v>
      </c>
      <c r="F1968" s="70" t="s">
        <v>3631</v>
      </c>
    </row>
    <row r="1969" spans="2:6">
      <c r="B1969" s="113">
        <v>393</v>
      </c>
      <c r="C1969" s="95">
        <v>45009</v>
      </c>
      <c r="D1969" s="113" t="s">
        <v>179</v>
      </c>
      <c r="E1969" s="184"/>
      <c r="F1969" s="185"/>
    </row>
    <row r="1970" spans="2:6">
      <c r="B1970" s="146"/>
      <c r="C1970" s="146"/>
      <c r="D1970" s="146"/>
      <c r="E1970" s="71" t="s">
        <v>3633</v>
      </c>
      <c r="F1970" s="70" t="s">
        <v>3634</v>
      </c>
    </row>
    <row r="1971" spans="2:6">
      <c r="B1971" s="113">
        <v>394</v>
      </c>
      <c r="C1971" s="95">
        <v>45016</v>
      </c>
      <c r="D1971" s="113" t="s">
        <v>685</v>
      </c>
      <c r="E1971" s="184"/>
      <c r="F1971" s="185"/>
    </row>
    <row r="1972" spans="2:6">
      <c r="B1972" s="183"/>
      <c r="C1972" s="183"/>
      <c r="D1972" s="183"/>
      <c r="E1972" s="71" t="s">
        <v>3637</v>
      </c>
      <c r="F1972" s="70" t="s">
        <v>3638</v>
      </c>
    </row>
    <row r="1973" spans="2:6">
      <c r="B1973" s="183"/>
      <c r="C1973" s="183"/>
      <c r="D1973" s="183"/>
      <c r="E1973" s="71" t="s">
        <v>3639</v>
      </c>
      <c r="F1973" s="70" t="s">
        <v>3640</v>
      </c>
    </row>
    <row r="1974" spans="2:6">
      <c r="B1974" s="183"/>
      <c r="C1974" s="183"/>
      <c r="D1974" s="183"/>
      <c r="E1974" s="71" t="s">
        <v>3641</v>
      </c>
      <c r="F1974" s="70" t="s">
        <v>3642</v>
      </c>
    </row>
    <row r="1975" spans="2:6">
      <c r="B1975" s="183"/>
      <c r="C1975" s="183"/>
      <c r="D1975" s="183"/>
      <c r="E1975" s="71" t="s">
        <v>3643</v>
      </c>
      <c r="F1975" s="70" t="s">
        <v>3644</v>
      </c>
    </row>
    <row r="1976" spans="2:6">
      <c r="B1976" s="183"/>
      <c r="C1976" s="183"/>
      <c r="D1976" s="183"/>
      <c r="E1976" s="71" t="s">
        <v>3645</v>
      </c>
      <c r="F1976" s="70" t="s">
        <v>3646</v>
      </c>
    </row>
    <row r="1977" spans="2:6">
      <c r="B1977" s="183"/>
      <c r="C1977" s="183"/>
      <c r="D1977" s="183"/>
      <c r="E1977" s="71" t="s">
        <v>50</v>
      </c>
      <c r="F1977" s="70" t="s">
        <v>3647</v>
      </c>
    </row>
    <row r="1978" spans="2:6">
      <c r="B1978" s="183"/>
      <c r="C1978" s="183"/>
      <c r="D1978" s="183"/>
      <c r="E1978" s="71" t="s">
        <v>50</v>
      </c>
      <c r="F1978" s="70" t="s">
        <v>3648</v>
      </c>
    </row>
    <row r="1979" spans="2:6">
      <c r="B1979" s="183"/>
      <c r="C1979" s="183"/>
      <c r="D1979" s="183"/>
      <c r="E1979" s="71" t="s">
        <v>50</v>
      </c>
      <c r="F1979" s="70" t="s">
        <v>3649</v>
      </c>
    </row>
    <row r="1980" spans="2:6">
      <c r="B1980" s="183"/>
      <c r="C1980" s="183"/>
      <c r="D1980" s="183"/>
      <c r="E1980" s="71" t="s">
        <v>50</v>
      </c>
      <c r="F1980" s="70" t="s">
        <v>3650</v>
      </c>
    </row>
    <row r="1981" spans="2:6">
      <c r="B1981" s="183"/>
      <c r="C1981" s="183"/>
      <c r="D1981" s="183"/>
      <c r="E1981" s="71" t="s">
        <v>50</v>
      </c>
      <c r="F1981" s="70" t="s">
        <v>3651</v>
      </c>
    </row>
    <row r="1982" spans="2:6">
      <c r="B1982" s="183"/>
      <c r="C1982" s="183"/>
      <c r="D1982" s="183"/>
      <c r="E1982" s="71" t="s">
        <v>50</v>
      </c>
      <c r="F1982" s="70" t="s">
        <v>3652</v>
      </c>
    </row>
    <row r="1983" spans="2:6">
      <c r="B1983" s="183"/>
      <c r="C1983" s="183"/>
      <c r="D1983" s="183"/>
      <c r="E1983" s="71" t="s">
        <v>50</v>
      </c>
      <c r="F1983" s="70" t="s">
        <v>3653</v>
      </c>
    </row>
    <row r="1984" spans="2:6">
      <c r="B1984" s="183"/>
      <c r="C1984" s="183"/>
      <c r="D1984" s="183"/>
      <c r="E1984" s="71" t="s">
        <v>50</v>
      </c>
      <c r="F1984" s="70" t="s">
        <v>3654</v>
      </c>
    </row>
    <row r="1985" spans="2:6">
      <c r="B1985" s="183"/>
      <c r="C1985" s="183"/>
      <c r="D1985" s="183"/>
      <c r="E1985" s="71" t="s">
        <v>50</v>
      </c>
      <c r="F1985" s="70" t="s">
        <v>3655</v>
      </c>
    </row>
    <row r="1986" spans="2:6">
      <c r="B1986" s="113">
        <v>395</v>
      </c>
      <c r="C1986" s="95">
        <v>45016</v>
      </c>
      <c r="D1986" s="113" t="s">
        <v>415</v>
      </c>
      <c r="E1986" s="184"/>
      <c r="F1986" s="185"/>
    </row>
    <row r="1987" spans="2:6">
      <c r="B1987" s="183"/>
      <c r="C1987" s="183"/>
      <c r="D1987" s="183"/>
      <c r="E1987" s="71" t="s">
        <v>3662</v>
      </c>
      <c r="F1987" s="70" t="s">
        <v>3663</v>
      </c>
    </row>
    <row r="1988" spans="2:6">
      <c r="B1988" s="183"/>
      <c r="C1988" s="183"/>
      <c r="D1988" s="183"/>
      <c r="E1988" s="71" t="s">
        <v>3664</v>
      </c>
      <c r="F1988" s="70" t="s">
        <v>3665</v>
      </c>
    </row>
    <row r="1989" spans="2:6">
      <c r="B1989" s="113">
        <v>396</v>
      </c>
      <c r="C1989" s="95">
        <v>45022</v>
      </c>
      <c r="D1989" s="113" t="s">
        <v>415</v>
      </c>
      <c r="E1989" s="184"/>
      <c r="F1989" s="185"/>
    </row>
    <row r="1990" spans="2:6">
      <c r="B1990" s="183"/>
      <c r="C1990" s="183"/>
      <c r="D1990" s="183"/>
      <c r="E1990" s="71" t="s">
        <v>50</v>
      </c>
      <c r="F1990" s="70" t="s">
        <v>3367</v>
      </c>
    </row>
    <row r="1991" spans="2:6">
      <c r="B1991" s="183"/>
      <c r="C1991" s="183"/>
      <c r="D1991" s="183"/>
      <c r="E1991" s="71" t="s">
        <v>3666</v>
      </c>
      <c r="F1991" s="70" t="s">
        <v>3667</v>
      </c>
    </row>
    <row r="1992" spans="2:6">
      <c r="B1992" s="183"/>
      <c r="C1992" s="183"/>
      <c r="D1992" s="183"/>
      <c r="E1992" s="71" t="s">
        <v>3668</v>
      </c>
      <c r="F1992" s="70" t="s">
        <v>3669</v>
      </c>
    </row>
    <row r="1993" spans="2:6">
      <c r="B1993" s="183"/>
      <c r="C1993" s="183"/>
      <c r="D1993" s="183"/>
      <c r="E1993" s="71" t="s">
        <v>3670</v>
      </c>
      <c r="F1993" s="70" t="s">
        <v>3671</v>
      </c>
    </row>
    <row r="1994" spans="2:6">
      <c r="B1994" s="183"/>
      <c r="C1994" s="183"/>
      <c r="D1994" s="183"/>
      <c r="E1994" s="71" t="s">
        <v>3672</v>
      </c>
      <c r="F1994" s="70" t="s">
        <v>3673</v>
      </c>
    </row>
    <row r="1995" spans="2:6">
      <c r="B1995" s="183"/>
      <c r="C1995" s="183"/>
      <c r="D1995" s="183"/>
      <c r="E1995" s="120" t="s">
        <v>3674</v>
      </c>
      <c r="F1995" s="170" t="s">
        <v>3675</v>
      </c>
    </row>
    <row r="1996" spans="2:6">
      <c r="B1996" s="183"/>
      <c r="C1996" s="183"/>
      <c r="D1996" s="183"/>
      <c r="E1996" s="71" t="s">
        <v>2649</v>
      </c>
      <c r="F1996" s="70" t="s">
        <v>3676</v>
      </c>
    </row>
    <row r="1997" spans="2:6">
      <c r="B1997" s="183"/>
      <c r="C1997" s="183"/>
      <c r="D1997" s="183"/>
      <c r="E1997" s="71" t="s">
        <v>3677</v>
      </c>
      <c r="F1997" s="70" t="s">
        <v>3678</v>
      </c>
    </row>
    <row r="1998" spans="2:6">
      <c r="B1998" s="183"/>
      <c r="C1998" s="183"/>
      <c r="D1998" s="183"/>
      <c r="E1998" s="71" t="s">
        <v>3679</v>
      </c>
      <c r="F1998" s="70" t="s">
        <v>3680</v>
      </c>
    </row>
    <row r="1999" spans="2:6">
      <c r="B1999" s="183"/>
      <c r="C1999" s="183"/>
      <c r="D1999" s="183"/>
      <c r="E1999" s="71" t="s">
        <v>3106</v>
      </c>
      <c r="F1999" s="70" t="s">
        <v>3681</v>
      </c>
    </row>
    <row r="2000" spans="2:6">
      <c r="B2000" s="113">
        <v>397</v>
      </c>
      <c r="C2000" s="95">
        <v>45028</v>
      </c>
      <c r="D2000" s="113" t="s">
        <v>466</v>
      </c>
      <c r="E2000" s="184"/>
      <c r="F2000" s="185"/>
    </row>
    <row r="2001" spans="2:6">
      <c r="B2001" s="183"/>
      <c r="C2001" s="183"/>
      <c r="D2001" s="183"/>
      <c r="E2001" s="71" t="s">
        <v>50</v>
      </c>
      <c r="F2001" s="70" t="s">
        <v>3682</v>
      </c>
    </row>
    <row r="2002" spans="2:6">
      <c r="B2002" s="183"/>
      <c r="C2002" s="183"/>
      <c r="D2002" s="183"/>
      <c r="E2002" s="71" t="s">
        <v>50</v>
      </c>
      <c r="F2002" s="70" t="s">
        <v>3683</v>
      </c>
    </row>
    <row r="2003" spans="2:6">
      <c r="B2003" s="113">
        <v>398</v>
      </c>
      <c r="C2003" s="95">
        <v>45044</v>
      </c>
      <c r="D2003" s="113" t="s">
        <v>466</v>
      </c>
      <c r="E2003" s="184"/>
      <c r="F2003" s="185"/>
    </row>
    <row r="2004" spans="2:6">
      <c r="B2004" s="183"/>
      <c r="C2004" s="183"/>
      <c r="D2004" s="183"/>
      <c r="E2004" s="71" t="s">
        <v>3687</v>
      </c>
      <c r="F2004" s="70" t="s">
        <v>3688</v>
      </c>
    </row>
    <row r="2005" spans="2:6">
      <c r="B2005" s="183"/>
      <c r="C2005" s="183"/>
      <c r="D2005" s="183"/>
      <c r="E2005" s="71" t="s">
        <v>3689</v>
      </c>
      <c r="F2005" s="70" t="s">
        <v>3690</v>
      </c>
    </row>
    <row r="2006" spans="2:6">
      <c r="B2006" s="183"/>
      <c r="C2006" s="183"/>
      <c r="D2006" s="183"/>
      <c r="E2006" s="71" t="s">
        <v>3691</v>
      </c>
      <c r="F2006" s="70" t="s">
        <v>3692</v>
      </c>
    </row>
    <row r="2007" spans="2:6">
      <c r="B2007" s="183"/>
      <c r="C2007" s="183"/>
      <c r="D2007" s="183"/>
      <c r="E2007" s="71" t="s">
        <v>3691</v>
      </c>
      <c r="F2007" s="70" t="s">
        <v>3693</v>
      </c>
    </row>
    <row r="2008" spans="2:6">
      <c r="B2008" s="113">
        <v>399</v>
      </c>
      <c r="C2008" s="95">
        <v>45044</v>
      </c>
      <c r="D2008" s="113" t="s">
        <v>415</v>
      </c>
      <c r="E2008" s="184"/>
      <c r="F2008" s="185"/>
    </row>
    <row r="2009" spans="2:6">
      <c r="B2009" s="183"/>
      <c r="C2009" s="183"/>
      <c r="D2009" s="183"/>
      <c r="E2009" s="71" t="s">
        <v>3696</v>
      </c>
      <c r="F2009" s="70" t="s">
        <v>3697</v>
      </c>
    </row>
    <row r="2010" spans="2:6">
      <c r="B2010" s="183"/>
      <c r="C2010" s="183"/>
      <c r="D2010" s="183"/>
      <c r="E2010" s="71" t="s">
        <v>3698</v>
      </c>
      <c r="F2010" s="70" t="s">
        <v>3699</v>
      </c>
    </row>
    <row r="2011" spans="2:6">
      <c r="B2011" s="113">
        <v>400</v>
      </c>
      <c r="C2011" s="95">
        <v>45049</v>
      </c>
      <c r="D2011" s="113" t="s">
        <v>415</v>
      </c>
      <c r="E2011" s="184"/>
      <c r="F2011" s="185"/>
    </row>
    <row r="2012" spans="2:6">
      <c r="B2012" s="183"/>
      <c r="C2012" s="183"/>
      <c r="D2012" s="183"/>
      <c r="E2012" s="71" t="s">
        <v>3700</v>
      </c>
      <c r="F2012" s="70" t="s">
        <v>3701</v>
      </c>
    </row>
    <row r="2013" spans="2:6">
      <c r="B2013" s="183"/>
      <c r="C2013" s="183"/>
      <c r="D2013" s="183"/>
      <c r="E2013" s="120" t="s">
        <v>3702</v>
      </c>
      <c r="F2013" s="170" t="s">
        <v>3703</v>
      </c>
    </row>
    <row r="2014" spans="2:6">
      <c r="B2014" s="183"/>
      <c r="C2014" s="183"/>
      <c r="D2014" s="183"/>
      <c r="E2014" s="120" t="s">
        <v>3702</v>
      </c>
      <c r="F2014" s="170" t="s">
        <v>3704</v>
      </c>
    </row>
    <row r="2015" spans="2:6">
      <c r="B2015" s="183"/>
      <c r="C2015" s="183"/>
      <c r="D2015" s="183"/>
      <c r="E2015" s="71" t="s">
        <v>3705</v>
      </c>
      <c r="F2015" s="70" t="s">
        <v>3706</v>
      </c>
    </row>
    <row r="2016" spans="2:6">
      <c r="B2016" s="183"/>
      <c r="C2016" s="183"/>
      <c r="D2016" s="183"/>
      <c r="E2016" s="71" t="s">
        <v>50</v>
      </c>
      <c r="F2016" s="70" t="s">
        <v>3707</v>
      </c>
    </row>
    <row r="2017" spans="2:6">
      <c r="B2017" s="183"/>
      <c r="C2017" s="183"/>
      <c r="D2017" s="183"/>
      <c r="E2017" s="71" t="s">
        <v>50</v>
      </c>
      <c r="F2017" s="70" t="s">
        <v>3708</v>
      </c>
    </row>
    <row r="2018" spans="2:6">
      <c r="B2018" s="183"/>
      <c r="C2018" s="183"/>
      <c r="D2018" s="183"/>
      <c r="E2018" s="71" t="s">
        <v>50</v>
      </c>
      <c r="F2018" s="70" t="s">
        <v>3709</v>
      </c>
    </row>
    <row r="2019" spans="2:6">
      <c r="B2019" s="183"/>
      <c r="C2019" s="183"/>
      <c r="D2019" s="183"/>
      <c r="E2019" s="71" t="s">
        <v>50</v>
      </c>
      <c r="F2019" s="70" t="s">
        <v>3710</v>
      </c>
    </row>
    <row r="2020" spans="2:6">
      <c r="B2020" s="183"/>
      <c r="C2020" s="183"/>
      <c r="D2020" s="183"/>
      <c r="E2020" s="71" t="s">
        <v>3711</v>
      </c>
      <c r="F2020" s="70" t="s">
        <v>3712</v>
      </c>
    </row>
    <row r="2021" spans="2:6">
      <c r="B2021" s="183"/>
      <c r="C2021" s="183"/>
      <c r="D2021" s="183"/>
      <c r="E2021" s="71" t="s">
        <v>3713</v>
      </c>
      <c r="F2021" s="70" t="s">
        <v>3714</v>
      </c>
    </row>
    <row r="2022" spans="2:6">
      <c r="B2022" s="183"/>
      <c r="C2022" s="183"/>
      <c r="D2022" s="183"/>
      <c r="E2022" s="71" t="s">
        <v>3715</v>
      </c>
      <c r="F2022" s="70" t="s">
        <v>3716</v>
      </c>
    </row>
    <row r="2023" spans="2:6">
      <c r="B2023" s="183"/>
      <c r="C2023" s="183"/>
      <c r="D2023" s="183"/>
      <c r="E2023" s="71" t="s">
        <v>3717</v>
      </c>
      <c r="F2023" s="70" t="s">
        <v>3718</v>
      </c>
    </row>
    <row r="2024" spans="2:6">
      <c r="B2024" s="113">
        <v>401</v>
      </c>
      <c r="C2024" s="95">
        <v>45051</v>
      </c>
      <c r="D2024" s="113" t="s">
        <v>179</v>
      </c>
      <c r="E2024" s="184"/>
      <c r="F2024" s="185"/>
    </row>
    <row r="2025" spans="2:6">
      <c r="B2025" s="183"/>
      <c r="C2025" s="183"/>
      <c r="D2025" s="183"/>
      <c r="E2025" s="71" t="s">
        <v>3719</v>
      </c>
      <c r="F2025" s="70" t="s">
        <v>3720</v>
      </c>
    </row>
    <row r="2026" spans="2:6">
      <c r="B2026" s="183"/>
      <c r="C2026" s="183"/>
      <c r="D2026" s="183"/>
      <c r="E2026" s="71" t="s">
        <v>3719</v>
      </c>
      <c r="F2026" s="70" t="s">
        <v>3721</v>
      </c>
    </row>
    <row r="2027" spans="2:6">
      <c r="B2027" s="183"/>
      <c r="C2027" s="183"/>
      <c r="D2027" s="183"/>
      <c r="E2027" s="71" t="s">
        <v>3722</v>
      </c>
      <c r="F2027" s="70" t="s">
        <v>3723</v>
      </c>
    </row>
    <row r="2028" spans="2:6">
      <c r="B2028" s="113">
        <v>402</v>
      </c>
      <c r="C2028" s="95">
        <v>45051</v>
      </c>
      <c r="D2028" s="113" t="s">
        <v>685</v>
      </c>
      <c r="E2028" s="184"/>
      <c r="F2028" s="185"/>
    </row>
    <row r="2029" spans="2:6">
      <c r="B2029" s="183"/>
      <c r="C2029" s="183"/>
      <c r="D2029" s="183"/>
      <c r="E2029" s="71" t="s">
        <v>3729</v>
      </c>
      <c r="F2029" s="70" t="s">
        <v>3730</v>
      </c>
    </row>
    <row r="2030" spans="2:6">
      <c r="B2030" s="183"/>
      <c r="C2030" s="183"/>
      <c r="D2030" s="183"/>
      <c r="E2030" s="71" t="s">
        <v>50</v>
      </c>
      <c r="F2030" s="70" t="s">
        <v>3731</v>
      </c>
    </row>
    <row r="2031" spans="2:6">
      <c r="B2031" s="183"/>
      <c r="C2031" s="183"/>
      <c r="D2031" s="183"/>
      <c r="E2031" s="71" t="s">
        <v>50</v>
      </c>
      <c r="F2031" s="70" t="s">
        <v>3732</v>
      </c>
    </row>
    <row r="2032" spans="2:6">
      <c r="B2032" s="183"/>
      <c r="C2032" s="183"/>
      <c r="D2032" s="183"/>
      <c r="E2032" s="71" t="s">
        <v>50</v>
      </c>
      <c r="F2032" s="70" t="s">
        <v>3733</v>
      </c>
    </row>
    <row r="2033" spans="2:6">
      <c r="B2033" s="183"/>
      <c r="C2033" s="183"/>
      <c r="D2033" s="183"/>
      <c r="E2033" s="71" t="s">
        <v>50</v>
      </c>
      <c r="F2033" s="70" t="s">
        <v>3734</v>
      </c>
    </row>
    <row r="2034" spans="2:6">
      <c r="B2034" s="183"/>
      <c r="C2034" s="183"/>
      <c r="D2034" s="183"/>
      <c r="E2034" s="71" t="s">
        <v>50</v>
      </c>
      <c r="F2034" s="70" t="s">
        <v>3735</v>
      </c>
    </row>
    <row r="2035" spans="2:6">
      <c r="B2035" s="183"/>
      <c r="C2035" s="183"/>
      <c r="D2035" s="183"/>
      <c r="E2035" s="71" t="s">
        <v>50</v>
      </c>
      <c r="F2035" s="70" t="s">
        <v>3736</v>
      </c>
    </row>
    <row r="2036" spans="2:6">
      <c r="B2036" s="183"/>
      <c r="C2036" s="183"/>
      <c r="D2036" s="183"/>
      <c r="E2036" s="71" t="s">
        <v>50</v>
      </c>
      <c r="F2036" s="70" t="s">
        <v>3737</v>
      </c>
    </row>
    <row r="2037" spans="2:6">
      <c r="B2037" s="183"/>
      <c r="C2037" s="183"/>
      <c r="D2037" s="183"/>
      <c r="E2037" s="71" t="s">
        <v>50</v>
      </c>
      <c r="F2037" s="70" t="s">
        <v>3738</v>
      </c>
    </row>
    <row r="2038" spans="2:6">
      <c r="B2038" s="183"/>
      <c r="C2038" s="183"/>
      <c r="D2038" s="183"/>
      <c r="E2038" s="71" t="s">
        <v>50</v>
      </c>
      <c r="F2038" s="70" t="s">
        <v>3739</v>
      </c>
    </row>
    <row r="2039" spans="2:6">
      <c r="B2039" s="183"/>
      <c r="C2039" s="183"/>
      <c r="D2039" s="183"/>
      <c r="E2039" s="71" t="s">
        <v>50</v>
      </c>
      <c r="F2039" s="70" t="s">
        <v>3740</v>
      </c>
    </row>
    <row r="2040" spans="2:6">
      <c r="B2040" s="113">
        <v>403</v>
      </c>
      <c r="C2040" s="95">
        <v>45054</v>
      </c>
      <c r="D2040" s="113" t="s">
        <v>415</v>
      </c>
      <c r="E2040" s="184"/>
      <c r="F2040" s="185"/>
    </row>
    <row r="2041" spans="2:6">
      <c r="B2041" s="146"/>
      <c r="C2041" s="146"/>
      <c r="D2041" s="146"/>
      <c r="E2041" s="71" t="s">
        <v>3742</v>
      </c>
      <c r="F2041" s="70" t="s">
        <v>3743</v>
      </c>
    </row>
    <row r="2042" spans="2:6">
      <c r="B2042" s="113">
        <v>404</v>
      </c>
      <c r="C2042" s="95">
        <v>45058</v>
      </c>
      <c r="D2042" s="113" t="s">
        <v>466</v>
      </c>
      <c r="E2042" s="184"/>
      <c r="F2042" s="185"/>
    </row>
    <row r="2043" spans="2:6">
      <c r="B2043" s="146"/>
      <c r="C2043" s="146"/>
      <c r="D2043" s="146"/>
      <c r="E2043" s="71" t="s">
        <v>3746</v>
      </c>
      <c r="F2043" s="70" t="s">
        <v>3745</v>
      </c>
    </row>
    <row r="2044" spans="2:6">
      <c r="B2044" s="113">
        <v>405</v>
      </c>
      <c r="C2044" s="95">
        <v>45058</v>
      </c>
      <c r="D2044" s="113" t="s">
        <v>415</v>
      </c>
      <c r="E2044" s="184"/>
      <c r="F2044" s="185"/>
    </row>
    <row r="2045" spans="2:6">
      <c r="B2045" s="146"/>
      <c r="C2045" s="146"/>
      <c r="D2045" s="146"/>
      <c r="E2045" s="71" t="s">
        <v>50</v>
      </c>
      <c r="F2045" s="70" t="s">
        <v>3747</v>
      </c>
    </row>
    <row r="2046" spans="2:6">
      <c r="B2046" s="113">
        <v>406</v>
      </c>
      <c r="C2046" s="95">
        <v>45058</v>
      </c>
      <c r="D2046" s="113" t="s">
        <v>685</v>
      </c>
      <c r="E2046" s="184"/>
      <c r="F2046" s="185"/>
    </row>
    <row r="2047" spans="2:6">
      <c r="B2047" s="183"/>
      <c r="C2047" s="183"/>
      <c r="D2047" s="183"/>
      <c r="E2047" s="71" t="s">
        <v>1326</v>
      </c>
      <c r="F2047" s="70" t="s">
        <v>3752</v>
      </c>
    </row>
    <row r="2048" spans="2:6">
      <c r="B2048" s="183"/>
      <c r="C2048" s="183"/>
      <c r="D2048" s="183"/>
      <c r="E2048" s="71" t="s">
        <v>1337</v>
      </c>
      <c r="F2048" s="70" t="s">
        <v>3753</v>
      </c>
    </row>
    <row r="2049" spans="2:6">
      <c r="B2049" s="183"/>
      <c r="C2049" s="183"/>
      <c r="D2049" s="183"/>
      <c r="E2049" s="71" t="s">
        <v>1342</v>
      </c>
      <c r="F2049" s="70" t="s">
        <v>3754</v>
      </c>
    </row>
    <row r="2050" spans="2:6">
      <c r="B2050" s="183"/>
      <c r="C2050" s="183"/>
      <c r="D2050" s="183"/>
      <c r="E2050" s="71" t="s">
        <v>669</v>
      </c>
      <c r="F2050" s="70" t="s">
        <v>3755</v>
      </c>
    </row>
    <row r="2051" spans="2:6">
      <c r="B2051" s="183"/>
      <c r="C2051" s="183"/>
      <c r="D2051" s="183"/>
      <c r="E2051" s="71" t="s">
        <v>700</v>
      </c>
      <c r="F2051" s="70" t="s">
        <v>3756</v>
      </c>
    </row>
    <row r="2052" spans="2:6">
      <c r="B2052" s="183"/>
      <c r="C2052" s="183"/>
      <c r="D2052" s="183"/>
      <c r="E2052" s="71" t="s">
        <v>674</v>
      </c>
      <c r="F2052" s="70" t="s">
        <v>3757</v>
      </c>
    </row>
    <row r="2053" spans="2:6">
      <c r="B2053" s="183"/>
      <c r="C2053" s="183"/>
      <c r="D2053" s="183"/>
      <c r="E2053" s="71" t="s">
        <v>673</v>
      </c>
      <c r="F2053" s="70" t="s">
        <v>3758</v>
      </c>
    </row>
    <row r="2054" spans="2:6">
      <c r="B2054" s="183"/>
      <c r="C2054" s="183"/>
      <c r="D2054" s="183"/>
      <c r="E2054" s="71" t="s">
        <v>474</v>
      </c>
      <c r="F2054" s="70" t="s">
        <v>3759</v>
      </c>
    </row>
    <row r="2055" spans="2:6">
      <c r="B2055" s="183"/>
      <c r="C2055" s="183"/>
      <c r="D2055" s="183"/>
      <c r="E2055" s="71" t="s">
        <v>1218</v>
      </c>
      <c r="F2055" s="70" t="s">
        <v>3760</v>
      </c>
    </row>
    <row r="2056" spans="2:6">
      <c r="B2056" s="113">
        <v>407</v>
      </c>
      <c r="C2056" s="95">
        <v>45058</v>
      </c>
      <c r="D2056" s="113" t="s">
        <v>814</v>
      </c>
      <c r="E2056" s="184"/>
      <c r="F2056" s="185"/>
    </row>
    <row r="2057" spans="2:6">
      <c r="B2057" s="146"/>
      <c r="C2057" s="146"/>
      <c r="D2057" s="146"/>
      <c r="E2057" s="71" t="s">
        <v>1437</v>
      </c>
      <c r="F2057" s="70" t="s">
        <v>3761</v>
      </c>
    </row>
    <row r="2058" spans="2:6">
      <c r="B2058" s="113">
        <v>408</v>
      </c>
      <c r="C2058" s="95">
        <v>45063</v>
      </c>
      <c r="D2058" s="113" t="s">
        <v>814</v>
      </c>
      <c r="E2058" s="184"/>
      <c r="F2058" s="185"/>
    </row>
    <row r="2059" spans="2:6">
      <c r="B2059" s="114"/>
      <c r="C2059" s="114"/>
      <c r="D2059" s="114"/>
      <c r="E2059" s="71" t="s">
        <v>3765</v>
      </c>
      <c r="F2059" s="70" t="s">
        <v>3766</v>
      </c>
    </row>
    <row r="2060" spans="2:6">
      <c r="B2060" s="113">
        <v>409</v>
      </c>
      <c r="C2060" s="95">
        <v>45068</v>
      </c>
      <c r="D2060" s="113" t="s">
        <v>415</v>
      </c>
      <c r="E2060" s="184"/>
      <c r="F2060" s="185"/>
    </row>
    <row r="2061" spans="2:6">
      <c r="B2061" s="183"/>
      <c r="C2061" s="183"/>
      <c r="D2061" s="183"/>
      <c r="E2061" s="71" t="s">
        <v>50</v>
      </c>
      <c r="F2061" s="70" t="s">
        <v>3767</v>
      </c>
    </row>
    <row r="2062" spans="2:6">
      <c r="B2062" s="183"/>
      <c r="C2062" s="183"/>
      <c r="D2062" s="183"/>
      <c r="E2062" s="71" t="s">
        <v>50</v>
      </c>
      <c r="F2062" s="170" t="s">
        <v>3768</v>
      </c>
    </row>
    <row r="2063" spans="2:6">
      <c r="B2063" s="183"/>
      <c r="C2063" s="183"/>
      <c r="D2063" s="183"/>
      <c r="E2063" s="71" t="s">
        <v>50</v>
      </c>
      <c r="F2063" s="170" t="s">
        <v>3769</v>
      </c>
    </row>
    <row r="2064" spans="2:6">
      <c r="B2064" s="183"/>
      <c r="C2064" s="183"/>
      <c r="D2064" s="183"/>
      <c r="E2064" s="71" t="s">
        <v>50</v>
      </c>
      <c r="F2064" s="70" t="s">
        <v>3770</v>
      </c>
    </row>
    <row r="2065" spans="2:6">
      <c r="B2065" s="183"/>
      <c r="C2065" s="183"/>
      <c r="D2065" s="183"/>
      <c r="E2065" s="71" t="s">
        <v>3771</v>
      </c>
      <c r="F2065" s="70" t="s">
        <v>3772</v>
      </c>
    </row>
    <row r="2066" spans="2:6">
      <c r="B2066" s="183"/>
      <c r="C2066" s="183"/>
      <c r="D2066" s="183"/>
      <c r="E2066" s="71" t="s">
        <v>3773</v>
      </c>
      <c r="F2066" s="70" t="s">
        <v>3774</v>
      </c>
    </row>
    <row r="2067" spans="2:6">
      <c r="B2067" s="183"/>
      <c r="C2067" s="183"/>
      <c r="D2067" s="183"/>
      <c r="E2067" s="71" t="s">
        <v>3775</v>
      </c>
      <c r="F2067" s="70" t="s">
        <v>3776</v>
      </c>
    </row>
    <row r="2068" spans="2:6">
      <c r="B2068" s="183"/>
      <c r="C2068" s="183"/>
      <c r="D2068" s="183"/>
      <c r="E2068" s="71" t="s">
        <v>3777</v>
      </c>
      <c r="F2068" s="70" t="s">
        <v>3778</v>
      </c>
    </row>
    <row r="2069" spans="2:6">
      <c r="B2069" s="183"/>
      <c r="C2069" s="183"/>
      <c r="D2069" s="183"/>
      <c r="E2069" s="71" t="s">
        <v>50</v>
      </c>
      <c r="F2069" s="70" t="s">
        <v>3779</v>
      </c>
    </row>
    <row r="2070" spans="2:6">
      <c r="B2070" s="183"/>
      <c r="C2070" s="183"/>
      <c r="D2070" s="183"/>
      <c r="E2070" s="71" t="s">
        <v>3780</v>
      </c>
      <c r="F2070" s="70" t="s">
        <v>3781</v>
      </c>
    </row>
    <row r="2071" spans="2:6">
      <c r="B2071" s="113">
        <v>410</v>
      </c>
      <c r="C2071" s="95">
        <v>45084</v>
      </c>
      <c r="D2071" s="113" t="s">
        <v>466</v>
      </c>
      <c r="E2071" s="184"/>
      <c r="F2071" s="185"/>
    </row>
    <row r="2072" spans="2:6">
      <c r="B2072" s="183"/>
      <c r="C2072" s="183"/>
      <c r="D2072" s="183"/>
      <c r="E2072" s="71" t="s">
        <v>3782</v>
      </c>
      <c r="F2072" s="70" t="s">
        <v>3783</v>
      </c>
    </row>
    <row r="2073" spans="2:6">
      <c r="B2073" s="183"/>
      <c r="C2073" s="183"/>
      <c r="D2073" s="183"/>
      <c r="E2073" s="71" t="s">
        <v>3782</v>
      </c>
      <c r="F2073" s="70" t="s">
        <v>3784</v>
      </c>
    </row>
    <row r="2074" spans="2:6">
      <c r="B2074" s="183"/>
      <c r="C2074" s="183"/>
      <c r="D2074" s="183"/>
      <c r="E2074" s="71" t="s">
        <v>3785</v>
      </c>
      <c r="F2074" s="70" t="s">
        <v>3786</v>
      </c>
    </row>
    <row r="2075" spans="2:6">
      <c r="B2075" s="183"/>
      <c r="C2075" s="183"/>
      <c r="D2075" s="183"/>
      <c r="E2075" s="71" t="s">
        <v>3785</v>
      </c>
      <c r="F2075" s="70" t="s">
        <v>3787</v>
      </c>
    </row>
    <row r="2076" spans="2:6">
      <c r="B2076" s="183"/>
      <c r="C2076" s="183"/>
      <c r="D2076" s="183"/>
      <c r="E2076" s="71" t="s">
        <v>3788</v>
      </c>
      <c r="F2076" s="70" t="s">
        <v>3789</v>
      </c>
    </row>
    <row r="2077" spans="2:6">
      <c r="B2077" s="183"/>
      <c r="C2077" s="183"/>
      <c r="D2077" s="183"/>
      <c r="E2077" s="71" t="s">
        <v>3788</v>
      </c>
      <c r="F2077" s="70" t="s">
        <v>3790</v>
      </c>
    </row>
    <row r="2078" spans="2:6">
      <c r="B2078" s="183"/>
      <c r="C2078" s="183"/>
      <c r="D2078" s="183"/>
      <c r="E2078" s="71" t="s">
        <v>3791</v>
      </c>
      <c r="F2078" s="70" t="s">
        <v>3792</v>
      </c>
    </row>
    <row r="2079" spans="2:6">
      <c r="B2079" s="183"/>
      <c r="C2079" s="183"/>
      <c r="D2079" s="183"/>
      <c r="E2079" s="71" t="s">
        <v>3791</v>
      </c>
      <c r="F2079" s="70" t="s">
        <v>3793</v>
      </c>
    </row>
    <row r="2080" spans="2:6">
      <c r="B2080" s="113">
        <v>411</v>
      </c>
      <c r="C2080" s="95">
        <v>45091</v>
      </c>
      <c r="D2080" s="113" t="s">
        <v>685</v>
      </c>
      <c r="E2080" s="184"/>
      <c r="F2080" s="185"/>
    </row>
    <row r="2081" spans="2:6">
      <c r="B2081" s="183"/>
      <c r="C2081" s="183"/>
      <c r="D2081" s="183"/>
      <c r="E2081" s="71" t="s">
        <v>50</v>
      </c>
      <c r="F2081" s="70" t="s">
        <v>3796</v>
      </c>
    </row>
    <row r="2082" spans="2:6">
      <c r="B2082" s="183"/>
      <c r="C2082" s="183"/>
      <c r="D2082" s="183"/>
      <c r="E2082" s="71" t="s">
        <v>3797</v>
      </c>
      <c r="F2082" s="70" t="s">
        <v>3798</v>
      </c>
    </row>
    <row r="2083" spans="2:6">
      <c r="B2083" s="183"/>
      <c r="C2083" s="183"/>
      <c r="D2083" s="183"/>
      <c r="E2083" s="71" t="s">
        <v>3799</v>
      </c>
      <c r="F2083" s="70" t="s">
        <v>3800</v>
      </c>
    </row>
    <row r="2084" spans="2:6">
      <c r="B2084" s="183"/>
      <c r="C2084" s="183"/>
      <c r="D2084" s="183"/>
      <c r="E2084" s="71" t="s">
        <v>3801</v>
      </c>
      <c r="F2084" s="70" t="s">
        <v>3802</v>
      </c>
    </row>
    <row r="2085" spans="2:6">
      <c r="B2085" s="183"/>
      <c r="C2085" s="183"/>
      <c r="D2085" s="183"/>
      <c r="E2085" s="71" t="s">
        <v>3803</v>
      </c>
      <c r="F2085" s="70" t="s">
        <v>3804</v>
      </c>
    </row>
    <row r="2086" spans="2:6">
      <c r="B2086" s="183"/>
      <c r="C2086" s="183"/>
      <c r="D2086" s="183"/>
      <c r="E2086" s="71" t="s">
        <v>3805</v>
      </c>
      <c r="F2086" s="70" t="s">
        <v>3806</v>
      </c>
    </row>
    <row r="2087" spans="2:6">
      <c r="B2087" s="183"/>
      <c r="C2087" s="183"/>
      <c r="D2087" s="183"/>
      <c r="E2087" s="71" t="s">
        <v>3807</v>
      </c>
      <c r="F2087" s="70" t="s">
        <v>3808</v>
      </c>
    </row>
    <row r="2088" spans="2:6">
      <c r="B2088" s="113">
        <v>412</v>
      </c>
      <c r="C2088" s="95">
        <v>45118</v>
      </c>
      <c r="D2088" s="113" t="s">
        <v>415</v>
      </c>
      <c r="E2088" s="184"/>
      <c r="F2088" s="185"/>
    </row>
    <row r="2089" spans="2:6">
      <c r="B2089" s="183"/>
      <c r="C2089" s="183"/>
      <c r="D2089" s="183"/>
      <c r="E2089" s="71" t="s">
        <v>3811</v>
      </c>
      <c r="F2089" s="70" t="s">
        <v>3812</v>
      </c>
    </row>
    <row r="2090" spans="2:6">
      <c r="B2090" s="183"/>
      <c r="C2090" s="183"/>
      <c r="D2090" s="183"/>
      <c r="E2090" s="71" t="s">
        <v>3813</v>
      </c>
      <c r="F2090" s="170" t="s">
        <v>3814</v>
      </c>
    </row>
    <row r="2091" spans="2:6">
      <c r="B2091" s="183"/>
      <c r="C2091" s="183"/>
      <c r="D2091" s="183"/>
      <c r="E2091" s="71" t="s">
        <v>50</v>
      </c>
      <c r="F2091" s="170" t="s">
        <v>3815</v>
      </c>
    </row>
    <row r="2092" spans="2:6">
      <c r="B2092" s="183"/>
      <c r="C2092" s="183"/>
      <c r="D2092" s="183"/>
      <c r="E2092" s="71" t="s">
        <v>3816</v>
      </c>
      <c r="F2092" s="70" t="s">
        <v>3817</v>
      </c>
    </row>
    <row r="2093" spans="2:6">
      <c r="B2093" s="183"/>
      <c r="C2093" s="183"/>
      <c r="D2093" s="183"/>
      <c r="E2093" s="71" t="s">
        <v>50</v>
      </c>
      <c r="F2093" s="70" t="s">
        <v>3818</v>
      </c>
    </row>
    <row r="2094" spans="2:6">
      <c r="B2094" s="183"/>
      <c r="C2094" s="183"/>
      <c r="D2094" s="183"/>
      <c r="E2094" s="71" t="s">
        <v>50</v>
      </c>
      <c r="F2094" s="70" t="s">
        <v>3819</v>
      </c>
    </row>
    <row r="2095" spans="2:6">
      <c r="B2095" s="113">
        <v>413</v>
      </c>
      <c r="C2095" s="95">
        <v>45125</v>
      </c>
      <c r="D2095" s="113" t="s">
        <v>415</v>
      </c>
      <c r="E2095" s="184"/>
      <c r="F2095" s="185"/>
    </row>
    <row r="2096" spans="2:6">
      <c r="B2096" s="183"/>
      <c r="C2096" s="183"/>
      <c r="D2096" s="183"/>
      <c r="E2096" s="71" t="s">
        <v>3820</v>
      </c>
      <c r="F2096" s="70" t="s">
        <v>3821</v>
      </c>
    </row>
    <row r="2097" spans="2:6">
      <c r="B2097" s="183"/>
      <c r="C2097" s="183"/>
      <c r="D2097" s="183"/>
      <c r="E2097" s="71" t="s">
        <v>3822</v>
      </c>
      <c r="F2097" s="170" t="s">
        <v>3823</v>
      </c>
    </row>
    <row r="2098" spans="2:6">
      <c r="B2098" s="113">
        <v>414</v>
      </c>
      <c r="C2098" s="95">
        <v>45170</v>
      </c>
      <c r="D2098" s="113" t="s">
        <v>415</v>
      </c>
      <c r="E2098" s="184"/>
      <c r="F2098" s="185"/>
    </row>
    <row r="2099" spans="2:6">
      <c r="B2099" s="183"/>
      <c r="C2099" s="183"/>
      <c r="D2099" s="183"/>
      <c r="E2099" s="71" t="s">
        <v>3826</v>
      </c>
      <c r="F2099" s="70" t="s">
        <v>3829</v>
      </c>
    </row>
    <row r="2100" spans="2:6">
      <c r="B2100" s="183"/>
      <c r="C2100" s="183"/>
      <c r="D2100" s="183"/>
      <c r="E2100" s="71" t="s">
        <v>3223</v>
      </c>
      <c r="F2100" s="70" t="s">
        <v>3827</v>
      </c>
    </row>
    <row r="2101" spans="2:6">
      <c r="B2101" s="183"/>
      <c r="C2101" s="183"/>
      <c r="D2101" s="183"/>
      <c r="E2101" s="71" t="s">
        <v>3223</v>
      </c>
      <c r="F2101" s="170" t="s">
        <v>3828</v>
      </c>
    </row>
    <row r="2102" spans="2:6">
      <c r="B2102" s="113">
        <v>415</v>
      </c>
      <c r="C2102" s="95">
        <v>45170</v>
      </c>
      <c r="D2102" s="113" t="s">
        <v>466</v>
      </c>
      <c r="E2102" s="184"/>
      <c r="F2102" s="185"/>
    </row>
    <row r="2103" spans="2:6">
      <c r="B2103" s="183"/>
      <c r="C2103" s="183"/>
      <c r="D2103" s="183"/>
      <c r="E2103" s="71" t="s">
        <v>3830</v>
      </c>
      <c r="F2103" s="70" t="s">
        <v>3831</v>
      </c>
    </row>
    <row r="2104" spans="2:6">
      <c r="B2104" s="183"/>
      <c r="C2104" s="183"/>
      <c r="D2104" s="183"/>
      <c r="E2104" s="71" t="s">
        <v>3832</v>
      </c>
      <c r="F2104" s="70" t="s">
        <v>3831</v>
      </c>
    </row>
    <row r="2105" spans="2:6">
      <c r="B2105" s="183"/>
      <c r="C2105" s="183"/>
      <c r="D2105" s="183"/>
      <c r="E2105" s="71" t="s">
        <v>3833</v>
      </c>
      <c r="F2105" s="70" t="s">
        <v>3834</v>
      </c>
    </row>
    <row r="2106" spans="2:6">
      <c r="B2106" s="183"/>
      <c r="C2106" s="183"/>
      <c r="D2106" s="183"/>
      <c r="E2106" s="71" t="s">
        <v>3835</v>
      </c>
      <c r="F2106" s="70" t="s">
        <v>3834</v>
      </c>
    </row>
    <row r="2107" spans="2:6">
      <c r="B2107" s="183"/>
      <c r="C2107" s="183"/>
      <c r="D2107" s="183"/>
      <c r="E2107" s="71" t="s">
        <v>3836</v>
      </c>
      <c r="F2107" s="70" t="s">
        <v>3837</v>
      </c>
    </row>
    <row r="2108" spans="2:6">
      <c r="B2108" s="183"/>
      <c r="C2108" s="183"/>
      <c r="D2108" s="183"/>
      <c r="E2108" s="71" t="s">
        <v>3838</v>
      </c>
      <c r="F2108" s="70" t="s">
        <v>3837</v>
      </c>
    </row>
    <row r="2109" spans="2:6">
      <c r="B2109" s="183"/>
      <c r="C2109" s="183"/>
      <c r="D2109" s="183"/>
      <c r="E2109" s="71" t="s">
        <v>3839</v>
      </c>
      <c r="F2109" s="70" t="s">
        <v>3840</v>
      </c>
    </row>
    <row r="2110" spans="2:6">
      <c r="B2110" s="183"/>
      <c r="C2110" s="183"/>
      <c r="D2110" s="183"/>
      <c r="E2110" s="71" t="s">
        <v>3841</v>
      </c>
      <c r="F2110" s="70" t="s">
        <v>3840</v>
      </c>
    </row>
    <row r="2111" spans="2:6">
      <c r="B2111" s="183"/>
      <c r="C2111" s="183"/>
      <c r="D2111" s="183"/>
      <c r="E2111" s="71" t="s">
        <v>3842</v>
      </c>
      <c r="F2111" s="70" t="s">
        <v>3843</v>
      </c>
    </row>
    <row r="2112" spans="2:6">
      <c r="B2112" s="183"/>
      <c r="C2112" s="183"/>
      <c r="D2112" s="183"/>
      <c r="E2112" s="71" t="s">
        <v>3844</v>
      </c>
      <c r="F2112" s="70" t="s">
        <v>2090</v>
      </c>
    </row>
    <row r="2113" spans="2:6">
      <c r="B2113" s="183"/>
      <c r="C2113" s="183"/>
      <c r="D2113" s="183"/>
      <c r="E2113" s="71" t="s">
        <v>3845</v>
      </c>
      <c r="F2113" s="70" t="s">
        <v>3210</v>
      </c>
    </row>
    <row r="2114" spans="2:6">
      <c r="B2114" s="183"/>
      <c r="C2114" s="183"/>
      <c r="D2114" s="183"/>
      <c r="E2114" s="71" t="s">
        <v>3845</v>
      </c>
      <c r="F2114" s="170" t="s">
        <v>3846</v>
      </c>
    </row>
    <row r="2115" spans="2:6">
      <c r="B2115" s="183"/>
      <c r="C2115" s="183"/>
      <c r="D2115" s="183"/>
      <c r="E2115" s="71" t="s">
        <v>3847</v>
      </c>
      <c r="F2115" s="170" t="s">
        <v>979</v>
      </c>
    </row>
    <row r="2116" spans="2:6">
      <c r="B2116" s="113">
        <v>416</v>
      </c>
      <c r="C2116" s="95">
        <v>45170</v>
      </c>
      <c r="D2116" s="113" t="s">
        <v>268</v>
      </c>
      <c r="E2116" s="184"/>
      <c r="F2116" s="185"/>
    </row>
    <row r="2117" spans="2:6">
      <c r="B2117" s="183"/>
      <c r="C2117" s="183"/>
      <c r="D2117" s="183"/>
      <c r="E2117" s="71" t="s">
        <v>3261</v>
      </c>
      <c r="F2117" s="70" t="s">
        <v>3859</v>
      </c>
    </row>
    <row r="2118" spans="2:6">
      <c r="B2118" s="183"/>
      <c r="C2118" s="183"/>
      <c r="D2118" s="183"/>
      <c r="E2118" s="71" t="s">
        <v>3261</v>
      </c>
      <c r="F2118" s="70" t="s">
        <v>3860</v>
      </c>
    </row>
    <row r="2119" spans="2:6">
      <c r="B2119" s="183"/>
      <c r="C2119" s="183"/>
      <c r="D2119" s="183"/>
      <c r="E2119" s="71" t="s">
        <v>3861</v>
      </c>
      <c r="F2119" s="70" t="s">
        <v>3862</v>
      </c>
    </row>
    <row r="2120" spans="2:6">
      <c r="B2120" s="183"/>
      <c r="C2120" s="183"/>
      <c r="D2120" s="183"/>
      <c r="E2120" s="71" t="s">
        <v>3861</v>
      </c>
      <c r="F2120" s="70" t="s">
        <v>3863</v>
      </c>
    </row>
    <row r="2121" spans="2:6">
      <c r="B2121" s="183"/>
      <c r="C2121" s="183"/>
      <c r="D2121" s="183"/>
      <c r="E2121" s="71" t="s">
        <v>3861</v>
      </c>
      <c r="F2121" s="170" t="s">
        <v>3864</v>
      </c>
    </row>
    <row r="2122" spans="2:6">
      <c r="B2122" s="113">
        <v>417</v>
      </c>
      <c r="C2122" s="95">
        <v>45197</v>
      </c>
      <c r="D2122" s="113" t="s">
        <v>179</v>
      </c>
      <c r="E2122" s="184"/>
      <c r="F2122" s="185"/>
    </row>
    <row r="2123" spans="2:6">
      <c r="B2123" s="183"/>
      <c r="C2123" s="183"/>
      <c r="D2123" s="183"/>
      <c r="E2123" s="71" t="s">
        <v>3870</v>
      </c>
      <c r="F2123" s="70" t="s">
        <v>3870</v>
      </c>
    </row>
    <row r="2124" spans="2:6">
      <c r="B2124" s="183"/>
      <c r="C2124" s="183"/>
      <c r="D2124" s="183"/>
      <c r="E2124" s="71" t="s">
        <v>3871</v>
      </c>
      <c r="F2124" s="170" t="s">
        <v>3872</v>
      </c>
    </row>
    <row r="2125" spans="2:6">
      <c r="B2125" s="113">
        <v>418</v>
      </c>
      <c r="C2125" s="95">
        <v>45210</v>
      </c>
      <c r="D2125" s="113" t="s">
        <v>415</v>
      </c>
      <c r="E2125" s="184"/>
      <c r="F2125" s="185"/>
    </row>
    <row r="2126" spans="2:6">
      <c r="B2126" s="183"/>
      <c r="C2126" s="183"/>
      <c r="D2126" s="183"/>
      <c r="E2126" s="71" t="s">
        <v>50</v>
      </c>
      <c r="F2126" s="70" t="s">
        <v>3874</v>
      </c>
    </row>
    <row r="2127" spans="2:6">
      <c r="B2127" s="183"/>
      <c r="C2127" s="183"/>
      <c r="D2127" s="183"/>
      <c r="E2127" s="71" t="s">
        <v>50</v>
      </c>
      <c r="F2127" s="70" t="s">
        <v>3875</v>
      </c>
    </row>
    <row r="2128" spans="2:6">
      <c r="B2128" s="183"/>
      <c r="C2128" s="183"/>
      <c r="D2128" s="183"/>
      <c r="E2128" s="71" t="s">
        <v>50</v>
      </c>
      <c r="F2128" s="70" t="s">
        <v>3876</v>
      </c>
    </row>
    <row r="2129" spans="2:6">
      <c r="B2129" s="183"/>
      <c r="C2129" s="183"/>
      <c r="D2129" s="183"/>
      <c r="E2129" s="71" t="s">
        <v>50</v>
      </c>
      <c r="F2129" s="70" t="s">
        <v>3877</v>
      </c>
    </row>
    <row r="2130" spans="2:6">
      <c r="B2130" s="183"/>
      <c r="C2130" s="183"/>
      <c r="D2130" s="183"/>
      <c r="E2130" s="71" t="s">
        <v>50</v>
      </c>
      <c r="F2130" s="70" t="s">
        <v>3878</v>
      </c>
    </row>
    <row r="2131" spans="2:6">
      <c r="B2131" s="183"/>
      <c r="C2131" s="183"/>
      <c r="D2131" s="183"/>
      <c r="E2131" s="71" t="s">
        <v>50</v>
      </c>
      <c r="F2131" s="70" t="s">
        <v>3879</v>
      </c>
    </row>
    <row r="2132" spans="2:6">
      <c r="B2132" s="183"/>
      <c r="C2132" s="183"/>
      <c r="D2132" s="183"/>
      <c r="E2132" s="71" t="s">
        <v>50</v>
      </c>
      <c r="F2132" s="70" t="s">
        <v>3880</v>
      </c>
    </row>
    <row r="2133" spans="2:6">
      <c r="B2133" s="183"/>
      <c r="C2133" s="183"/>
      <c r="D2133" s="183"/>
      <c r="E2133" s="71" t="s">
        <v>50</v>
      </c>
      <c r="F2133" s="70" t="s">
        <v>3881</v>
      </c>
    </row>
    <row r="2134" spans="2:6">
      <c r="B2134" s="183"/>
      <c r="C2134" s="183"/>
      <c r="D2134" s="183"/>
      <c r="E2134" s="71" t="s">
        <v>50</v>
      </c>
      <c r="F2134" s="70" t="s">
        <v>3882</v>
      </c>
    </row>
    <row r="2135" spans="2:6">
      <c r="B2135" s="183"/>
      <c r="C2135" s="183"/>
      <c r="D2135" s="183"/>
      <c r="E2135" s="71" t="s">
        <v>3883</v>
      </c>
      <c r="F2135" s="170" t="s">
        <v>3884</v>
      </c>
    </row>
    <row r="2136" spans="2:6">
      <c r="B2136" s="183"/>
      <c r="C2136" s="183"/>
      <c r="D2136" s="183"/>
      <c r="E2136" s="71" t="s">
        <v>3885</v>
      </c>
      <c r="F2136" s="170" t="s">
        <v>3886</v>
      </c>
    </row>
    <row r="2137" spans="2:6">
      <c r="B2137" s="183"/>
      <c r="C2137" s="183"/>
      <c r="D2137" s="183"/>
      <c r="E2137" s="71" t="s">
        <v>3887</v>
      </c>
      <c r="F2137" s="70" t="s">
        <v>3888</v>
      </c>
    </row>
    <row r="2138" spans="2:6">
      <c r="B2138" s="183"/>
      <c r="C2138" s="183"/>
      <c r="D2138" s="183"/>
      <c r="E2138" s="71" t="s">
        <v>3889</v>
      </c>
      <c r="F2138" s="70" t="s">
        <v>3890</v>
      </c>
    </row>
    <row r="2139" spans="2:6">
      <c r="B2139" s="113">
        <v>419</v>
      </c>
      <c r="C2139" s="95">
        <v>45216</v>
      </c>
      <c r="D2139" s="113" t="s">
        <v>466</v>
      </c>
      <c r="E2139" s="184"/>
      <c r="F2139" s="185"/>
    </row>
    <row r="2140" spans="2:6">
      <c r="B2140" s="183"/>
      <c r="C2140" s="183"/>
      <c r="D2140" s="183"/>
      <c r="E2140" s="71" t="s">
        <v>3891</v>
      </c>
      <c r="F2140" s="70" t="s">
        <v>3892</v>
      </c>
    </row>
    <row r="2141" spans="2:6">
      <c r="B2141" s="183"/>
      <c r="C2141" s="183"/>
      <c r="D2141" s="183"/>
      <c r="E2141" s="71" t="s">
        <v>3893</v>
      </c>
      <c r="F2141" s="70" t="s">
        <v>1366</v>
      </c>
    </row>
    <row r="2142" spans="2:6">
      <c r="B2142" s="183"/>
      <c r="C2142" s="183"/>
      <c r="D2142" s="183"/>
      <c r="E2142" s="71" t="s">
        <v>3894</v>
      </c>
      <c r="F2142" s="70" t="s">
        <v>1487</v>
      </c>
    </row>
    <row r="2143" spans="2:6">
      <c r="B2143" s="183"/>
      <c r="C2143" s="183"/>
      <c r="D2143" s="183"/>
      <c r="E2143" s="71" t="s">
        <v>3895</v>
      </c>
      <c r="F2143" s="70" t="s">
        <v>1489</v>
      </c>
    </row>
    <row r="2144" spans="2:6">
      <c r="B2144" s="183"/>
      <c r="C2144" s="183"/>
      <c r="D2144" s="183"/>
      <c r="E2144" s="71" t="s">
        <v>3896</v>
      </c>
      <c r="F2144" s="70" t="s">
        <v>1491</v>
      </c>
    </row>
    <row r="2145" spans="2:6">
      <c r="B2145" s="183"/>
      <c r="C2145" s="183"/>
      <c r="D2145" s="183"/>
      <c r="E2145" s="71" t="s">
        <v>3897</v>
      </c>
      <c r="F2145" s="70" t="s">
        <v>740</v>
      </c>
    </row>
    <row r="2146" spans="2:6">
      <c r="B2146" s="183"/>
      <c r="C2146" s="183"/>
      <c r="D2146" s="183"/>
      <c r="E2146" s="71" t="s">
        <v>3898</v>
      </c>
      <c r="F2146" s="70" t="s">
        <v>742</v>
      </c>
    </row>
    <row r="2147" spans="2:6">
      <c r="B2147" s="183"/>
      <c r="C2147" s="183"/>
      <c r="D2147" s="183"/>
      <c r="E2147" s="71" t="s">
        <v>3899</v>
      </c>
      <c r="F2147" s="70" t="s">
        <v>307</v>
      </c>
    </row>
    <row r="2148" spans="2:6">
      <c r="B2148" s="183"/>
      <c r="C2148" s="183"/>
      <c r="D2148" s="183"/>
      <c r="E2148" s="71" t="s">
        <v>3900</v>
      </c>
      <c r="F2148" s="70" t="s">
        <v>3901</v>
      </c>
    </row>
    <row r="2149" spans="2:6">
      <c r="B2149" s="183"/>
      <c r="C2149" s="183"/>
      <c r="D2149" s="183"/>
      <c r="E2149" s="71" t="s">
        <v>3902</v>
      </c>
      <c r="F2149" s="70" t="s">
        <v>3903</v>
      </c>
    </row>
    <row r="2150" spans="2:6">
      <c r="B2150" s="183"/>
      <c r="C2150" s="183"/>
      <c r="D2150" s="183"/>
      <c r="E2150" s="71" t="s">
        <v>3904</v>
      </c>
      <c r="F2150" s="70" t="s">
        <v>3905</v>
      </c>
    </row>
    <row r="2151" spans="2:6">
      <c r="B2151" s="183"/>
      <c r="C2151" s="183"/>
      <c r="D2151" s="183"/>
      <c r="E2151" s="71" t="s">
        <v>3906</v>
      </c>
      <c r="F2151" s="70" t="s">
        <v>3907</v>
      </c>
    </row>
    <row r="2152" spans="2:6">
      <c r="B2152" s="183"/>
      <c r="C2152" s="183"/>
      <c r="D2152" s="183"/>
      <c r="E2152" s="71" t="s">
        <v>3908</v>
      </c>
      <c r="F2152" s="70" t="s">
        <v>3909</v>
      </c>
    </row>
    <row r="2153" spans="2:6">
      <c r="B2153" s="183"/>
      <c r="C2153" s="183"/>
      <c r="D2153" s="183"/>
      <c r="E2153" s="71" t="s">
        <v>3910</v>
      </c>
      <c r="F2153" s="70" t="s">
        <v>3911</v>
      </c>
    </row>
    <row r="2154" spans="2:6">
      <c r="B2154" s="183"/>
      <c r="C2154" s="183"/>
      <c r="D2154" s="183"/>
      <c r="E2154" s="71" t="s">
        <v>3912</v>
      </c>
      <c r="F2154" s="70" t="s">
        <v>3913</v>
      </c>
    </row>
    <row r="2155" spans="2:6">
      <c r="B2155" s="183"/>
      <c r="C2155" s="183"/>
      <c r="D2155" s="183"/>
      <c r="E2155" s="71" t="s">
        <v>3914</v>
      </c>
      <c r="F2155" s="70" t="s">
        <v>3915</v>
      </c>
    </row>
    <row r="2156" spans="2:6">
      <c r="B2156" s="183"/>
      <c r="C2156" s="183"/>
      <c r="D2156" s="183"/>
      <c r="E2156" s="71" t="s">
        <v>3916</v>
      </c>
      <c r="F2156" s="70" t="s">
        <v>3917</v>
      </c>
    </row>
    <row r="2157" spans="2:6">
      <c r="B2157" s="183"/>
      <c r="C2157" s="183"/>
      <c r="D2157" s="183"/>
      <c r="E2157" s="71" t="s">
        <v>3918</v>
      </c>
      <c r="F2157" s="70" t="s">
        <v>3919</v>
      </c>
    </row>
    <row r="2158" spans="2:6">
      <c r="B2158" s="183"/>
      <c r="C2158" s="183"/>
      <c r="D2158" s="183"/>
      <c r="E2158" s="71" t="s">
        <v>3920</v>
      </c>
      <c r="F2158" s="70" t="s">
        <v>3921</v>
      </c>
    </row>
    <row r="2159" spans="2:6">
      <c r="B2159" s="183"/>
      <c r="C2159" s="183"/>
      <c r="D2159" s="183"/>
      <c r="E2159" s="71" t="s">
        <v>3922</v>
      </c>
      <c r="F2159" s="70" t="s">
        <v>3923</v>
      </c>
    </row>
    <row r="2160" spans="2:6">
      <c r="B2160" s="183"/>
      <c r="C2160" s="183"/>
      <c r="D2160" s="183"/>
      <c r="E2160" s="71" t="s">
        <v>3924</v>
      </c>
      <c r="F2160" s="70" t="s">
        <v>3925</v>
      </c>
    </row>
    <row r="2161" spans="2:6">
      <c r="B2161" s="183"/>
      <c r="C2161" s="183"/>
      <c r="D2161" s="183"/>
      <c r="E2161" s="71" t="s">
        <v>3926</v>
      </c>
      <c r="F2161" s="70" t="s">
        <v>3927</v>
      </c>
    </row>
    <row r="2162" spans="2:6">
      <c r="B2162" s="183"/>
      <c r="C2162" s="183"/>
      <c r="D2162" s="183"/>
      <c r="E2162" s="71" t="s">
        <v>3928</v>
      </c>
      <c r="F2162" s="70" t="s">
        <v>3929</v>
      </c>
    </row>
    <row r="2163" spans="2:6">
      <c r="B2163" s="183"/>
      <c r="C2163" s="183"/>
      <c r="D2163" s="183"/>
      <c r="E2163" s="71" t="s">
        <v>3930</v>
      </c>
      <c r="F2163" s="70" t="s">
        <v>3931</v>
      </c>
    </row>
    <row r="2164" spans="2:6">
      <c r="B2164" s="183"/>
      <c r="C2164" s="183"/>
      <c r="D2164" s="183"/>
      <c r="E2164" s="71" t="s">
        <v>3932</v>
      </c>
      <c r="F2164" s="70" t="s">
        <v>3933</v>
      </c>
    </row>
    <row r="2165" spans="2:6">
      <c r="B2165" s="183"/>
      <c r="C2165" s="183"/>
      <c r="D2165" s="183"/>
      <c r="E2165" s="71" t="s">
        <v>3934</v>
      </c>
      <c r="F2165" s="70" t="s">
        <v>1505</v>
      </c>
    </row>
    <row r="2166" spans="2:6">
      <c r="B2166" s="183"/>
      <c r="C2166" s="183"/>
      <c r="D2166" s="183"/>
      <c r="E2166" s="71" t="s">
        <v>3935</v>
      </c>
      <c r="F2166" s="70" t="s">
        <v>1551</v>
      </c>
    </row>
    <row r="2167" spans="2:6">
      <c r="B2167" s="183"/>
      <c r="C2167" s="183"/>
      <c r="D2167" s="183"/>
      <c r="E2167" s="71" t="s">
        <v>3936</v>
      </c>
      <c r="F2167" s="70" t="s">
        <v>1511</v>
      </c>
    </row>
    <row r="2168" spans="2:6">
      <c r="B2168" s="183"/>
      <c r="C2168" s="183"/>
      <c r="D2168" s="183"/>
      <c r="E2168" s="71" t="s">
        <v>3937</v>
      </c>
      <c r="F2168" s="70" t="s">
        <v>1557</v>
      </c>
    </row>
    <row r="2169" spans="2:6">
      <c r="B2169" s="183"/>
      <c r="C2169" s="183"/>
      <c r="D2169" s="183"/>
      <c r="E2169" s="71" t="s">
        <v>3938</v>
      </c>
      <c r="F2169" s="70" t="s">
        <v>1527</v>
      </c>
    </row>
    <row r="2170" spans="2:6">
      <c r="B2170" s="183"/>
      <c r="C2170" s="183"/>
      <c r="D2170" s="183"/>
      <c r="E2170" s="71" t="s">
        <v>3939</v>
      </c>
      <c r="F2170" s="70" t="s">
        <v>3940</v>
      </c>
    </row>
    <row r="2171" spans="2:6">
      <c r="B2171" s="183"/>
      <c r="C2171" s="183"/>
      <c r="D2171" s="183"/>
      <c r="E2171" s="71" t="s">
        <v>3941</v>
      </c>
      <c r="F2171" s="70" t="s">
        <v>1507</v>
      </c>
    </row>
    <row r="2172" spans="2:6">
      <c r="B2172" s="183"/>
      <c r="C2172" s="183"/>
      <c r="D2172" s="183"/>
      <c r="E2172" s="71" t="s">
        <v>3942</v>
      </c>
      <c r="F2172" s="70" t="s">
        <v>1513</v>
      </c>
    </row>
    <row r="2173" spans="2:6">
      <c r="B2173" s="183"/>
      <c r="C2173" s="183"/>
      <c r="D2173" s="183"/>
      <c r="E2173" s="71" t="s">
        <v>3943</v>
      </c>
      <c r="F2173" s="70" t="s">
        <v>1509</v>
      </c>
    </row>
    <row r="2174" spans="2:6">
      <c r="B2174" s="183"/>
      <c r="C2174" s="183"/>
      <c r="D2174" s="183"/>
      <c r="E2174" s="71" t="s">
        <v>3944</v>
      </c>
      <c r="F2174" s="70" t="s">
        <v>1515</v>
      </c>
    </row>
    <row r="2175" spans="2:6">
      <c r="B2175" s="183"/>
      <c r="C2175" s="183"/>
      <c r="D2175" s="183"/>
      <c r="E2175" s="71" t="s">
        <v>3945</v>
      </c>
      <c r="F2175" s="70" t="s">
        <v>3946</v>
      </c>
    </row>
    <row r="2176" spans="2:6">
      <c r="B2176" s="183"/>
      <c r="C2176" s="183"/>
      <c r="D2176" s="183"/>
      <c r="E2176" s="71" t="s">
        <v>3947</v>
      </c>
      <c r="F2176" s="70" t="s">
        <v>3948</v>
      </c>
    </row>
    <row r="2177" spans="2:6">
      <c r="B2177" s="183"/>
      <c r="C2177" s="183"/>
      <c r="D2177" s="183"/>
      <c r="E2177" s="71" t="s">
        <v>3949</v>
      </c>
      <c r="F2177" s="70" t="s">
        <v>3950</v>
      </c>
    </row>
    <row r="2178" spans="2:6">
      <c r="B2178" s="183"/>
      <c r="C2178" s="183"/>
      <c r="D2178" s="183"/>
      <c r="E2178" s="71" t="s">
        <v>3951</v>
      </c>
      <c r="F2178" s="70" t="s">
        <v>2476</v>
      </c>
    </row>
    <row r="2179" spans="2:6">
      <c r="B2179" s="183"/>
      <c r="C2179" s="183"/>
      <c r="D2179" s="183"/>
      <c r="E2179" s="71" t="s">
        <v>3952</v>
      </c>
      <c r="F2179" s="70" t="s">
        <v>3953</v>
      </c>
    </row>
    <row r="2180" spans="2:6">
      <c r="B2180" s="183"/>
      <c r="C2180" s="183"/>
      <c r="D2180" s="183"/>
      <c r="E2180" s="71" t="s">
        <v>3954</v>
      </c>
      <c r="F2180" s="70" t="s">
        <v>3955</v>
      </c>
    </row>
    <row r="2181" spans="2:6">
      <c r="B2181" s="183"/>
      <c r="C2181" s="183"/>
      <c r="D2181" s="183"/>
      <c r="E2181" s="71" t="s">
        <v>3956</v>
      </c>
      <c r="F2181" s="70" t="s">
        <v>3957</v>
      </c>
    </row>
    <row r="2182" spans="2:6">
      <c r="B2182" s="183"/>
      <c r="C2182" s="183"/>
      <c r="D2182" s="183"/>
      <c r="E2182" s="71" t="s">
        <v>3958</v>
      </c>
      <c r="F2182" s="70" t="s">
        <v>3959</v>
      </c>
    </row>
    <row r="2183" spans="2:6">
      <c r="B2183" s="183"/>
      <c r="C2183" s="183"/>
      <c r="D2183" s="183"/>
      <c r="E2183" s="71" t="s">
        <v>3960</v>
      </c>
      <c r="F2183" s="70" t="s">
        <v>3961</v>
      </c>
    </row>
    <row r="2184" spans="2:6">
      <c r="B2184" s="183"/>
      <c r="C2184" s="183"/>
      <c r="D2184" s="183"/>
      <c r="E2184" s="71" t="s">
        <v>3962</v>
      </c>
      <c r="F2184" s="70" t="s">
        <v>3963</v>
      </c>
    </row>
    <row r="2185" spans="2:6">
      <c r="B2185" s="183"/>
      <c r="C2185" s="183"/>
      <c r="D2185" s="183"/>
      <c r="E2185" s="71" t="s">
        <v>3964</v>
      </c>
      <c r="F2185" s="70" t="s">
        <v>3965</v>
      </c>
    </row>
    <row r="2186" spans="2:6">
      <c r="B2186" s="183"/>
      <c r="C2186" s="183"/>
      <c r="D2186" s="183"/>
      <c r="E2186" s="71" t="s">
        <v>3966</v>
      </c>
      <c r="F2186" s="70" t="s">
        <v>3967</v>
      </c>
    </row>
    <row r="2187" spans="2:6">
      <c r="B2187" s="183"/>
      <c r="C2187" s="183"/>
      <c r="D2187" s="183"/>
      <c r="E2187" s="71" t="s">
        <v>3968</v>
      </c>
      <c r="F2187" s="70" t="s">
        <v>3969</v>
      </c>
    </row>
    <row r="2188" spans="2:6">
      <c r="B2188" s="183"/>
      <c r="C2188" s="183"/>
      <c r="D2188" s="183"/>
      <c r="E2188" s="71" t="s">
        <v>2239</v>
      </c>
      <c r="F2188" s="170" t="s">
        <v>3970</v>
      </c>
    </row>
    <row r="2189" spans="2:6">
      <c r="B2189" s="113">
        <v>420</v>
      </c>
      <c r="C2189" s="95">
        <v>45216</v>
      </c>
      <c r="D2189" s="113" t="s">
        <v>2932</v>
      </c>
      <c r="E2189" s="184"/>
      <c r="F2189" s="185"/>
    </row>
    <row r="2190" spans="2:6">
      <c r="B2190" s="182"/>
      <c r="C2190" s="182"/>
      <c r="D2190" s="182"/>
      <c r="E2190" s="71" t="s">
        <v>3990</v>
      </c>
      <c r="F2190" s="70" t="s">
        <v>3991</v>
      </c>
    </row>
    <row r="2191" spans="2:6">
      <c r="B2191" s="183"/>
      <c r="C2191" s="183"/>
      <c r="D2191" s="183"/>
      <c r="E2191" s="71" t="s">
        <v>3992</v>
      </c>
      <c r="F2191" s="70" t="s">
        <v>3993</v>
      </c>
    </row>
    <row r="2192" spans="2:6">
      <c r="B2192" s="183"/>
      <c r="C2192" s="183"/>
      <c r="D2192" s="183"/>
      <c r="E2192" s="71" t="s">
        <v>3994</v>
      </c>
      <c r="F2192" s="70" t="s">
        <v>3995</v>
      </c>
    </row>
    <row r="2193" spans="2:6">
      <c r="B2193" s="183"/>
      <c r="C2193" s="183"/>
      <c r="D2193" s="183"/>
      <c r="E2193" s="71" t="s">
        <v>3996</v>
      </c>
      <c r="F2193" s="70" t="s">
        <v>3997</v>
      </c>
    </row>
    <row r="2194" spans="2:6">
      <c r="B2194" s="183"/>
      <c r="C2194" s="183"/>
      <c r="D2194" s="183"/>
      <c r="E2194" s="71" t="s">
        <v>3998</v>
      </c>
      <c r="F2194" s="70" t="s">
        <v>3999</v>
      </c>
    </row>
    <row r="2195" spans="2:6">
      <c r="B2195" s="183"/>
      <c r="C2195" s="183"/>
      <c r="D2195" s="183"/>
      <c r="E2195" s="71" t="s">
        <v>4000</v>
      </c>
      <c r="F2195" s="70" t="s">
        <v>4001</v>
      </c>
    </row>
    <row r="2196" spans="2:6">
      <c r="B2196" s="183"/>
      <c r="C2196" s="183"/>
      <c r="D2196" s="183"/>
      <c r="E2196" s="71" t="s">
        <v>4002</v>
      </c>
      <c r="F2196" s="70" t="s">
        <v>4003</v>
      </c>
    </row>
    <row r="2197" spans="2:6">
      <c r="B2197" s="183"/>
      <c r="C2197" s="183"/>
      <c r="D2197" s="183"/>
      <c r="E2197" s="71" t="s">
        <v>4004</v>
      </c>
      <c r="F2197" s="70" t="s">
        <v>4005</v>
      </c>
    </row>
    <row r="2198" spans="2:6">
      <c r="B2198" s="183"/>
      <c r="C2198" s="183"/>
      <c r="D2198" s="183"/>
      <c r="E2198" s="71" t="s">
        <v>4006</v>
      </c>
      <c r="F2198" s="70" t="s">
        <v>4007</v>
      </c>
    </row>
    <row r="2199" spans="2:6">
      <c r="B2199" s="183"/>
      <c r="C2199" s="183"/>
      <c r="D2199" s="183"/>
      <c r="E2199" s="71" t="s">
        <v>4008</v>
      </c>
      <c r="F2199" s="70" t="s">
        <v>4009</v>
      </c>
    </row>
    <row r="2200" spans="2:6">
      <c r="B2200" s="183"/>
      <c r="C2200" s="183"/>
      <c r="D2200" s="183"/>
      <c r="E2200" s="71" t="s">
        <v>4010</v>
      </c>
      <c r="F2200" s="70" t="s">
        <v>4011</v>
      </c>
    </row>
    <row r="2201" spans="2:6">
      <c r="B2201" s="183"/>
      <c r="C2201" s="183"/>
      <c r="D2201" s="183"/>
      <c r="E2201" s="71" t="s">
        <v>4012</v>
      </c>
      <c r="F2201" s="70" t="s">
        <v>4013</v>
      </c>
    </row>
    <row r="2202" spans="2:6">
      <c r="B2202" s="183"/>
      <c r="C2202" s="183"/>
      <c r="D2202" s="183"/>
      <c r="E2202" s="71" t="s">
        <v>4014</v>
      </c>
      <c r="F2202" s="70" t="s">
        <v>4015</v>
      </c>
    </row>
    <row r="2203" spans="2:6">
      <c r="B2203" s="183"/>
      <c r="C2203" s="183"/>
      <c r="D2203" s="183"/>
      <c r="E2203" s="71" t="s">
        <v>4016</v>
      </c>
      <c r="F2203" s="70" t="s">
        <v>4017</v>
      </c>
    </row>
    <row r="2204" spans="2:6">
      <c r="B2204" s="183"/>
      <c r="C2204" s="183"/>
      <c r="D2204" s="183"/>
      <c r="E2204" s="71" t="s">
        <v>4018</v>
      </c>
      <c r="F2204" s="70" t="s">
        <v>4019</v>
      </c>
    </row>
    <row r="2205" spans="2:6">
      <c r="B2205" s="113">
        <v>421</v>
      </c>
      <c r="C2205" s="95">
        <v>45219</v>
      </c>
      <c r="D2205" s="113" t="s">
        <v>685</v>
      </c>
      <c r="E2205" s="184"/>
      <c r="F2205" s="185"/>
    </row>
    <row r="2206" spans="2:6">
      <c r="B2206" s="183"/>
      <c r="C2206" s="183"/>
      <c r="D2206" s="183"/>
      <c r="E2206" s="71" t="s">
        <v>670</v>
      </c>
      <c r="F2206" s="70" t="s">
        <v>4021</v>
      </c>
    </row>
    <row r="2207" spans="2:6">
      <c r="B2207" s="183"/>
      <c r="C2207" s="183"/>
      <c r="D2207" s="183"/>
      <c r="E2207" s="71" t="s">
        <v>2828</v>
      </c>
      <c r="F2207" s="70" t="s">
        <v>4022</v>
      </c>
    </row>
    <row r="2208" spans="2:6">
      <c r="B2208" s="183"/>
      <c r="C2208" s="183"/>
      <c r="D2208" s="183"/>
      <c r="E2208" s="71" t="s">
        <v>1344</v>
      </c>
      <c r="F2208" s="70" t="s">
        <v>4023</v>
      </c>
    </row>
    <row r="2209" spans="2:6">
      <c r="B2209" s="183"/>
      <c r="C2209" s="183"/>
      <c r="D2209" s="183"/>
      <c r="E2209" s="71" t="s">
        <v>1342</v>
      </c>
      <c r="F2209" s="70" t="s">
        <v>4024</v>
      </c>
    </row>
    <row r="2210" spans="2:6">
      <c r="B2210" s="183"/>
      <c r="C2210" s="183"/>
      <c r="D2210" s="183"/>
      <c r="E2210" s="71" t="s">
        <v>1849</v>
      </c>
      <c r="F2210" s="70" t="s">
        <v>4025</v>
      </c>
    </row>
    <row r="2211" spans="2:6">
      <c r="B2211" s="183"/>
      <c r="C2211" s="183"/>
      <c r="D2211" s="183"/>
      <c r="E2211" s="71" t="s">
        <v>671</v>
      </c>
      <c r="F2211" s="70" t="s">
        <v>4026</v>
      </c>
    </row>
    <row r="2212" spans="2:6">
      <c r="B2212" s="183"/>
      <c r="C2212" s="183"/>
      <c r="D2212" s="183"/>
      <c r="E2212" s="71" t="s">
        <v>687</v>
      </c>
      <c r="F2212" s="70" t="s">
        <v>4027</v>
      </c>
    </row>
    <row r="2213" spans="2:6">
      <c r="B2213" s="183"/>
      <c r="C2213" s="183"/>
      <c r="D2213" s="183"/>
      <c r="E2213" s="71" t="s">
        <v>689</v>
      </c>
      <c r="F2213" s="70" t="s">
        <v>4028</v>
      </c>
    </row>
    <row r="2214" spans="2:6">
      <c r="B2214" s="183"/>
      <c r="C2214" s="183"/>
      <c r="D2214" s="183"/>
      <c r="E2214" s="71" t="s">
        <v>1326</v>
      </c>
      <c r="F2214" s="70" t="s">
        <v>4029</v>
      </c>
    </row>
    <row r="2215" spans="2:6">
      <c r="B2215" s="183"/>
      <c r="C2215" s="183"/>
      <c r="D2215" s="183"/>
      <c r="E2215" s="71" t="s">
        <v>1328</v>
      </c>
      <c r="F2215" s="70" t="s">
        <v>4030</v>
      </c>
    </row>
    <row r="2216" spans="2:6">
      <c r="B2216" s="183"/>
      <c r="C2216" s="183"/>
      <c r="D2216" s="183"/>
      <c r="E2216" s="71" t="s">
        <v>1330</v>
      </c>
      <c r="F2216" s="70" t="s">
        <v>4031</v>
      </c>
    </row>
    <row r="2217" spans="2:6">
      <c r="B2217" s="183"/>
      <c r="C2217" s="183"/>
      <c r="D2217" s="183"/>
      <c r="E2217" s="71" t="s">
        <v>1835</v>
      </c>
      <c r="F2217" s="70" t="s">
        <v>4032</v>
      </c>
    </row>
    <row r="2218" spans="2:6">
      <c r="B2218" s="183"/>
      <c r="C2218" s="183"/>
      <c r="D2218" s="183"/>
      <c r="E2218" s="71" t="s">
        <v>2823</v>
      </c>
      <c r="F2218" s="70" t="s">
        <v>4033</v>
      </c>
    </row>
    <row r="2219" spans="2:6">
      <c r="B2219" s="183"/>
      <c r="C2219" s="183"/>
      <c r="D2219" s="183"/>
      <c r="E2219" s="71" t="s">
        <v>691</v>
      </c>
      <c r="F2219" s="70" t="s">
        <v>4034</v>
      </c>
    </row>
    <row r="2220" spans="2:6">
      <c r="B2220" s="183"/>
      <c r="C2220" s="183"/>
      <c r="D2220" s="183"/>
      <c r="E2220" s="71" t="s">
        <v>693</v>
      </c>
      <c r="F2220" s="70" t="s">
        <v>4035</v>
      </c>
    </row>
    <row r="2221" spans="2:6">
      <c r="B2221" s="183"/>
      <c r="C2221" s="183"/>
      <c r="D2221" s="183"/>
      <c r="E2221" s="71" t="s">
        <v>1337</v>
      </c>
      <c r="F2221" s="70" t="s">
        <v>4036</v>
      </c>
    </row>
    <row r="2222" spans="2:6">
      <c r="B2222" s="183"/>
      <c r="C2222" s="183"/>
      <c r="D2222" s="183"/>
      <c r="E2222" s="71" t="s">
        <v>1336</v>
      </c>
      <c r="F2222" s="70" t="s">
        <v>4037</v>
      </c>
    </row>
    <row r="2223" spans="2:6">
      <c r="B2223" s="183"/>
      <c r="C2223" s="183"/>
      <c r="D2223" s="183"/>
      <c r="E2223" s="71" t="s">
        <v>1335</v>
      </c>
      <c r="F2223" s="70" t="s">
        <v>4038</v>
      </c>
    </row>
    <row r="2224" spans="2:6">
      <c r="B2224" s="183"/>
      <c r="C2224" s="183"/>
      <c r="D2224" s="183"/>
      <c r="E2224" s="71" t="s">
        <v>2137</v>
      </c>
      <c r="F2224" s="70" t="s">
        <v>4039</v>
      </c>
    </row>
    <row r="2225" spans="2:6">
      <c r="B2225" s="183"/>
      <c r="C2225" s="183"/>
      <c r="D2225" s="183"/>
      <c r="E2225" s="71" t="s">
        <v>2826</v>
      </c>
      <c r="F2225" s="70" t="s">
        <v>4040</v>
      </c>
    </row>
    <row r="2226" spans="2:6">
      <c r="B2226" s="183"/>
      <c r="C2226" s="183"/>
      <c r="D2226" s="183"/>
      <c r="E2226" s="71" t="s">
        <v>698</v>
      </c>
      <c r="F2226" s="70" t="s">
        <v>4041</v>
      </c>
    </row>
    <row r="2227" spans="2:6">
      <c r="B2227" s="183"/>
      <c r="C2227" s="183"/>
      <c r="D2227" s="183"/>
      <c r="E2227" s="71" t="s">
        <v>700</v>
      </c>
      <c r="F2227" s="179" t="s">
        <v>4042</v>
      </c>
    </row>
    <row r="2228" spans="2:6">
      <c r="B2228" s="183"/>
      <c r="C2228" s="183"/>
      <c r="D2228" s="183"/>
      <c r="E2228" s="71" t="s">
        <v>674</v>
      </c>
      <c r="F2228" s="70" t="s">
        <v>4043</v>
      </c>
    </row>
    <row r="2229" spans="2:6">
      <c r="B2229" s="183"/>
      <c r="C2229" s="183"/>
      <c r="D2229" s="183"/>
      <c r="E2229" s="71" t="s">
        <v>673</v>
      </c>
      <c r="F2229" s="70" t="s">
        <v>4044</v>
      </c>
    </row>
    <row r="2230" spans="2:6">
      <c r="B2230" s="183"/>
      <c r="C2230" s="183"/>
      <c r="D2230" s="183"/>
      <c r="E2230" s="71" t="s">
        <v>474</v>
      </c>
      <c r="F2230" s="70" t="s">
        <v>4045</v>
      </c>
    </row>
    <row r="2231" spans="2:6">
      <c r="B2231" s="183"/>
      <c r="C2231" s="183"/>
      <c r="D2231" s="183"/>
      <c r="E2231" s="71" t="s">
        <v>474</v>
      </c>
      <c r="F2231" s="70" t="s">
        <v>4046</v>
      </c>
    </row>
    <row r="2232" spans="2:6">
      <c r="B2232" s="183"/>
      <c r="C2232" s="183"/>
      <c r="D2232" s="183"/>
      <c r="E2232" s="71" t="s">
        <v>1218</v>
      </c>
      <c r="F2232" s="70" t="s">
        <v>4047</v>
      </c>
    </row>
    <row r="2233" spans="2:6">
      <c r="B2233" s="183"/>
      <c r="C2233" s="183"/>
      <c r="D2233" s="183"/>
      <c r="E2233" s="71" t="s">
        <v>676</v>
      </c>
      <c r="F2233" s="70" t="s">
        <v>4048</v>
      </c>
    </row>
    <row r="2234" spans="2:6">
      <c r="B2234" s="183"/>
      <c r="C2234" s="183"/>
      <c r="D2234" s="183"/>
      <c r="E2234" s="71" t="s">
        <v>677</v>
      </c>
      <c r="F2234" s="70" t="s">
        <v>4049</v>
      </c>
    </row>
    <row r="2235" spans="2:6">
      <c r="B2235" s="183"/>
      <c r="C2235" s="183"/>
      <c r="D2235" s="183"/>
      <c r="E2235" s="71" t="s">
        <v>938</v>
      </c>
      <c r="F2235" s="70" t="s">
        <v>4050</v>
      </c>
    </row>
    <row r="2236" spans="2:6">
      <c r="B2236" s="113">
        <v>422</v>
      </c>
      <c r="C2236" s="95">
        <v>45219</v>
      </c>
      <c r="D2236" s="113" t="s">
        <v>814</v>
      </c>
      <c r="E2236" s="184"/>
      <c r="F2236" s="185"/>
    </row>
    <row r="2237" spans="2:6">
      <c r="B2237" s="182"/>
      <c r="C2237" s="182"/>
      <c r="D2237" s="182"/>
      <c r="E2237" s="71" t="s">
        <v>3510</v>
      </c>
      <c r="F2237" s="70" t="s">
        <v>4056</v>
      </c>
    </row>
    <row r="2238" spans="2:6">
      <c r="B2238" s="183"/>
      <c r="C2238" s="183"/>
      <c r="D2238" s="183"/>
      <c r="E2238" s="71" t="s">
        <v>3763</v>
      </c>
      <c r="F2238" s="70" t="s">
        <v>4057</v>
      </c>
    </row>
    <row r="2239" spans="2:6">
      <c r="B2239" s="183"/>
      <c r="C2239" s="183"/>
      <c r="D2239" s="183"/>
      <c r="E2239" s="71" t="s">
        <v>824</v>
      </c>
      <c r="F2239" s="70" t="s">
        <v>4058</v>
      </c>
    </row>
    <row r="2240" spans="2:6">
      <c r="B2240" s="183"/>
      <c r="C2240" s="183"/>
      <c r="D2240" s="183"/>
      <c r="E2240" s="71" t="s">
        <v>826</v>
      </c>
      <c r="F2240" s="70" t="s">
        <v>4059</v>
      </c>
    </row>
    <row r="2241" spans="2:6">
      <c r="B2241" s="183"/>
      <c r="C2241" s="183"/>
      <c r="D2241" s="183"/>
      <c r="E2241" s="71" t="s">
        <v>828</v>
      </c>
      <c r="F2241" s="70" t="s">
        <v>4060</v>
      </c>
    </row>
    <row r="2242" spans="2:6">
      <c r="B2242" s="183"/>
      <c r="C2242" s="183"/>
      <c r="D2242" s="183"/>
      <c r="E2242" s="71" t="s">
        <v>830</v>
      </c>
      <c r="F2242" s="70" t="s">
        <v>4061</v>
      </c>
    </row>
    <row r="2243" spans="2:6">
      <c r="B2243" s="183"/>
      <c r="C2243" s="183"/>
      <c r="D2243" s="183"/>
      <c r="E2243" s="71" t="s">
        <v>1311</v>
      </c>
      <c r="F2243" s="70" t="s">
        <v>4062</v>
      </c>
    </row>
    <row r="2244" spans="2:6">
      <c r="B2244" s="183"/>
      <c r="C2244" s="183"/>
      <c r="D2244" s="183"/>
      <c r="E2244" s="71" t="s">
        <v>1312</v>
      </c>
      <c r="F2244" s="70" t="s">
        <v>4063</v>
      </c>
    </row>
    <row r="2245" spans="2:6">
      <c r="B2245" s="183"/>
      <c r="C2245" s="183"/>
      <c r="D2245" s="183"/>
      <c r="E2245" s="71" t="s">
        <v>1313</v>
      </c>
      <c r="F2245" s="70" t="s">
        <v>4064</v>
      </c>
    </row>
    <row r="2246" spans="2:6">
      <c r="B2246" s="183"/>
      <c r="C2246" s="183"/>
      <c r="D2246" s="183"/>
      <c r="E2246" s="71" t="s">
        <v>1314</v>
      </c>
      <c r="F2246" s="70" t="s">
        <v>4065</v>
      </c>
    </row>
    <row r="2247" spans="2:6">
      <c r="B2247" s="183"/>
      <c r="C2247" s="183"/>
      <c r="D2247" s="183"/>
      <c r="E2247" s="71" t="s">
        <v>1315</v>
      </c>
      <c r="F2247" s="70" t="s">
        <v>4066</v>
      </c>
    </row>
    <row r="2248" spans="2:6">
      <c r="B2248" s="183"/>
      <c r="C2248" s="183"/>
      <c r="D2248" s="183"/>
      <c r="E2248" s="71" t="s">
        <v>714</v>
      </c>
      <c r="F2248" s="70" t="s">
        <v>4067</v>
      </c>
    </row>
    <row r="2249" spans="2:6">
      <c r="B2249" s="113">
        <v>423</v>
      </c>
      <c r="C2249" s="95">
        <v>45222</v>
      </c>
      <c r="D2249" s="113" t="s">
        <v>2932</v>
      </c>
      <c r="E2249" s="184"/>
      <c r="F2249" s="185"/>
    </row>
    <row r="2250" spans="2:6">
      <c r="B2250" s="146"/>
      <c r="C2250" s="146"/>
      <c r="D2250" s="146"/>
      <c r="E2250" s="71" t="s">
        <v>4072</v>
      </c>
      <c r="F2250" s="70" t="s">
        <v>4005</v>
      </c>
    </row>
    <row r="2251" spans="2:6">
      <c r="B2251" s="113">
        <v>424</v>
      </c>
      <c r="C2251" s="95">
        <v>45231</v>
      </c>
      <c r="D2251" s="113" t="s">
        <v>466</v>
      </c>
      <c r="E2251" s="184"/>
      <c r="F2251" s="185"/>
    </row>
    <row r="2252" spans="2:6">
      <c r="B2252" s="183"/>
      <c r="C2252" s="183"/>
      <c r="D2252" s="183"/>
      <c r="E2252" s="71" t="s">
        <v>4074</v>
      </c>
      <c r="F2252" s="70" t="s">
        <v>4075</v>
      </c>
    </row>
    <row r="2253" spans="2:6">
      <c r="B2253" s="183"/>
      <c r="C2253" s="183"/>
      <c r="D2253" s="183"/>
      <c r="E2253" s="71" t="s">
        <v>4076</v>
      </c>
      <c r="F2253" s="170" t="s">
        <v>4077</v>
      </c>
    </row>
    <row r="2254" spans="2:6">
      <c r="B2254" s="113">
        <v>425</v>
      </c>
      <c r="C2254" s="95">
        <v>45236</v>
      </c>
      <c r="D2254" s="113" t="s">
        <v>415</v>
      </c>
      <c r="E2254" s="184"/>
      <c r="F2254" s="185"/>
    </row>
    <row r="2255" spans="2:6">
      <c r="B2255" s="183"/>
      <c r="C2255" s="183"/>
      <c r="D2255" s="183"/>
      <c r="E2255" s="71" t="s">
        <v>4079</v>
      </c>
      <c r="F2255" s="70" t="s">
        <v>4080</v>
      </c>
    </row>
    <row r="2256" spans="2:6">
      <c r="B2256" s="183"/>
      <c r="C2256" s="183"/>
      <c r="D2256" s="183"/>
      <c r="E2256" s="71" t="s">
        <v>4081</v>
      </c>
      <c r="F2256" s="70" t="s">
        <v>4082</v>
      </c>
    </row>
    <row r="2257" spans="2:6">
      <c r="B2257" s="183"/>
      <c r="C2257" s="183"/>
      <c r="D2257" s="183"/>
      <c r="E2257" s="71" t="s">
        <v>4083</v>
      </c>
      <c r="F2257" s="70" t="s">
        <v>4084</v>
      </c>
    </row>
    <row r="2258" spans="2:6">
      <c r="B2258" s="183"/>
      <c r="C2258" s="183"/>
      <c r="D2258" s="183"/>
      <c r="E2258" s="71" t="s">
        <v>4085</v>
      </c>
      <c r="F2258" s="70" t="s">
        <v>4086</v>
      </c>
    </row>
    <row r="2259" spans="2:6">
      <c r="B2259" s="183"/>
      <c r="C2259" s="183"/>
      <c r="D2259" s="183"/>
      <c r="E2259" s="71" t="s">
        <v>4087</v>
      </c>
      <c r="F2259" s="70" t="s">
        <v>4088</v>
      </c>
    </row>
    <row r="2260" spans="2:6">
      <c r="B2260" s="183"/>
      <c r="C2260" s="183"/>
      <c r="D2260" s="183"/>
      <c r="E2260" s="71" t="s">
        <v>4089</v>
      </c>
      <c r="F2260" s="70" t="s">
        <v>4090</v>
      </c>
    </row>
    <row r="2261" spans="2:6">
      <c r="B2261" s="183"/>
      <c r="C2261" s="183"/>
      <c r="D2261" s="183"/>
      <c r="E2261" s="71" t="s">
        <v>4091</v>
      </c>
      <c r="F2261" s="70" t="s">
        <v>4092</v>
      </c>
    </row>
    <row r="2262" spans="2:6">
      <c r="B2262" s="183"/>
      <c r="C2262" s="183"/>
      <c r="D2262" s="183"/>
      <c r="E2262" s="71" t="s">
        <v>4093</v>
      </c>
      <c r="F2262" s="70" t="s">
        <v>4094</v>
      </c>
    </row>
    <row r="2263" spans="2:6">
      <c r="B2263" s="183"/>
      <c r="C2263" s="183"/>
      <c r="D2263" s="183"/>
      <c r="E2263" s="71" t="s">
        <v>4095</v>
      </c>
      <c r="F2263" s="70" t="s">
        <v>4096</v>
      </c>
    </row>
    <row r="2264" spans="2:6">
      <c r="B2264" s="183"/>
      <c r="C2264" s="183"/>
      <c r="D2264" s="183"/>
      <c r="E2264" s="71" t="s">
        <v>4097</v>
      </c>
      <c r="F2264" s="170" t="s">
        <v>4098</v>
      </c>
    </row>
    <row r="2265" spans="2:6">
      <c r="B2265" s="183"/>
      <c r="C2265" s="183"/>
      <c r="D2265" s="183"/>
      <c r="E2265" s="71" t="s">
        <v>4099</v>
      </c>
      <c r="F2265" s="170" t="s">
        <v>4100</v>
      </c>
    </row>
    <row r="2266" spans="2:6">
      <c r="B2266" s="113">
        <v>426</v>
      </c>
      <c r="C2266" s="95">
        <v>45237</v>
      </c>
      <c r="D2266" s="113" t="s">
        <v>4124</v>
      </c>
      <c r="E2266" s="184"/>
      <c r="F2266" s="185"/>
    </row>
    <row r="2267" spans="2:6">
      <c r="B2267" s="183"/>
      <c r="C2267" s="183"/>
      <c r="D2267" s="183"/>
      <c r="E2267" s="71" t="s">
        <v>50</v>
      </c>
      <c r="F2267" s="70" t="s">
        <v>4101</v>
      </c>
    </row>
    <row r="2268" spans="2:6">
      <c r="B2268" s="183"/>
      <c r="C2268" s="183"/>
      <c r="D2268" s="183"/>
      <c r="E2268" s="71" t="s">
        <v>50</v>
      </c>
      <c r="F2268" s="70" t="s">
        <v>4102</v>
      </c>
    </row>
    <row r="2269" spans="2:6">
      <c r="B2269" s="183"/>
      <c r="C2269" s="183"/>
      <c r="D2269" s="183"/>
      <c r="E2269" s="71" t="s">
        <v>50</v>
      </c>
      <c r="F2269" s="70" t="s">
        <v>4103</v>
      </c>
    </row>
    <row r="2270" spans="2:6">
      <c r="B2270" s="183"/>
      <c r="C2270" s="183"/>
      <c r="D2270" s="183"/>
      <c r="E2270" s="71" t="s">
        <v>50</v>
      </c>
      <c r="F2270" s="70" t="s">
        <v>4104</v>
      </c>
    </row>
    <row r="2271" spans="2:6">
      <c r="B2271" s="183"/>
      <c r="C2271" s="183"/>
      <c r="D2271" s="183"/>
      <c r="E2271" s="71" t="s">
        <v>50</v>
      </c>
      <c r="F2271" s="70" t="s">
        <v>4105</v>
      </c>
    </row>
    <row r="2272" spans="2:6">
      <c r="B2272" s="183"/>
      <c r="C2272" s="183"/>
      <c r="D2272" s="183"/>
      <c r="E2272" s="71" t="s">
        <v>50</v>
      </c>
      <c r="F2272" s="70" t="s">
        <v>4106</v>
      </c>
    </row>
    <row r="2273" spans="2:6">
      <c r="B2273" s="183"/>
      <c r="C2273" s="183"/>
      <c r="D2273" s="183"/>
      <c r="E2273" s="71" t="s">
        <v>50</v>
      </c>
      <c r="F2273" s="70" t="s">
        <v>4107</v>
      </c>
    </row>
    <row r="2274" spans="2:6">
      <c r="B2274" s="183"/>
      <c r="C2274" s="183"/>
      <c r="D2274" s="183"/>
      <c r="E2274" s="71" t="s">
        <v>50</v>
      </c>
      <c r="F2274" s="70" t="s">
        <v>4108</v>
      </c>
    </row>
    <row r="2275" spans="2:6">
      <c r="B2275" s="183"/>
      <c r="C2275" s="183"/>
      <c r="D2275" s="183"/>
      <c r="E2275" s="71" t="s">
        <v>50</v>
      </c>
      <c r="F2275" s="70" t="s">
        <v>4109</v>
      </c>
    </row>
    <row r="2276" spans="2:6">
      <c r="B2276" s="183"/>
      <c r="C2276" s="183"/>
      <c r="D2276" s="183"/>
      <c r="E2276" s="71" t="s">
        <v>50</v>
      </c>
      <c r="F2276" s="70" t="s">
        <v>4110</v>
      </c>
    </row>
    <row r="2277" spans="2:6">
      <c r="B2277" s="183"/>
      <c r="C2277" s="183"/>
      <c r="D2277" s="183"/>
      <c r="E2277" s="71" t="s">
        <v>50</v>
      </c>
      <c r="F2277" s="70" t="s">
        <v>4111</v>
      </c>
    </row>
    <row r="2278" spans="2:6">
      <c r="B2278" s="183"/>
      <c r="C2278" s="183"/>
      <c r="D2278" s="183"/>
      <c r="E2278" s="71" t="s">
        <v>50</v>
      </c>
      <c r="F2278" s="170" t="s">
        <v>4112</v>
      </c>
    </row>
    <row r="2279" spans="2:6">
      <c r="B2279" s="183"/>
      <c r="C2279" s="183"/>
      <c r="D2279" s="183"/>
      <c r="E2279" s="71" t="s">
        <v>50</v>
      </c>
      <c r="F2279" s="170" t="s">
        <v>4113</v>
      </c>
    </row>
    <row r="2280" spans="2:6">
      <c r="B2280" s="113">
        <v>427</v>
      </c>
      <c r="C2280" s="95">
        <v>45250</v>
      </c>
      <c r="D2280" s="113" t="s">
        <v>4124</v>
      </c>
      <c r="E2280" s="184"/>
      <c r="F2280" s="185"/>
    </row>
    <row r="2281" spans="2:6">
      <c r="B2281" s="183"/>
      <c r="C2281" s="183"/>
      <c r="D2281" s="183"/>
      <c r="E2281" s="71" t="s">
        <v>50</v>
      </c>
      <c r="F2281" s="70" t="s">
        <v>4125</v>
      </c>
    </row>
    <row r="2282" spans="2:6">
      <c r="B2282" s="183"/>
      <c r="C2282" s="183"/>
      <c r="D2282" s="183"/>
      <c r="E2282" s="71" t="s">
        <v>50</v>
      </c>
      <c r="F2282" s="70" t="s">
        <v>4126</v>
      </c>
    </row>
    <row r="2283" spans="2:6">
      <c r="B2283" s="183"/>
      <c r="C2283" s="183"/>
      <c r="D2283" s="183"/>
      <c r="E2283" s="71" t="s">
        <v>50</v>
      </c>
      <c r="F2283" s="70" t="s">
        <v>4127</v>
      </c>
    </row>
    <row r="2284" spans="2:6">
      <c r="B2284" s="183"/>
      <c r="C2284" s="183"/>
      <c r="D2284" s="183"/>
      <c r="E2284" s="71" t="s">
        <v>50</v>
      </c>
      <c r="F2284" s="70" t="s">
        <v>4128</v>
      </c>
    </row>
    <row r="2285" spans="2:6">
      <c r="B2285" s="183"/>
      <c r="C2285" s="183"/>
      <c r="D2285" s="183"/>
      <c r="E2285" s="71" t="s">
        <v>50</v>
      </c>
      <c r="F2285" s="70" t="s">
        <v>4129</v>
      </c>
    </row>
    <row r="2286" spans="2:6">
      <c r="B2286" s="183"/>
      <c r="C2286" s="183"/>
      <c r="D2286" s="183"/>
      <c r="E2286" s="71" t="s">
        <v>50</v>
      </c>
      <c r="F2286" s="70" t="s">
        <v>4130</v>
      </c>
    </row>
    <row r="2287" spans="2:6">
      <c r="B2287" s="183"/>
      <c r="C2287" s="183"/>
      <c r="D2287" s="183"/>
      <c r="E2287" s="71" t="s">
        <v>50</v>
      </c>
      <c r="F2287" s="70" t="s">
        <v>4131</v>
      </c>
    </row>
    <row r="2288" spans="2:6">
      <c r="B2288" s="183"/>
      <c r="C2288" s="183"/>
      <c r="D2288" s="183"/>
      <c r="E2288" s="71" t="s">
        <v>50</v>
      </c>
      <c r="F2288" s="70" t="s">
        <v>4132</v>
      </c>
    </row>
    <row r="2289" spans="2:6">
      <c r="B2289" s="183"/>
      <c r="C2289" s="183"/>
      <c r="D2289" s="183"/>
      <c r="E2289" s="71" t="s">
        <v>50</v>
      </c>
      <c r="F2289" s="70" t="s">
        <v>4133</v>
      </c>
    </row>
    <row r="2290" spans="2:6">
      <c r="B2290" s="183"/>
      <c r="C2290" s="183"/>
      <c r="D2290" s="183"/>
      <c r="E2290" s="71" t="s">
        <v>50</v>
      </c>
      <c r="F2290" s="70" t="s">
        <v>4144</v>
      </c>
    </row>
    <row r="2291" spans="2:6">
      <c r="B2291" s="183"/>
      <c r="C2291" s="183"/>
      <c r="D2291" s="183"/>
      <c r="E2291" s="71" t="s">
        <v>50</v>
      </c>
      <c r="F2291" s="70" t="s">
        <v>4134</v>
      </c>
    </row>
    <row r="2292" spans="2:6">
      <c r="B2292" s="113">
        <v>428</v>
      </c>
      <c r="C2292" s="95">
        <v>45258</v>
      </c>
      <c r="D2292" s="113" t="s">
        <v>4124</v>
      </c>
      <c r="E2292" s="184"/>
      <c r="F2292" s="185"/>
    </row>
    <row r="2293" spans="2:6">
      <c r="B2293" s="183"/>
      <c r="C2293" s="183"/>
      <c r="D2293" s="183"/>
      <c r="E2293" s="71" t="s">
        <v>50</v>
      </c>
      <c r="F2293" s="70" t="s">
        <v>4137</v>
      </c>
    </row>
    <row r="2294" spans="2:6">
      <c r="B2294" s="183"/>
      <c r="C2294" s="183"/>
      <c r="D2294" s="183"/>
      <c r="E2294" s="71" t="s">
        <v>50</v>
      </c>
      <c r="F2294" s="70" t="s">
        <v>4138</v>
      </c>
    </row>
    <row r="2295" spans="2:6">
      <c r="B2295" s="183"/>
      <c r="C2295" s="183"/>
      <c r="D2295" s="183"/>
      <c r="E2295" s="71" t="s">
        <v>50</v>
      </c>
      <c r="F2295" s="70" t="s">
        <v>4139</v>
      </c>
    </row>
    <row r="2296" spans="2:6">
      <c r="B2296" s="113">
        <v>429</v>
      </c>
      <c r="C2296" s="95">
        <v>45261</v>
      </c>
      <c r="D2296" s="113" t="s">
        <v>4124</v>
      </c>
      <c r="E2296" s="184"/>
      <c r="F2296" s="185"/>
    </row>
    <row r="2297" spans="2:6">
      <c r="B2297" s="146"/>
      <c r="C2297" s="146"/>
      <c r="D2297" s="146"/>
      <c r="E2297" s="71" t="s">
        <v>50</v>
      </c>
      <c r="F2297" s="70" t="s">
        <v>4146</v>
      </c>
    </row>
    <row r="2298" spans="2:6">
      <c r="B2298" s="113">
        <v>430</v>
      </c>
      <c r="C2298" s="95">
        <v>45271</v>
      </c>
      <c r="D2298" s="113" t="s">
        <v>268</v>
      </c>
      <c r="E2298" s="184"/>
      <c r="F2298" s="185"/>
    </row>
    <row r="2299" spans="2:6">
      <c r="B2299" s="183"/>
      <c r="C2299" s="183"/>
      <c r="D2299" s="183"/>
      <c r="E2299" s="71" t="s">
        <v>1653</v>
      </c>
      <c r="F2299" s="70" t="s">
        <v>4147</v>
      </c>
    </row>
    <row r="2300" spans="2:6">
      <c r="B2300" s="183"/>
      <c r="C2300" s="183"/>
      <c r="D2300" s="183"/>
      <c r="E2300" s="71" t="s">
        <v>4148</v>
      </c>
      <c r="F2300" s="70" t="s">
        <v>4149</v>
      </c>
    </row>
    <row r="2301" spans="2:6">
      <c r="B2301" s="183"/>
      <c r="C2301" s="183"/>
      <c r="D2301" s="183"/>
      <c r="E2301" s="71" t="s">
        <v>1650</v>
      </c>
      <c r="F2301" s="70" t="s">
        <v>4150</v>
      </c>
    </row>
    <row r="2302" spans="2:6">
      <c r="B2302" s="113">
        <v>431</v>
      </c>
      <c r="C2302" s="95">
        <v>45271</v>
      </c>
      <c r="D2302" s="113" t="s">
        <v>4155</v>
      </c>
      <c r="E2302" s="184"/>
      <c r="F2302" s="185"/>
    </row>
    <row r="2303" spans="2:6">
      <c r="B2303" s="183"/>
      <c r="C2303" s="183"/>
      <c r="D2303" s="183"/>
      <c r="E2303" s="71" t="s">
        <v>50</v>
      </c>
      <c r="F2303" s="70" t="s">
        <v>4156</v>
      </c>
    </row>
    <row r="2304" spans="2:6">
      <c r="B2304" s="183"/>
      <c r="C2304" s="183"/>
      <c r="D2304" s="183"/>
      <c r="E2304" s="71" t="s">
        <v>50</v>
      </c>
      <c r="F2304" s="70" t="s">
        <v>4157</v>
      </c>
    </row>
    <row r="2305" spans="2:6">
      <c r="B2305" s="183"/>
      <c r="C2305" s="183"/>
      <c r="D2305" s="183"/>
      <c r="E2305" s="71" t="s">
        <v>50</v>
      </c>
      <c r="F2305" s="70" t="s">
        <v>4158</v>
      </c>
    </row>
    <row r="2306" spans="2:6">
      <c r="B2306" s="183"/>
      <c r="C2306" s="183"/>
      <c r="D2306" s="183"/>
      <c r="E2306" s="71" t="s">
        <v>50</v>
      </c>
      <c r="F2306" s="70" t="s">
        <v>4159</v>
      </c>
    </row>
    <row r="2307" spans="2:6">
      <c r="B2307" s="183"/>
      <c r="C2307" s="183"/>
      <c r="D2307" s="183"/>
      <c r="E2307" s="71" t="s">
        <v>50</v>
      </c>
      <c r="F2307" s="70" t="s">
        <v>4160</v>
      </c>
    </row>
    <row r="2308" spans="2:6">
      <c r="B2308" s="183"/>
      <c r="C2308" s="183"/>
      <c r="D2308" s="183"/>
      <c r="E2308" s="71" t="s">
        <v>50</v>
      </c>
      <c r="F2308" s="70" t="s">
        <v>4161</v>
      </c>
    </row>
    <row r="2309" spans="2:6">
      <c r="B2309" s="183"/>
      <c r="C2309" s="183"/>
      <c r="D2309" s="183"/>
      <c r="E2309" s="71" t="s">
        <v>50</v>
      </c>
      <c r="F2309" s="70" t="s">
        <v>4162</v>
      </c>
    </row>
    <row r="2310" spans="2:6">
      <c r="B2310" s="113">
        <v>432</v>
      </c>
      <c r="C2310" s="95">
        <v>45271</v>
      </c>
      <c r="D2310" s="113" t="s">
        <v>814</v>
      </c>
      <c r="E2310" s="184"/>
      <c r="F2310" s="185"/>
    </row>
    <row r="2311" spans="2:6">
      <c r="B2311" s="183"/>
      <c r="C2311" s="183"/>
      <c r="D2311" s="183"/>
      <c r="E2311" s="71" t="s">
        <v>50</v>
      </c>
      <c r="F2311" s="70" t="s">
        <v>4172</v>
      </c>
    </row>
    <row r="2312" spans="2:6">
      <c r="B2312" s="183"/>
      <c r="C2312" s="183"/>
      <c r="D2312" s="183"/>
      <c r="E2312" s="71" t="s">
        <v>50</v>
      </c>
      <c r="F2312" s="70" t="s">
        <v>4171</v>
      </c>
    </row>
    <row r="2313" spans="2:6">
      <c r="B2313" s="183"/>
      <c r="C2313" s="183"/>
      <c r="D2313" s="183"/>
      <c r="E2313" s="71" t="s">
        <v>50</v>
      </c>
      <c r="F2313" s="70" t="s">
        <v>4173</v>
      </c>
    </row>
    <row r="2314" spans="2:6">
      <c r="B2314" s="183"/>
      <c r="C2314" s="183"/>
      <c r="D2314" s="183"/>
      <c r="E2314" s="71" t="s">
        <v>50</v>
      </c>
      <c r="F2314" s="70" t="s">
        <v>4174</v>
      </c>
    </row>
    <row r="2315" spans="2:6">
      <c r="B2315" s="183"/>
      <c r="C2315" s="183"/>
      <c r="D2315" s="183"/>
      <c r="E2315" s="71" t="s">
        <v>50</v>
      </c>
      <c r="F2315" s="70" t="s">
        <v>4175</v>
      </c>
    </row>
    <row r="2316" spans="2:6">
      <c r="B2316" s="183"/>
      <c r="C2316" s="183"/>
      <c r="D2316" s="183"/>
      <c r="E2316" s="71" t="s">
        <v>50</v>
      </c>
      <c r="F2316" s="70" t="s">
        <v>4176</v>
      </c>
    </row>
    <row r="2317" spans="2:6">
      <c r="B2317" s="113">
        <v>433</v>
      </c>
      <c r="C2317" s="95">
        <v>45271</v>
      </c>
      <c r="D2317" s="113" t="s">
        <v>4124</v>
      </c>
      <c r="E2317" s="184"/>
      <c r="F2317" s="185"/>
    </row>
    <row r="2318" spans="2:6">
      <c r="B2318" s="146"/>
      <c r="C2318" s="146"/>
      <c r="D2318" s="146"/>
      <c r="E2318" s="71" t="s">
        <v>50</v>
      </c>
      <c r="F2318" s="70" t="s">
        <v>4177</v>
      </c>
    </row>
    <row r="2319" spans="2:6">
      <c r="B2319" s="113">
        <v>434</v>
      </c>
      <c r="C2319" s="95">
        <v>45281</v>
      </c>
      <c r="D2319" s="113" t="s">
        <v>4155</v>
      </c>
      <c r="E2319" s="184"/>
      <c r="F2319" s="185"/>
    </row>
    <row r="2320" spans="2:6">
      <c r="B2320" s="183"/>
      <c r="C2320" s="183"/>
      <c r="D2320" s="183"/>
      <c r="E2320" s="71" t="s">
        <v>50</v>
      </c>
      <c r="F2320" s="70" t="s">
        <v>4179</v>
      </c>
    </row>
    <row r="2321" spans="2:6">
      <c r="B2321" s="183"/>
      <c r="C2321" s="183"/>
      <c r="D2321" s="183"/>
      <c r="E2321" s="71" t="s">
        <v>50</v>
      </c>
      <c r="F2321" s="70" t="s">
        <v>4180</v>
      </c>
    </row>
    <row r="2322" spans="2:6">
      <c r="B2322" s="183"/>
      <c r="C2322" s="183"/>
      <c r="D2322" s="183"/>
      <c r="E2322" s="71" t="s">
        <v>50</v>
      </c>
      <c r="F2322" s="70" t="s">
        <v>4181</v>
      </c>
    </row>
    <row r="2323" spans="2:6">
      <c r="B2323" s="183"/>
      <c r="C2323" s="183"/>
      <c r="D2323" s="183"/>
      <c r="E2323" s="71" t="s">
        <v>50</v>
      </c>
      <c r="F2323" s="70" t="s">
        <v>4182</v>
      </c>
    </row>
    <row r="2324" spans="2:6">
      <c r="B2324" s="183"/>
      <c r="C2324" s="183"/>
      <c r="D2324" s="183"/>
      <c r="E2324" s="71" t="s">
        <v>50</v>
      </c>
      <c r="F2324" s="70" t="s">
        <v>4183</v>
      </c>
    </row>
    <row r="2325" spans="2:6">
      <c r="B2325" s="183"/>
      <c r="C2325" s="183"/>
      <c r="D2325" s="183"/>
      <c r="E2325" s="71" t="s">
        <v>50</v>
      </c>
      <c r="F2325" s="70" t="s">
        <v>4184</v>
      </c>
    </row>
    <row r="2326" spans="2:6">
      <c r="B2326" s="183"/>
      <c r="C2326" s="183"/>
      <c r="D2326" s="183"/>
      <c r="E2326" s="71" t="s">
        <v>50</v>
      </c>
      <c r="F2326" s="70" t="s">
        <v>4185</v>
      </c>
    </row>
    <row r="2327" spans="2:6">
      <c r="B2327" s="113">
        <v>435</v>
      </c>
      <c r="C2327" s="95">
        <v>45293</v>
      </c>
      <c r="D2327" s="113" t="s">
        <v>4155</v>
      </c>
      <c r="E2327" s="184"/>
      <c r="F2327" s="185"/>
    </row>
    <row r="2328" spans="2:6">
      <c r="B2328" s="183"/>
      <c r="C2328" s="183"/>
      <c r="D2328" s="183"/>
      <c r="E2328" s="71" t="s">
        <v>4187</v>
      </c>
      <c r="F2328" s="70" t="s">
        <v>4188</v>
      </c>
    </row>
    <row r="2329" spans="2:6">
      <c r="B2329" s="183"/>
      <c r="C2329" s="183"/>
      <c r="D2329" s="183"/>
      <c r="E2329" s="71" t="s">
        <v>4189</v>
      </c>
      <c r="F2329" s="70" t="s">
        <v>4190</v>
      </c>
    </row>
    <row r="2330" spans="2:6">
      <c r="B2330" s="183"/>
      <c r="C2330" s="183"/>
      <c r="D2330" s="183"/>
      <c r="E2330" s="71" t="s">
        <v>4191</v>
      </c>
      <c r="F2330" s="70" t="s">
        <v>4192</v>
      </c>
    </row>
    <row r="2331" spans="2:6">
      <c r="B2331" s="183"/>
      <c r="C2331" s="183"/>
      <c r="D2331" s="183"/>
      <c r="E2331" s="71" t="s">
        <v>4193</v>
      </c>
      <c r="F2331" s="70" t="s">
        <v>4194</v>
      </c>
    </row>
    <row r="2332" spans="2:6">
      <c r="B2332" s="183"/>
      <c r="C2332" s="183"/>
      <c r="D2332" s="183"/>
      <c r="E2332" s="71" t="s">
        <v>4195</v>
      </c>
      <c r="F2332" s="70" t="s">
        <v>4196</v>
      </c>
    </row>
    <row r="2333" spans="2:6">
      <c r="B2333" s="183"/>
      <c r="C2333" s="183"/>
      <c r="D2333" s="183"/>
      <c r="E2333" s="71" t="s">
        <v>4197</v>
      </c>
      <c r="F2333" s="70" t="s">
        <v>4198</v>
      </c>
    </row>
    <row r="2334" spans="2:6">
      <c r="B2334" s="183"/>
      <c r="C2334" s="183"/>
      <c r="D2334" s="183"/>
      <c r="E2334" s="71" t="s">
        <v>4199</v>
      </c>
      <c r="F2334" s="70" t="s">
        <v>4200</v>
      </c>
    </row>
    <row r="2335" spans="2:6">
      <c r="B2335" s="113">
        <v>436</v>
      </c>
      <c r="C2335" s="95">
        <v>45307</v>
      </c>
      <c r="D2335" s="113" t="s">
        <v>466</v>
      </c>
      <c r="E2335" s="184"/>
      <c r="F2335" s="185"/>
    </row>
    <row r="2336" spans="2:6">
      <c r="B2336" s="183"/>
      <c r="C2336" s="183"/>
      <c r="D2336" s="183"/>
      <c r="E2336" s="71" t="s">
        <v>4204</v>
      </c>
      <c r="F2336" s="70" t="s">
        <v>4205</v>
      </c>
    </row>
    <row r="2337" spans="2:6">
      <c r="B2337" s="183"/>
      <c r="C2337" s="183"/>
      <c r="D2337" s="183"/>
      <c r="E2337" s="71" t="s">
        <v>4206</v>
      </c>
      <c r="F2337" s="70" t="s">
        <v>4207</v>
      </c>
    </row>
    <row r="2338" spans="2:6">
      <c r="B2338" s="183"/>
      <c r="C2338" s="183"/>
      <c r="D2338" s="183"/>
      <c r="E2338" s="71" t="s">
        <v>4208</v>
      </c>
      <c r="F2338" s="70" t="s">
        <v>4209</v>
      </c>
    </row>
    <row r="2339" spans="2:6">
      <c r="B2339" s="183"/>
      <c r="C2339" s="183"/>
      <c r="D2339" s="183"/>
      <c r="E2339" s="71" t="s">
        <v>4210</v>
      </c>
      <c r="F2339" s="170" t="s">
        <v>4211</v>
      </c>
    </row>
    <row r="2340" spans="2:6">
      <c r="B2340" s="113">
        <v>437</v>
      </c>
      <c r="C2340" s="95">
        <v>45310</v>
      </c>
      <c r="D2340" s="113" t="s">
        <v>268</v>
      </c>
      <c r="E2340" s="184"/>
      <c r="F2340" s="185"/>
    </row>
    <row r="2341" spans="2:6">
      <c r="B2341" s="146"/>
      <c r="C2341" s="146"/>
      <c r="D2341" s="146"/>
      <c r="E2341" s="71" t="s">
        <v>4214</v>
      </c>
      <c r="F2341" s="70" t="s">
        <v>4216</v>
      </c>
    </row>
    <row r="2342" spans="2:6">
      <c r="B2342" s="113">
        <v>438</v>
      </c>
      <c r="C2342" s="95">
        <v>45314</v>
      </c>
      <c r="D2342" s="113" t="s">
        <v>217</v>
      </c>
      <c r="E2342" s="184"/>
      <c r="F2342" s="185"/>
    </row>
    <row r="2343" spans="2:6">
      <c r="B2343" s="146"/>
      <c r="C2343" s="146"/>
      <c r="D2343" s="146"/>
      <c r="E2343" s="71" t="s">
        <v>4072</v>
      </c>
      <c r="F2343" s="70" t="s">
        <v>4005</v>
      </c>
    </row>
    <row r="2344" spans="2:6">
      <c r="B2344" s="113">
        <v>439</v>
      </c>
      <c r="C2344" s="95">
        <v>45320</v>
      </c>
      <c r="D2344" s="113" t="s">
        <v>814</v>
      </c>
      <c r="E2344" s="184"/>
      <c r="F2344" s="185"/>
    </row>
    <row r="2345" spans="2:6">
      <c r="B2345" s="183"/>
      <c r="C2345" s="183"/>
      <c r="D2345" s="183"/>
      <c r="E2345" s="71" t="s">
        <v>824</v>
      </c>
      <c r="F2345" s="70" t="s">
        <v>4230</v>
      </c>
    </row>
    <row r="2346" spans="2:6">
      <c r="B2346" s="183"/>
      <c r="C2346" s="183"/>
      <c r="D2346" s="183"/>
      <c r="E2346" s="71" t="s">
        <v>826</v>
      </c>
      <c r="F2346" s="70" t="s">
        <v>4231</v>
      </c>
    </row>
    <row r="2347" spans="2:6">
      <c r="B2347" s="183"/>
      <c r="C2347" s="183"/>
      <c r="D2347" s="183"/>
      <c r="E2347" s="71" t="s">
        <v>828</v>
      </c>
      <c r="F2347" s="70" t="s">
        <v>4232</v>
      </c>
    </row>
    <row r="2348" spans="2:6">
      <c r="B2348" s="183"/>
      <c r="C2348" s="183"/>
      <c r="D2348" s="183"/>
      <c r="E2348" s="71" t="s">
        <v>830</v>
      </c>
      <c r="F2348" s="70" t="s">
        <v>4233</v>
      </c>
    </row>
    <row r="2349" spans="2:6">
      <c r="B2349" s="183"/>
      <c r="C2349" s="183"/>
      <c r="D2349" s="183"/>
      <c r="E2349" s="71" t="s">
        <v>1311</v>
      </c>
      <c r="F2349" s="70" t="s">
        <v>4234</v>
      </c>
    </row>
    <row r="2350" spans="2:6">
      <c r="B2350" s="183"/>
      <c r="C2350" s="183"/>
      <c r="D2350" s="183"/>
      <c r="E2350" s="71" t="s">
        <v>1312</v>
      </c>
      <c r="F2350" s="70" t="s">
        <v>4235</v>
      </c>
    </row>
    <row r="2351" spans="2:6">
      <c r="B2351" s="183"/>
      <c r="C2351" s="183"/>
      <c r="D2351" s="183"/>
      <c r="E2351" s="71" t="s">
        <v>1313</v>
      </c>
      <c r="F2351" s="70" t="s">
        <v>4236</v>
      </c>
    </row>
    <row r="2352" spans="2:6">
      <c r="B2352" s="183"/>
      <c r="C2352" s="183"/>
      <c r="D2352" s="183"/>
      <c r="E2352" s="71" t="s">
        <v>1314</v>
      </c>
      <c r="F2352" s="70" t="s">
        <v>4237</v>
      </c>
    </row>
    <row r="2353" spans="2:6">
      <c r="B2353" s="183"/>
      <c r="C2353" s="183"/>
      <c r="D2353" s="183"/>
      <c r="E2353" s="71" t="s">
        <v>1315</v>
      </c>
      <c r="F2353" s="70" t="s">
        <v>4238</v>
      </c>
    </row>
    <row r="2354" spans="2:6">
      <c r="B2354" s="183"/>
      <c r="C2354" s="183"/>
      <c r="D2354" s="183"/>
      <c r="E2354" s="71" t="s">
        <v>714</v>
      </c>
      <c r="F2354" s="70" t="s">
        <v>4239</v>
      </c>
    </row>
    <row r="2355" spans="2:6">
      <c r="B2355" s="183"/>
      <c r="C2355" s="183"/>
      <c r="D2355" s="183"/>
      <c r="E2355" s="71" t="s">
        <v>50</v>
      </c>
      <c r="F2355" s="70" t="s">
        <v>4222</v>
      </c>
    </row>
    <row r="2356" spans="2:6">
      <c r="B2356" s="183"/>
      <c r="C2356" s="183"/>
      <c r="D2356" s="183"/>
      <c r="E2356" s="71" t="s">
        <v>50</v>
      </c>
      <c r="F2356" s="70" t="s">
        <v>4223</v>
      </c>
    </row>
    <row r="2357" spans="2:6">
      <c r="B2357" s="183"/>
      <c r="C2357" s="183"/>
      <c r="D2357" s="183"/>
      <c r="E2357" s="71" t="s">
        <v>50</v>
      </c>
      <c r="F2357" s="70" t="s">
        <v>4224</v>
      </c>
    </row>
    <row r="2358" spans="2:6">
      <c r="B2358" s="183"/>
      <c r="C2358" s="183"/>
      <c r="D2358" s="183"/>
      <c r="E2358" s="71" t="s">
        <v>50</v>
      </c>
      <c r="F2358" s="70" t="s">
        <v>4225</v>
      </c>
    </row>
    <row r="2359" spans="2:6">
      <c r="B2359" s="183"/>
      <c r="C2359" s="183"/>
      <c r="D2359" s="183"/>
      <c r="E2359" s="71" t="s">
        <v>50</v>
      </c>
      <c r="F2359" s="70" t="s">
        <v>4226</v>
      </c>
    </row>
    <row r="2360" spans="2:6">
      <c r="B2360" s="183"/>
      <c r="C2360" s="183"/>
      <c r="D2360" s="183"/>
      <c r="E2360" s="71" t="s">
        <v>50</v>
      </c>
      <c r="F2360" s="70" t="s">
        <v>4227</v>
      </c>
    </row>
    <row r="2361" spans="2:6">
      <c r="B2361" s="183"/>
      <c r="C2361" s="183"/>
      <c r="D2361" s="183"/>
      <c r="E2361" s="71" t="s">
        <v>50</v>
      </c>
      <c r="F2361" s="70" t="s">
        <v>4228</v>
      </c>
    </row>
    <row r="2362" spans="2:6">
      <c r="B2362" s="183"/>
      <c r="C2362" s="183"/>
      <c r="D2362" s="183"/>
      <c r="E2362" s="71" t="s">
        <v>50</v>
      </c>
      <c r="F2362" s="70" t="s">
        <v>4229</v>
      </c>
    </row>
    <row r="2363" spans="2:6">
      <c r="B2363" s="183"/>
      <c r="C2363" s="183"/>
      <c r="D2363" s="183"/>
      <c r="E2363" s="71" t="s">
        <v>4219</v>
      </c>
      <c r="F2363" s="70" t="s">
        <v>4240</v>
      </c>
    </row>
    <row r="2364" spans="2:6">
      <c r="B2364" s="113">
        <v>440</v>
      </c>
      <c r="C2364" s="95">
        <v>45331</v>
      </c>
      <c r="D2364" s="113" t="s">
        <v>4155</v>
      </c>
      <c r="E2364" s="184"/>
      <c r="F2364" s="185"/>
    </row>
    <row r="2365" spans="2:6">
      <c r="B2365" s="183"/>
      <c r="C2365" s="183"/>
      <c r="D2365" s="183"/>
      <c r="E2365" s="71" t="s">
        <v>50</v>
      </c>
      <c r="F2365" s="70" t="s">
        <v>4241</v>
      </c>
    </row>
    <row r="2366" spans="2:6">
      <c r="B2366" s="183"/>
      <c r="C2366" s="183"/>
      <c r="D2366" s="183"/>
      <c r="E2366" s="71" t="s">
        <v>50</v>
      </c>
      <c r="F2366" s="70" t="s">
        <v>4242</v>
      </c>
    </row>
    <row r="2367" spans="2:6">
      <c r="B2367" s="183"/>
      <c r="C2367" s="183"/>
      <c r="D2367" s="183"/>
      <c r="E2367" s="71" t="s">
        <v>50</v>
      </c>
      <c r="F2367" s="70" t="s">
        <v>4243</v>
      </c>
    </row>
    <row r="2368" spans="2:6">
      <c r="B2368" s="183"/>
      <c r="C2368" s="183"/>
      <c r="D2368" s="183"/>
      <c r="E2368" s="71" t="s">
        <v>50</v>
      </c>
      <c r="F2368" s="70" t="s">
        <v>4244</v>
      </c>
    </row>
    <row r="2369" spans="2:6">
      <c r="B2369" s="183"/>
      <c r="C2369" s="183"/>
      <c r="D2369" s="183"/>
      <c r="E2369" s="71" t="s">
        <v>50</v>
      </c>
      <c r="F2369" s="70" t="s">
        <v>4245</v>
      </c>
    </row>
    <row r="2370" spans="2:6">
      <c r="B2370" s="183"/>
      <c r="C2370" s="183"/>
      <c r="D2370" s="183"/>
      <c r="E2370" s="71" t="s">
        <v>673</v>
      </c>
      <c r="F2370" s="70" t="s">
        <v>4246</v>
      </c>
    </row>
    <row r="2371" spans="2:6">
      <c r="B2371" s="113">
        <v>441</v>
      </c>
      <c r="C2371" s="95">
        <v>45336</v>
      </c>
      <c r="D2371" s="113" t="s">
        <v>4155</v>
      </c>
      <c r="E2371" s="184"/>
      <c r="F2371" s="185"/>
    </row>
    <row r="2372" spans="2:6">
      <c r="B2372" s="146"/>
      <c r="C2372" s="146"/>
      <c r="D2372" s="146"/>
      <c r="E2372" s="71" t="s">
        <v>1218</v>
      </c>
      <c r="F2372" s="70" t="s">
        <v>4250</v>
      </c>
    </row>
    <row r="2373" spans="2:6">
      <c r="B2373" s="113">
        <v>442</v>
      </c>
      <c r="C2373" s="95">
        <v>45350</v>
      </c>
      <c r="D2373" s="113" t="s">
        <v>268</v>
      </c>
      <c r="E2373" s="184"/>
      <c r="F2373" s="185"/>
    </row>
    <row r="2374" spans="2:6">
      <c r="B2374" s="146"/>
      <c r="C2374" s="146"/>
      <c r="D2374" s="146"/>
      <c r="E2374" s="71" t="s">
        <v>4254</v>
      </c>
      <c r="F2374" s="70" t="s">
        <v>4255</v>
      </c>
    </row>
    <row r="2375" spans="2:6">
      <c r="B2375" s="113">
        <v>443</v>
      </c>
      <c r="C2375" s="95">
        <v>45350</v>
      </c>
      <c r="D2375" s="113" t="s">
        <v>415</v>
      </c>
      <c r="E2375" s="184"/>
      <c r="F2375" s="185"/>
    </row>
    <row r="2376" spans="2:6">
      <c r="B2376" s="183"/>
      <c r="C2376" s="183"/>
      <c r="D2376" s="183"/>
      <c r="E2376" s="71" t="s">
        <v>50</v>
      </c>
      <c r="F2376" s="70" t="s">
        <v>4258</v>
      </c>
    </row>
    <row r="2377" spans="2:6">
      <c r="B2377" s="183"/>
      <c r="C2377" s="183"/>
      <c r="D2377" s="183"/>
      <c r="E2377" s="71" t="s">
        <v>50</v>
      </c>
      <c r="F2377" s="70" t="s">
        <v>4259</v>
      </c>
    </row>
    <row r="2378" spans="2:6">
      <c r="B2378" s="183"/>
      <c r="C2378" s="183"/>
      <c r="D2378" s="183"/>
      <c r="E2378" s="71" t="s">
        <v>50</v>
      </c>
      <c r="F2378" s="70" t="s">
        <v>4260</v>
      </c>
    </row>
    <row r="2379" spans="2:6">
      <c r="B2379" s="183"/>
      <c r="C2379" s="183"/>
      <c r="D2379" s="183"/>
      <c r="E2379" s="71" t="s">
        <v>50</v>
      </c>
      <c r="F2379" s="70" t="s">
        <v>4261</v>
      </c>
    </row>
    <row r="2380" spans="2:6">
      <c r="B2380" s="183"/>
      <c r="C2380" s="183"/>
      <c r="D2380" s="183"/>
      <c r="E2380" s="71" t="s">
        <v>4262</v>
      </c>
      <c r="F2380" s="70" t="s">
        <v>4263</v>
      </c>
    </row>
    <row r="2381" spans="2:6">
      <c r="B2381" s="183"/>
      <c r="C2381" s="183"/>
      <c r="D2381" s="183"/>
      <c r="E2381" s="71" t="s">
        <v>4264</v>
      </c>
      <c r="F2381" s="70" t="s">
        <v>4265</v>
      </c>
    </row>
    <row r="2382" spans="2:6">
      <c r="B2382" s="183"/>
      <c r="C2382" s="183"/>
      <c r="D2382" s="183"/>
      <c r="E2382" s="71" t="s">
        <v>4266</v>
      </c>
      <c r="F2382" s="70" t="s">
        <v>4267</v>
      </c>
    </row>
    <row r="2383" spans="2:6">
      <c r="B2383" s="183"/>
      <c r="C2383" s="183"/>
      <c r="D2383" s="183"/>
      <c r="E2383" s="71" t="s">
        <v>4268</v>
      </c>
      <c r="F2383" s="70" t="s">
        <v>4269</v>
      </c>
    </row>
    <row r="2384" spans="2:6">
      <c r="B2384" s="113">
        <v>444</v>
      </c>
      <c r="C2384" s="95">
        <v>45356</v>
      </c>
      <c r="D2384" s="113" t="s">
        <v>217</v>
      </c>
      <c r="E2384" s="184"/>
      <c r="F2384" s="185"/>
    </row>
    <row r="2385" spans="2:6">
      <c r="B2385" s="146"/>
      <c r="C2385" s="146"/>
      <c r="D2385" s="146"/>
      <c r="E2385" s="71" t="s">
        <v>4270</v>
      </c>
      <c r="F2385" s="70" t="s">
        <v>4271</v>
      </c>
    </row>
    <row r="2386" spans="2:6">
      <c r="B2386" s="113">
        <v>445</v>
      </c>
      <c r="C2386" s="95">
        <v>45363</v>
      </c>
      <c r="D2386" s="113" t="s">
        <v>415</v>
      </c>
      <c r="E2386" s="184"/>
      <c r="F2386" s="185"/>
    </row>
    <row r="2387" spans="2:6">
      <c r="B2387" s="183"/>
      <c r="C2387" s="183"/>
      <c r="D2387" s="183"/>
      <c r="E2387" s="71" t="s">
        <v>4272</v>
      </c>
      <c r="F2387" s="70" t="s">
        <v>4273</v>
      </c>
    </row>
    <row r="2388" spans="2:6">
      <c r="B2388" s="183"/>
      <c r="C2388" s="183"/>
      <c r="D2388" s="183"/>
      <c r="E2388" s="71" t="s">
        <v>4274</v>
      </c>
      <c r="F2388" s="70" t="s">
        <v>4275</v>
      </c>
    </row>
    <row r="2389" spans="2:6">
      <c r="B2389" s="183"/>
      <c r="C2389" s="183"/>
      <c r="D2389" s="183"/>
      <c r="E2389" s="71" t="s">
        <v>4276</v>
      </c>
      <c r="F2389" s="70" t="s">
        <v>4277</v>
      </c>
    </row>
    <row r="2390" spans="2:6">
      <c r="B2390" s="183"/>
      <c r="C2390" s="183"/>
      <c r="D2390" s="183"/>
      <c r="E2390" s="71" t="s">
        <v>4278</v>
      </c>
      <c r="F2390" s="70" t="s">
        <v>4279</v>
      </c>
    </row>
    <row r="2391" spans="2:6">
      <c r="B2391" s="183"/>
      <c r="C2391" s="183"/>
      <c r="D2391" s="183"/>
      <c r="E2391" s="71">
        <v>147941704</v>
      </c>
      <c r="F2391" s="70" t="s">
        <v>4280</v>
      </c>
    </row>
    <row r="2392" spans="2:6">
      <c r="B2392" s="183"/>
      <c r="C2392" s="183"/>
      <c r="D2392" s="183"/>
      <c r="E2392" s="71">
        <v>147945531</v>
      </c>
      <c r="F2392" s="70" t="s">
        <v>4281</v>
      </c>
    </row>
    <row r="2393" spans="2:6">
      <c r="B2393" s="113"/>
      <c r="C2393" s="113"/>
      <c r="D2393" s="113"/>
      <c r="E2393" s="113"/>
      <c r="F2393" s="113"/>
    </row>
    <row r="2394" spans="2:6">
      <c r="B2394" s="113"/>
      <c r="C2394" s="113"/>
      <c r="D2394" s="113"/>
      <c r="E2394" s="113"/>
      <c r="F2394" s="113"/>
    </row>
    <row r="2395" spans="2:6">
      <c r="B2395" s="113"/>
      <c r="C2395" s="113"/>
      <c r="D2395" s="113"/>
      <c r="E2395" s="113"/>
      <c r="F2395" s="113"/>
    </row>
    <row r="2396" spans="2:6">
      <c r="B2396" s="113"/>
      <c r="C2396" s="113"/>
      <c r="D2396" s="113"/>
      <c r="E2396" s="113"/>
      <c r="F2396" s="113"/>
    </row>
    <row r="2397" spans="2:6">
      <c r="B2397" s="113"/>
      <c r="C2397" s="113"/>
      <c r="D2397" s="113"/>
      <c r="E2397" s="113"/>
      <c r="F2397" s="113"/>
    </row>
    <row r="2398" spans="2:6">
      <c r="B2398" s="113"/>
      <c r="C2398" s="113"/>
      <c r="D2398" s="113"/>
      <c r="E2398" s="113"/>
      <c r="F2398" s="113"/>
    </row>
    <row r="2399" spans="2:6">
      <c r="B2399" s="113"/>
      <c r="C2399" s="113"/>
      <c r="D2399" s="113"/>
      <c r="E2399" s="113"/>
      <c r="F2399" s="113"/>
    </row>
    <row r="2400" spans="2:6">
      <c r="B2400" s="113"/>
      <c r="C2400" s="113"/>
      <c r="D2400" s="113"/>
      <c r="E2400" s="113"/>
      <c r="F2400" s="113"/>
    </row>
    <row r="2401" spans="2:6">
      <c r="B2401" s="113"/>
      <c r="C2401" s="113"/>
      <c r="D2401" s="113"/>
      <c r="E2401" s="113"/>
      <c r="F2401" s="113"/>
    </row>
    <row r="2402" spans="2:6">
      <c r="B2402" s="113"/>
      <c r="C2402" s="113"/>
      <c r="D2402" s="113"/>
      <c r="E2402" s="113"/>
      <c r="F2402" s="113"/>
    </row>
    <row r="2403" spans="2:6">
      <c r="B2403" s="113"/>
      <c r="C2403" s="113"/>
      <c r="D2403" s="113"/>
      <c r="E2403" s="113"/>
      <c r="F2403" s="113"/>
    </row>
    <row r="2404" spans="2:6">
      <c r="B2404" s="113"/>
      <c r="C2404" s="113"/>
      <c r="D2404" s="113"/>
      <c r="E2404" s="113"/>
      <c r="F2404" s="113"/>
    </row>
    <row r="2405" spans="2:6">
      <c r="B2405" s="113"/>
      <c r="C2405" s="113"/>
      <c r="D2405" s="113"/>
      <c r="E2405" s="113"/>
      <c r="F2405" s="113"/>
    </row>
    <row r="2406" spans="2:6">
      <c r="B2406" s="113"/>
      <c r="C2406" s="113"/>
      <c r="D2406" s="113"/>
      <c r="E2406" s="113"/>
      <c r="F2406" s="113"/>
    </row>
    <row r="2407" spans="2:6">
      <c r="B2407" s="113"/>
      <c r="C2407" s="113"/>
      <c r="D2407" s="113"/>
      <c r="E2407" s="113"/>
      <c r="F2407" s="113"/>
    </row>
    <row r="2408" spans="2:6">
      <c r="B2408" s="113"/>
      <c r="C2408" s="113"/>
      <c r="D2408" s="113"/>
      <c r="E2408" s="113"/>
      <c r="F2408" s="113"/>
    </row>
    <row r="2409" spans="2:6">
      <c r="B2409" s="113"/>
      <c r="C2409" s="113"/>
      <c r="D2409" s="113"/>
      <c r="E2409" s="113"/>
      <c r="F2409" s="113"/>
    </row>
    <row r="2410" spans="2:6">
      <c r="B2410" s="113"/>
      <c r="C2410" s="113"/>
      <c r="D2410" s="113"/>
      <c r="E2410" s="113"/>
      <c r="F2410" s="113"/>
    </row>
    <row r="2411" spans="2:6">
      <c r="B2411" s="113"/>
      <c r="C2411" s="113"/>
      <c r="D2411" s="113"/>
      <c r="E2411" s="113"/>
      <c r="F2411" s="113"/>
    </row>
    <row r="2412" spans="2:6">
      <c r="B2412" s="113"/>
      <c r="C2412" s="113"/>
      <c r="D2412" s="113"/>
      <c r="E2412" s="113"/>
      <c r="F2412" s="113"/>
    </row>
    <row r="2413" spans="2:6">
      <c r="B2413" s="113"/>
      <c r="C2413" s="113"/>
      <c r="D2413" s="113"/>
      <c r="E2413" s="113"/>
      <c r="F2413" s="113"/>
    </row>
    <row r="2414" spans="2:6">
      <c r="B2414" s="113"/>
      <c r="C2414" s="113"/>
      <c r="D2414" s="113"/>
      <c r="E2414" s="113"/>
      <c r="F2414" s="113"/>
    </row>
    <row r="2415" spans="2:6">
      <c r="B2415" s="113"/>
      <c r="C2415" s="113"/>
      <c r="D2415" s="113"/>
      <c r="E2415" s="113"/>
      <c r="F2415" s="113"/>
    </row>
    <row r="2416" spans="2:6">
      <c r="B2416" s="113"/>
      <c r="C2416" s="113"/>
      <c r="D2416" s="113"/>
      <c r="E2416" s="113"/>
      <c r="F2416" s="113"/>
    </row>
    <row r="2417" spans="2:6">
      <c r="B2417" s="113"/>
      <c r="C2417" s="113"/>
      <c r="D2417" s="113"/>
      <c r="E2417" s="113"/>
      <c r="F2417" s="113"/>
    </row>
    <row r="2418" spans="2:6">
      <c r="B2418" s="113"/>
      <c r="C2418" s="113"/>
      <c r="D2418" s="113"/>
      <c r="E2418" s="113"/>
      <c r="F2418" s="113"/>
    </row>
    <row r="2419" spans="2:6">
      <c r="B2419" s="113"/>
      <c r="C2419" s="113"/>
      <c r="D2419" s="113"/>
      <c r="E2419" s="113"/>
      <c r="F2419" s="113"/>
    </row>
    <row r="2420" spans="2:6">
      <c r="B2420" s="113"/>
      <c r="C2420" s="113"/>
      <c r="D2420" s="113"/>
      <c r="E2420" s="113"/>
      <c r="F2420" s="113"/>
    </row>
    <row r="2421" spans="2:6">
      <c r="B2421" s="113"/>
      <c r="C2421" s="113"/>
      <c r="D2421" s="113"/>
      <c r="E2421" s="113"/>
      <c r="F2421" s="113"/>
    </row>
    <row r="2422" spans="2:6">
      <c r="B2422" s="113"/>
      <c r="C2422" s="113"/>
      <c r="D2422" s="113"/>
      <c r="E2422" s="113"/>
      <c r="F2422" s="113"/>
    </row>
    <row r="2423" spans="2:6">
      <c r="B2423" s="113"/>
      <c r="C2423" s="113"/>
      <c r="D2423" s="113"/>
      <c r="E2423" s="113"/>
      <c r="F2423" s="113"/>
    </row>
    <row r="2424" spans="2:6">
      <c r="B2424" s="113"/>
      <c r="C2424" s="113"/>
      <c r="D2424" s="113"/>
      <c r="E2424" s="113"/>
      <c r="F2424" s="113"/>
    </row>
    <row r="2425" spans="2:6">
      <c r="B2425" s="113"/>
      <c r="C2425" s="113"/>
      <c r="D2425" s="113"/>
      <c r="E2425" s="113"/>
      <c r="F2425" s="113"/>
    </row>
    <row r="2426" spans="2:6">
      <c r="B2426" s="113"/>
      <c r="C2426" s="113"/>
      <c r="D2426" s="113"/>
      <c r="E2426" s="113"/>
      <c r="F2426" s="113"/>
    </row>
    <row r="2427" spans="2:6">
      <c r="B2427" s="113"/>
      <c r="C2427" s="113"/>
      <c r="D2427" s="113"/>
      <c r="E2427" s="113"/>
      <c r="F2427" s="113"/>
    </row>
    <row r="2428" spans="2:6">
      <c r="B2428" s="113"/>
      <c r="C2428" s="113"/>
      <c r="D2428" s="113"/>
      <c r="E2428" s="113"/>
      <c r="F2428" s="113"/>
    </row>
    <row r="2429" spans="2:6">
      <c r="B2429" s="113"/>
      <c r="C2429" s="113"/>
      <c r="D2429" s="113"/>
      <c r="E2429" s="113"/>
      <c r="F2429" s="113"/>
    </row>
    <row r="2430" spans="2:6">
      <c r="B2430" s="113"/>
      <c r="C2430" s="113"/>
      <c r="D2430" s="113"/>
      <c r="E2430" s="113"/>
      <c r="F2430" s="113"/>
    </row>
    <row r="2431" spans="2:6">
      <c r="B2431" s="113"/>
      <c r="C2431" s="113"/>
      <c r="D2431" s="113"/>
      <c r="E2431" s="113"/>
      <c r="F2431" s="113"/>
    </row>
    <row r="2432" spans="2:6">
      <c r="B2432" s="113"/>
      <c r="C2432" s="113"/>
      <c r="D2432" s="113"/>
      <c r="E2432" s="113"/>
      <c r="F2432" s="113"/>
    </row>
    <row r="2433" spans="2:6">
      <c r="B2433" s="113"/>
      <c r="C2433" s="113"/>
      <c r="D2433" s="113"/>
      <c r="E2433" s="113"/>
      <c r="F2433" s="113"/>
    </row>
    <row r="2434" spans="2:6">
      <c r="B2434" s="113"/>
      <c r="C2434" s="113"/>
      <c r="D2434" s="113"/>
      <c r="E2434" s="113"/>
      <c r="F2434" s="113"/>
    </row>
    <row r="2435" spans="2:6">
      <c r="B2435" s="113"/>
      <c r="C2435" s="113"/>
      <c r="D2435" s="113"/>
      <c r="E2435" s="113"/>
      <c r="F2435" s="113"/>
    </row>
    <row r="2436" spans="2:6">
      <c r="B2436" s="113"/>
      <c r="C2436" s="113"/>
      <c r="D2436" s="113"/>
      <c r="E2436" s="113"/>
      <c r="F2436" s="113"/>
    </row>
    <row r="2437" spans="2:6">
      <c r="B2437" s="113"/>
      <c r="C2437" s="113"/>
      <c r="D2437" s="113"/>
      <c r="E2437" s="113"/>
      <c r="F2437" s="113"/>
    </row>
    <row r="2438" spans="2:6">
      <c r="B2438" s="113"/>
      <c r="C2438" s="113"/>
      <c r="D2438" s="113"/>
      <c r="E2438" s="113"/>
      <c r="F2438" s="113"/>
    </row>
    <row r="2439" spans="2:6">
      <c r="B2439" s="113"/>
      <c r="C2439" s="113"/>
      <c r="D2439" s="113"/>
      <c r="E2439" s="113"/>
      <c r="F2439" s="113"/>
    </row>
    <row r="2440" spans="2:6">
      <c r="B2440" s="113"/>
      <c r="C2440" s="113"/>
      <c r="D2440" s="113"/>
      <c r="E2440" s="113"/>
      <c r="F2440" s="113"/>
    </row>
    <row r="2441" spans="2:6">
      <c r="B2441" s="113"/>
      <c r="C2441" s="113"/>
      <c r="D2441" s="113"/>
      <c r="E2441" s="113"/>
      <c r="F2441" s="113"/>
    </row>
    <row r="2442" spans="2:6">
      <c r="B2442" s="113"/>
      <c r="C2442" s="113"/>
      <c r="D2442" s="113"/>
      <c r="E2442" s="113"/>
      <c r="F2442" s="113"/>
    </row>
    <row r="2443" spans="2:6">
      <c r="B2443" s="113"/>
      <c r="C2443" s="113"/>
      <c r="D2443" s="113"/>
      <c r="E2443" s="113"/>
      <c r="F2443" s="113"/>
    </row>
    <row r="2444" spans="2:6">
      <c r="B2444" s="113"/>
      <c r="C2444" s="113"/>
      <c r="D2444" s="113"/>
      <c r="E2444" s="113"/>
      <c r="F2444" s="113"/>
    </row>
    <row r="2445" spans="2:6">
      <c r="B2445" s="113"/>
      <c r="C2445" s="113"/>
      <c r="D2445" s="113"/>
      <c r="E2445" s="113"/>
      <c r="F2445" s="113"/>
    </row>
    <row r="2446" spans="2:6">
      <c r="B2446" s="113"/>
      <c r="C2446" s="113"/>
      <c r="D2446" s="113"/>
      <c r="E2446" s="113"/>
      <c r="F2446" s="113"/>
    </row>
    <row r="2447" spans="2:6">
      <c r="B2447" s="113"/>
      <c r="C2447" s="113"/>
      <c r="D2447" s="113"/>
      <c r="E2447" s="113"/>
      <c r="F2447" s="113"/>
    </row>
    <row r="2448" spans="2:6">
      <c r="B2448" s="113"/>
      <c r="C2448" s="113"/>
      <c r="D2448" s="113"/>
      <c r="E2448" s="113"/>
      <c r="F2448" s="113"/>
    </row>
    <row r="2449" spans="2:6">
      <c r="B2449" s="113"/>
      <c r="C2449" s="113"/>
      <c r="D2449" s="113"/>
      <c r="E2449" s="113"/>
      <c r="F2449" s="113"/>
    </row>
    <row r="2450" spans="2:6">
      <c r="B2450" s="113"/>
      <c r="C2450" s="113"/>
      <c r="D2450" s="113"/>
      <c r="E2450" s="113"/>
      <c r="F2450" s="113"/>
    </row>
    <row r="2451" spans="2:6">
      <c r="B2451" s="113"/>
      <c r="C2451" s="113"/>
      <c r="D2451" s="113"/>
      <c r="E2451" s="113"/>
      <c r="F2451" s="113"/>
    </row>
    <row r="2452" spans="2:6">
      <c r="B2452" s="113"/>
      <c r="C2452" s="113"/>
      <c r="D2452" s="113"/>
      <c r="E2452" s="113"/>
      <c r="F2452" s="113"/>
    </row>
    <row r="2453" spans="2:6">
      <c r="B2453" s="113"/>
      <c r="C2453" s="113"/>
      <c r="D2453" s="113"/>
      <c r="E2453" s="113"/>
      <c r="F2453" s="113"/>
    </row>
    <row r="2454" spans="2:6">
      <c r="B2454" s="113"/>
      <c r="C2454" s="113"/>
      <c r="D2454" s="113"/>
      <c r="E2454" s="113"/>
      <c r="F2454" s="113"/>
    </row>
    <row r="2455" spans="2:6">
      <c r="B2455" s="113"/>
      <c r="C2455" s="113"/>
      <c r="D2455" s="113"/>
      <c r="E2455" s="113"/>
      <c r="F2455" s="113"/>
    </row>
    <row r="2456" spans="2:6">
      <c r="B2456" s="113"/>
      <c r="C2456" s="113"/>
      <c r="D2456" s="113"/>
      <c r="E2456" s="113"/>
      <c r="F2456" s="113"/>
    </row>
    <row r="2457" spans="2:6">
      <c r="B2457" s="113"/>
      <c r="C2457" s="113"/>
      <c r="D2457" s="113"/>
      <c r="E2457" s="113"/>
      <c r="F2457" s="113"/>
    </row>
    <row r="2458" spans="2:6">
      <c r="B2458" s="113"/>
      <c r="C2458" s="113"/>
      <c r="D2458" s="113"/>
      <c r="E2458" s="113"/>
      <c r="F2458" s="113"/>
    </row>
    <row r="2459" spans="2:6">
      <c r="B2459" s="113"/>
      <c r="C2459" s="113"/>
      <c r="D2459" s="113"/>
      <c r="E2459" s="113"/>
      <c r="F2459" s="113"/>
    </row>
    <row r="2460" spans="2:6">
      <c r="B2460" s="113"/>
      <c r="C2460" s="113"/>
      <c r="D2460" s="113"/>
      <c r="E2460" s="113"/>
      <c r="F2460" s="113"/>
    </row>
    <row r="2461" spans="2:6">
      <c r="B2461" s="113"/>
      <c r="C2461" s="113"/>
      <c r="D2461" s="113"/>
      <c r="E2461" s="113"/>
      <c r="F2461" s="113"/>
    </row>
    <row r="2462" spans="2:6">
      <c r="B2462" s="113"/>
      <c r="C2462" s="113"/>
      <c r="D2462" s="113"/>
      <c r="E2462" s="113"/>
      <c r="F2462" s="113"/>
    </row>
    <row r="2463" spans="2:6">
      <c r="B2463" s="113"/>
      <c r="C2463" s="113"/>
      <c r="D2463" s="113"/>
      <c r="E2463" s="113"/>
      <c r="F2463" s="113"/>
    </row>
    <row r="2464" spans="2:6">
      <c r="B2464" s="113"/>
      <c r="C2464" s="113"/>
      <c r="D2464" s="113"/>
      <c r="E2464" s="113"/>
      <c r="F2464" s="113"/>
    </row>
    <row r="2465" spans="2:6">
      <c r="B2465" s="113"/>
      <c r="C2465" s="113"/>
      <c r="D2465" s="113"/>
      <c r="E2465" s="113"/>
      <c r="F2465" s="113"/>
    </row>
    <row r="2466" spans="2:6">
      <c r="B2466" s="113"/>
      <c r="C2466" s="113"/>
      <c r="D2466" s="113"/>
      <c r="E2466" s="113"/>
      <c r="F2466" s="113"/>
    </row>
    <row r="2467" spans="2:6">
      <c r="B2467" s="113"/>
      <c r="C2467" s="113"/>
      <c r="D2467" s="113"/>
      <c r="E2467" s="113"/>
      <c r="F2467" s="113"/>
    </row>
    <row r="2468" spans="2:6">
      <c r="B2468" s="113"/>
      <c r="C2468" s="113"/>
      <c r="D2468" s="113"/>
      <c r="E2468" s="113"/>
      <c r="F2468" s="113"/>
    </row>
    <row r="2469" spans="2:6">
      <c r="B2469" s="113"/>
      <c r="C2469" s="113"/>
      <c r="D2469" s="113"/>
      <c r="E2469" s="113"/>
      <c r="F2469" s="113"/>
    </row>
    <row r="2470" spans="2:6">
      <c r="B2470" s="113"/>
      <c r="C2470" s="113"/>
      <c r="D2470" s="113"/>
      <c r="E2470" s="113"/>
      <c r="F2470" s="113"/>
    </row>
    <row r="2471" spans="2:6">
      <c r="B2471" s="113"/>
      <c r="C2471" s="113"/>
      <c r="D2471" s="113"/>
      <c r="E2471" s="113"/>
      <c r="F2471" s="113"/>
    </row>
    <row r="2472" spans="2:6">
      <c r="B2472" s="113"/>
      <c r="C2472" s="113"/>
      <c r="D2472" s="113"/>
      <c r="E2472" s="113"/>
      <c r="F2472" s="113"/>
    </row>
    <row r="2473" spans="2:6">
      <c r="B2473" s="113"/>
      <c r="C2473" s="113"/>
      <c r="D2473" s="113"/>
      <c r="E2473" s="113"/>
      <c r="F2473" s="113"/>
    </row>
    <row r="2474" spans="2:6">
      <c r="B2474" s="113"/>
      <c r="C2474" s="113"/>
      <c r="D2474" s="113"/>
      <c r="E2474" s="113"/>
      <c r="F2474" s="113"/>
    </row>
    <row r="2475" spans="2:6">
      <c r="B2475" s="113"/>
      <c r="C2475" s="113"/>
      <c r="D2475" s="113"/>
      <c r="E2475" s="113"/>
      <c r="F2475" s="113"/>
    </row>
    <row r="2476" spans="2:6">
      <c r="B2476" s="113"/>
      <c r="C2476" s="113"/>
      <c r="D2476" s="113"/>
      <c r="E2476" s="113"/>
      <c r="F2476" s="113"/>
    </row>
    <row r="2477" spans="2:6">
      <c r="B2477" s="113"/>
      <c r="C2477" s="113"/>
      <c r="D2477" s="113"/>
      <c r="E2477" s="113"/>
      <c r="F2477" s="113"/>
    </row>
    <row r="2478" spans="2:6">
      <c r="B2478" s="113"/>
      <c r="C2478" s="113"/>
      <c r="D2478" s="113"/>
      <c r="E2478" s="113"/>
      <c r="F2478" s="113"/>
    </row>
    <row r="2479" spans="2:6">
      <c r="B2479" s="113"/>
      <c r="C2479" s="113"/>
      <c r="D2479" s="113"/>
      <c r="E2479" s="113"/>
      <c r="F2479" s="113"/>
    </row>
    <row r="2480" spans="2:6">
      <c r="B2480" s="113"/>
      <c r="C2480" s="113"/>
      <c r="D2480" s="113"/>
      <c r="E2480" s="113"/>
      <c r="F2480" s="113"/>
    </row>
    <row r="2481" spans="2:6">
      <c r="B2481" s="113"/>
      <c r="C2481" s="113"/>
      <c r="D2481" s="113"/>
      <c r="E2481" s="113"/>
      <c r="F2481" s="113"/>
    </row>
    <row r="2482" spans="2:6">
      <c r="B2482" s="113"/>
      <c r="C2482" s="113"/>
      <c r="D2482" s="113"/>
      <c r="E2482" s="113"/>
      <c r="F2482" s="113"/>
    </row>
    <row r="2483" spans="2:6">
      <c r="B2483" s="113"/>
      <c r="C2483" s="113"/>
      <c r="D2483" s="113"/>
      <c r="E2483" s="113"/>
      <c r="F2483" s="113"/>
    </row>
    <row r="2484" spans="2:6">
      <c r="B2484" s="113"/>
      <c r="C2484" s="113"/>
      <c r="D2484" s="113"/>
      <c r="E2484" s="113"/>
      <c r="F2484" s="113"/>
    </row>
    <row r="2485" spans="2:6">
      <c r="B2485" s="113"/>
      <c r="C2485" s="113"/>
      <c r="D2485" s="113"/>
      <c r="E2485" s="113"/>
      <c r="F2485" s="113"/>
    </row>
    <row r="2486" spans="2:6">
      <c r="B2486" s="113"/>
      <c r="C2486" s="113"/>
      <c r="D2486" s="113"/>
      <c r="E2486" s="113"/>
      <c r="F2486" s="113"/>
    </row>
    <row r="2487" spans="2:6">
      <c r="B2487" s="113"/>
      <c r="C2487" s="113"/>
      <c r="D2487" s="113"/>
      <c r="E2487" s="113"/>
      <c r="F2487" s="113"/>
    </row>
    <row r="2488" spans="2:6">
      <c r="B2488" s="113"/>
      <c r="C2488" s="113"/>
      <c r="D2488" s="113"/>
      <c r="E2488" s="113"/>
      <c r="F2488" s="113"/>
    </row>
    <row r="2489" spans="2:6">
      <c r="B2489" s="113"/>
      <c r="C2489" s="113"/>
      <c r="D2489" s="113"/>
      <c r="E2489" s="113"/>
      <c r="F2489" s="113"/>
    </row>
    <row r="2490" spans="2:6">
      <c r="B2490" s="113"/>
      <c r="C2490" s="113"/>
      <c r="D2490" s="113"/>
      <c r="E2490" s="113"/>
      <c r="F2490" s="113"/>
    </row>
    <row r="2491" spans="2:6">
      <c r="B2491" s="113"/>
      <c r="C2491" s="113"/>
      <c r="D2491" s="113"/>
      <c r="E2491" s="113"/>
      <c r="F2491" s="113"/>
    </row>
    <row r="2492" spans="2:6">
      <c r="B2492" s="113"/>
      <c r="C2492" s="113"/>
      <c r="D2492" s="113"/>
      <c r="E2492" s="113"/>
      <c r="F2492" s="113"/>
    </row>
    <row r="2493" spans="2:6">
      <c r="B2493" s="113"/>
      <c r="C2493" s="113"/>
      <c r="D2493" s="113"/>
      <c r="E2493" s="113"/>
      <c r="F2493" s="113"/>
    </row>
    <row r="2494" spans="2:6">
      <c r="B2494" s="113"/>
      <c r="C2494" s="113"/>
      <c r="D2494" s="113"/>
      <c r="E2494" s="113"/>
      <c r="F2494" s="113"/>
    </row>
    <row r="2495" spans="2:6">
      <c r="B2495" s="113"/>
      <c r="C2495" s="113"/>
      <c r="D2495" s="113"/>
      <c r="E2495" s="113"/>
      <c r="F2495" s="113"/>
    </row>
    <row r="2496" spans="2:6">
      <c r="B2496" s="113"/>
      <c r="C2496" s="113"/>
      <c r="D2496" s="113"/>
      <c r="E2496" s="113"/>
      <c r="F2496" s="113"/>
    </row>
    <row r="2497" spans="2:6">
      <c r="B2497" s="113"/>
      <c r="C2497" s="113"/>
      <c r="D2497" s="113"/>
      <c r="E2497" s="113"/>
      <c r="F2497" s="113"/>
    </row>
    <row r="2498" spans="2:6">
      <c r="B2498" s="113"/>
      <c r="C2498" s="113"/>
      <c r="D2498" s="113"/>
      <c r="E2498" s="113"/>
      <c r="F2498" s="113"/>
    </row>
    <row r="2499" spans="2:6">
      <c r="B2499" s="113"/>
      <c r="C2499" s="113"/>
      <c r="D2499" s="113"/>
      <c r="E2499" s="113"/>
      <c r="F2499" s="113"/>
    </row>
    <row r="2500" spans="2:6">
      <c r="B2500" s="113"/>
      <c r="C2500" s="113"/>
      <c r="D2500" s="113"/>
      <c r="E2500" s="113"/>
      <c r="F2500" s="113"/>
    </row>
    <row r="2501" spans="2:6">
      <c r="B2501" s="113"/>
      <c r="C2501" s="113"/>
      <c r="D2501" s="113"/>
      <c r="E2501" s="113"/>
      <c r="F2501" s="113"/>
    </row>
  </sheetData>
  <autoFilter ref="B2:F327" xr:uid="{28C81081-DF7E-4392-877C-160FE51112FD}"/>
  <mergeCells count="1330">
    <mergeCell ref="B2387:B2392"/>
    <mergeCell ref="C2387:C2392"/>
    <mergeCell ref="D2387:D2392"/>
    <mergeCell ref="E2373:F2373"/>
    <mergeCell ref="E2342:F2342"/>
    <mergeCell ref="E2344:F2344"/>
    <mergeCell ref="B2345:B2363"/>
    <mergeCell ref="C2345:C2363"/>
    <mergeCell ref="D2345:D2363"/>
    <mergeCell ref="E2364:F2364"/>
    <mergeCell ref="B2365:B2370"/>
    <mergeCell ref="C2365:C2370"/>
    <mergeCell ref="D2365:D2370"/>
    <mergeCell ref="E2371:F2371"/>
    <mergeCell ref="C2303:C2309"/>
    <mergeCell ref="D2303:D2309"/>
    <mergeCell ref="E2310:F2310"/>
    <mergeCell ref="B2311:B2316"/>
    <mergeCell ref="C2311:C2316"/>
    <mergeCell ref="D2311:D2316"/>
    <mergeCell ref="E2317:F2317"/>
    <mergeCell ref="E2319:F2319"/>
    <mergeCell ref="B2320:B2326"/>
    <mergeCell ref="C2320:C2326"/>
    <mergeCell ref="D2320:D2326"/>
    <mergeCell ref="E2375:F2375"/>
    <mergeCell ref="B2376:B2383"/>
    <mergeCell ref="C2376:C2383"/>
    <mergeCell ref="D2376:D2383"/>
    <mergeCell ref="E2384:F2384"/>
    <mergeCell ref="E2386:F2386"/>
    <mergeCell ref="E2340:F2340"/>
    <mergeCell ref="E2335:F2335"/>
    <mergeCell ref="E2280:F2280"/>
    <mergeCell ref="B2281:B2291"/>
    <mergeCell ref="C2281:C2291"/>
    <mergeCell ref="D2281:D2291"/>
    <mergeCell ref="E2296:F2296"/>
    <mergeCell ref="E2292:F2292"/>
    <mergeCell ref="B2293:B2295"/>
    <mergeCell ref="C2293:C2295"/>
    <mergeCell ref="D2293:D2295"/>
    <mergeCell ref="E2266:F2266"/>
    <mergeCell ref="B2267:B2279"/>
    <mergeCell ref="C2267:C2279"/>
    <mergeCell ref="D2267:D2279"/>
    <mergeCell ref="E2251:F2251"/>
    <mergeCell ref="B2252:B2253"/>
    <mergeCell ref="C2252:C2253"/>
    <mergeCell ref="D2252:D2253"/>
    <mergeCell ref="B2336:B2339"/>
    <mergeCell ref="C2336:C2339"/>
    <mergeCell ref="D2336:D2339"/>
    <mergeCell ref="E2327:F2327"/>
    <mergeCell ref="B2328:B2334"/>
    <mergeCell ref="C2328:C2334"/>
    <mergeCell ref="D2328:D2334"/>
    <mergeCell ref="E2298:F2298"/>
    <mergeCell ref="B2299:B2301"/>
    <mergeCell ref="C2299:C2301"/>
    <mergeCell ref="D2299:D2301"/>
    <mergeCell ref="E2302:F2302"/>
    <mergeCell ref="B2303:B2309"/>
    <mergeCell ref="E2249:F2249"/>
    <mergeCell ref="E2122:F2122"/>
    <mergeCell ref="B2123:B2124"/>
    <mergeCell ref="C2123:C2124"/>
    <mergeCell ref="D2123:D2124"/>
    <mergeCell ref="E2254:F2254"/>
    <mergeCell ref="B2255:B2265"/>
    <mergeCell ref="C2255:C2265"/>
    <mergeCell ref="D2255:D2265"/>
    <mergeCell ref="E2205:F2205"/>
    <mergeCell ref="B2206:B2235"/>
    <mergeCell ref="C2206:C2235"/>
    <mergeCell ref="D2206:D2235"/>
    <mergeCell ref="E2236:F2236"/>
    <mergeCell ref="B2237:B2248"/>
    <mergeCell ref="C2237:C2248"/>
    <mergeCell ref="D2237:D2248"/>
    <mergeCell ref="E2102:F2102"/>
    <mergeCell ref="B2103:B2115"/>
    <mergeCell ref="C2103:C2115"/>
    <mergeCell ref="D2103:D2115"/>
    <mergeCell ref="E2189:F2189"/>
    <mergeCell ref="B2190:B2204"/>
    <mergeCell ref="C2190:C2204"/>
    <mergeCell ref="D2190:D2204"/>
    <mergeCell ref="E2125:F2125"/>
    <mergeCell ref="B2126:B2138"/>
    <mergeCell ref="C2126:C2138"/>
    <mergeCell ref="D2126:D2138"/>
    <mergeCell ref="E2116:F2116"/>
    <mergeCell ref="B2117:B2121"/>
    <mergeCell ref="C2117:C2121"/>
    <mergeCell ref="D2117:D2121"/>
    <mergeCell ref="E2098:F2098"/>
    <mergeCell ref="B2099:B2101"/>
    <mergeCell ref="C2099:C2101"/>
    <mergeCell ref="D2099:D2101"/>
    <mergeCell ref="E2139:F2139"/>
    <mergeCell ref="B2140:B2188"/>
    <mergeCell ref="C2140:C2188"/>
    <mergeCell ref="D2140:D2188"/>
    <mergeCell ref="E2042:F2042"/>
    <mergeCell ref="E2024:F2024"/>
    <mergeCell ref="B2025:B2027"/>
    <mergeCell ref="C2025:C2027"/>
    <mergeCell ref="D2025:D2027"/>
    <mergeCell ref="E2028:F2028"/>
    <mergeCell ref="B2029:B2039"/>
    <mergeCell ref="C2029:C2039"/>
    <mergeCell ref="D2029:D2039"/>
    <mergeCell ref="E2058:F2058"/>
    <mergeCell ref="E2044:F2044"/>
    <mergeCell ref="E2040:F2040"/>
    <mergeCell ref="E2071:F2071"/>
    <mergeCell ref="B2072:B2079"/>
    <mergeCell ref="C2072:C2079"/>
    <mergeCell ref="D2072:D2079"/>
    <mergeCell ref="D2081:D2087"/>
    <mergeCell ref="E2060:F2060"/>
    <mergeCell ref="B2061:B2070"/>
    <mergeCell ref="C2061:C2070"/>
    <mergeCell ref="D2061:D2070"/>
    <mergeCell ref="E2046:F2046"/>
    <mergeCell ref="B2047:B2055"/>
    <mergeCell ref="C2047:C2055"/>
    <mergeCell ref="D2047:D2055"/>
    <mergeCell ref="E2056:F2056"/>
    <mergeCell ref="E2080:F2080"/>
    <mergeCell ref="B2081:B2087"/>
    <mergeCell ref="C2081:C2087"/>
    <mergeCell ref="E2008:F2008"/>
    <mergeCell ref="B2009:B2010"/>
    <mergeCell ref="C2009:C2010"/>
    <mergeCell ref="D2009:D2010"/>
    <mergeCell ref="E2000:F2000"/>
    <mergeCell ref="B2001:B2002"/>
    <mergeCell ref="C2001:C2002"/>
    <mergeCell ref="D2001:D2002"/>
    <mergeCell ref="E1971:F1971"/>
    <mergeCell ref="B1972:B1985"/>
    <mergeCell ref="C1972:C1985"/>
    <mergeCell ref="D1972:D1985"/>
    <mergeCell ref="E1986:F1986"/>
    <mergeCell ref="B1987:B1988"/>
    <mergeCell ref="C1987:C1988"/>
    <mergeCell ref="D1987:D1988"/>
    <mergeCell ref="B2004:B2007"/>
    <mergeCell ref="C2004:C2007"/>
    <mergeCell ref="D2004:D2007"/>
    <mergeCell ref="B1990:B1999"/>
    <mergeCell ref="C1656:C1686"/>
    <mergeCell ref="D1656:D1686"/>
    <mergeCell ref="E1705:F1705"/>
    <mergeCell ref="B1706:B1713"/>
    <mergeCell ref="C1706:C1713"/>
    <mergeCell ref="E1784:F1784"/>
    <mergeCell ref="C1750:C1764"/>
    <mergeCell ref="D1750:D1764"/>
    <mergeCell ref="B1742:B1746"/>
    <mergeCell ref="C1742:C1746"/>
    <mergeCell ref="D1742:D1746"/>
    <mergeCell ref="D1732:D1736"/>
    <mergeCell ref="B1888:B1899"/>
    <mergeCell ref="C1888:C1899"/>
    <mergeCell ref="D1888:D1899"/>
    <mergeCell ref="D1811:D1817"/>
    <mergeCell ref="E1841:F1841"/>
    <mergeCell ref="B1842:B1855"/>
    <mergeCell ref="E1782:F1782"/>
    <mergeCell ref="C1766:C1767"/>
    <mergeCell ref="D1766:D1767"/>
    <mergeCell ref="E1737:F1737"/>
    <mergeCell ref="E1714:F1714"/>
    <mergeCell ref="E1716:F1716"/>
    <mergeCell ref="B1717:B1720"/>
    <mergeCell ref="C1717:C1720"/>
    <mergeCell ref="E1790:F1790"/>
    <mergeCell ref="B1791:B1799"/>
    <mergeCell ref="C1791:C1799"/>
    <mergeCell ref="D1791:D1799"/>
    <mergeCell ref="E1818:F1818"/>
    <mergeCell ref="B1819:B1832"/>
    <mergeCell ref="E1695:F1695"/>
    <mergeCell ref="B1801:B1807"/>
    <mergeCell ref="B1766:B1767"/>
    <mergeCell ref="C1842:C1855"/>
    <mergeCell ref="D1842:D1855"/>
    <mergeCell ref="E1775:F1775"/>
    <mergeCell ref="B1776:B1779"/>
    <mergeCell ref="C1776:C1779"/>
    <mergeCell ref="B1750:B1764"/>
    <mergeCell ref="D1773:D1774"/>
    <mergeCell ref="E1765:F1765"/>
    <mergeCell ref="C1811:C1817"/>
    <mergeCell ref="B1811:B1817"/>
    <mergeCell ref="B1785:B1789"/>
    <mergeCell ref="C1785:C1789"/>
    <mergeCell ref="D1785:D1789"/>
    <mergeCell ref="E1780:F1780"/>
    <mergeCell ref="E1768:F1768"/>
    <mergeCell ref="C1819:C1832"/>
    <mergeCell ref="D1819:D1832"/>
    <mergeCell ref="E1723:F1723"/>
    <mergeCell ref="B1724:B1730"/>
    <mergeCell ref="C1724:C1730"/>
    <mergeCell ref="B1837:B1840"/>
    <mergeCell ref="C1837:C1840"/>
    <mergeCell ref="D1837:D1840"/>
    <mergeCell ref="D1738:D1740"/>
    <mergeCell ref="E1747:F1747"/>
    <mergeCell ref="E1800:F1800"/>
    <mergeCell ref="E1836:F1836"/>
    <mergeCell ref="E1833:F1833"/>
    <mergeCell ref="B1834:B1835"/>
    <mergeCell ref="E1544:F1544"/>
    <mergeCell ref="B1524:B1527"/>
    <mergeCell ref="C1521:C1522"/>
    <mergeCell ref="D1521:D1522"/>
    <mergeCell ref="C1509:C1510"/>
    <mergeCell ref="D1706:D1713"/>
    <mergeCell ref="D1776:D1779"/>
    <mergeCell ref="E1741:F1741"/>
    <mergeCell ref="E1721:F1721"/>
    <mergeCell ref="E1770:F1770"/>
    <mergeCell ref="E1772:F1772"/>
    <mergeCell ref="B1773:B1774"/>
    <mergeCell ref="C1773:C1774"/>
    <mergeCell ref="C1732:C1736"/>
    <mergeCell ref="B1738:B1740"/>
    <mergeCell ref="C1738:C1740"/>
    <mergeCell ref="E1693:F1693"/>
    <mergeCell ref="D1724:D1730"/>
    <mergeCell ref="E1731:F1731"/>
    <mergeCell ref="B1732:B1736"/>
    <mergeCell ref="D1696:D1704"/>
    <mergeCell ref="E1534:F1534"/>
    <mergeCell ref="E1536:F1536"/>
    <mergeCell ref="C1547:C1578"/>
    <mergeCell ref="D1547:D1578"/>
    <mergeCell ref="B1629:B1631"/>
    <mergeCell ref="B1582:B1589"/>
    <mergeCell ref="C1582:C1589"/>
    <mergeCell ref="C1633:C1640"/>
    <mergeCell ref="D1633:D1640"/>
    <mergeCell ref="E1625:F1625"/>
    <mergeCell ref="B1626:B1627"/>
    <mergeCell ref="E1528:F1528"/>
    <mergeCell ref="B1529:B1531"/>
    <mergeCell ref="C1529:C1531"/>
    <mergeCell ref="D1529:D1531"/>
    <mergeCell ref="D1491:D1494"/>
    <mergeCell ref="D1509:D1510"/>
    <mergeCell ref="B1537:B1543"/>
    <mergeCell ref="C1537:C1543"/>
    <mergeCell ref="D1537:D1543"/>
    <mergeCell ref="E1516:F1516"/>
    <mergeCell ref="E1514:F1514"/>
    <mergeCell ref="E1532:F1532"/>
    <mergeCell ref="C1496:C1507"/>
    <mergeCell ref="D1496:D1507"/>
    <mergeCell ref="B1486:B1489"/>
    <mergeCell ref="B1517:B1519"/>
    <mergeCell ref="C1517:C1519"/>
    <mergeCell ref="E1523:F1523"/>
    <mergeCell ref="B1521:B1522"/>
    <mergeCell ref="B1491:B1494"/>
    <mergeCell ref="C1491:C1494"/>
    <mergeCell ref="D1517:D1519"/>
    <mergeCell ref="C1524:C1527"/>
    <mergeCell ref="D1524:D1527"/>
    <mergeCell ref="B1417:B1421"/>
    <mergeCell ref="D1428:D1432"/>
    <mergeCell ref="C1462:C1477"/>
    <mergeCell ref="B1454:B1455"/>
    <mergeCell ref="C1454:C1455"/>
    <mergeCell ref="D1454:D1455"/>
    <mergeCell ref="C1434:C1435"/>
    <mergeCell ref="D1434:D1435"/>
    <mergeCell ref="E1427:F1427"/>
    <mergeCell ref="B1428:B1432"/>
    <mergeCell ref="E1520:F1520"/>
    <mergeCell ref="D1512:D1513"/>
    <mergeCell ref="E1495:F1495"/>
    <mergeCell ref="B1496:B1507"/>
    <mergeCell ref="C1439:C1442"/>
    <mergeCell ref="D1439:D1442"/>
    <mergeCell ref="E1443:F1443"/>
    <mergeCell ref="B1444:B1446"/>
    <mergeCell ref="C1444:C1446"/>
    <mergeCell ref="E1481:F1481"/>
    <mergeCell ref="B1479:B1480"/>
    <mergeCell ref="C1479:C1480"/>
    <mergeCell ref="D1479:D1480"/>
    <mergeCell ref="E1511:F1511"/>
    <mergeCell ref="B1512:B1513"/>
    <mergeCell ref="C1512:C1513"/>
    <mergeCell ref="E1485:F1485"/>
    <mergeCell ref="D1486:D1489"/>
    <mergeCell ref="B1509:B1510"/>
    <mergeCell ref="C1486:C1489"/>
    <mergeCell ref="E1490:F1490"/>
    <mergeCell ref="E1483:F1483"/>
    <mergeCell ref="D1304:D1305"/>
    <mergeCell ref="D1392:D1406"/>
    <mergeCell ref="E1407:F1407"/>
    <mergeCell ref="B1408:B1412"/>
    <mergeCell ref="C1408:C1412"/>
    <mergeCell ref="B1355:B1356"/>
    <mergeCell ref="C1355:C1356"/>
    <mergeCell ref="D1355:D1356"/>
    <mergeCell ref="C1414:C1415"/>
    <mergeCell ref="D1462:D1477"/>
    <mergeCell ref="E1416:F1416"/>
    <mergeCell ref="E1436:F1436"/>
    <mergeCell ref="C1428:C1432"/>
    <mergeCell ref="E1422:F1422"/>
    <mergeCell ref="B1423:B1426"/>
    <mergeCell ref="C1423:C1426"/>
    <mergeCell ref="D1423:D1426"/>
    <mergeCell ref="E1433:F1433"/>
    <mergeCell ref="B1434:B1435"/>
    <mergeCell ref="D1444:D1446"/>
    <mergeCell ref="E1438:F1438"/>
    <mergeCell ref="B1439:B1442"/>
    <mergeCell ref="B1462:B1477"/>
    <mergeCell ref="E1461:F1461"/>
    <mergeCell ref="D1417:D1421"/>
    <mergeCell ref="B1459:B1460"/>
    <mergeCell ref="C1459:C1460"/>
    <mergeCell ref="B1448:B1452"/>
    <mergeCell ref="C1448:C1452"/>
    <mergeCell ref="D1448:D1452"/>
    <mergeCell ref="E1453:F1453"/>
    <mergeCell ref="E1458:F1458"/>
    <mergeCell ref="B1238:B1249"/>
    <mergeCell ref="C1238:C1249"/>
    <mergeCell ref="D1238:D1249"/>
    <mergeCell ref="E1256:F1256"/>
    <mergeCell ref="E1262:F1262"/>
    <mergeCell ref="E1254:F1254"/>
    <mergeCell ref="E1250:F1250"/>
    <mergeCell ref="B1251:B1253"/>
    <mergeCell ref="E1266:F1266"/>
    <mergeCell ref="D1408:D1412"/>
    <mergeCell ref="E1385:F1385"/>
    <mergeCell ref="B1386:B1387"/>
    <mergeCell ref="C1386:C1387"/>
    <mergeCell ref="D1386:D1387"/>
    <mergeCell ref="C1389:C1390"/>
    <mergeCell ref="D1389:D1390"/>
    <mergeCell ref="E1391:F1391"/>
    <mergeCell ref="D1296:D1299"/>
    <mergeCell ref="E1335:F1335"/>
    <mergeCell ref="B1392:B1406"/>
    <mergeCell ref="E1388:F1388"/>
    <mergeCell ref="B1389:B1390"/>
    <mergeCell ref="C1392:C1406"/>
    <mergeCell ref="C1284:C1294"/>
    <mergeCell ref="E1270:F1270"/>
    <mergeCell ref="C1346:C1348"/>
    <mergeCell ref="C1350:C1353"/>
    <mergeCell ref="D1350:D1353"/>
    <mergeCell ref="E1379:F1379"/>
    <mergeCell ref="E1274:F1274"/>
    <mergeCell ref="E1300:F1300"/>
    <mergeCell ref="E1319:F1319"/>
    <mergeCell ref="C741:C745"/>
    <mergeCell ref="D741:D745"/>
    <mergeCell ref="E746:F746"/>
    <mergeCell ref="E733:F733"/>
    <mergeCell ref="B734:B739"/>
    <mergeCell ref="C734:C739"/>
    <mergeCell ref="D734:D739"/>
    <mergeCell ref="E752:F752"/>
    <mergeCell ref="B1170:B1173"/>
    <mergeCell ref="C1170:C1173"/>
    <mergeCell ref="D1170:D1173"/>
    <mergeCell ref="B1198:B1200"/>
    <mergeCell ref="E1174:F1174"/>
    <mergeCell ref="B1175:B1176"/>
    <mergeCell ref="C1175:C1176"/>
    <mergeCell ref="D1175:D1176"/>
    <mergeCell ref="E1177:F1177"/>
    <mergeCell ref="B1178:B1180"/>
    <mergeCell ref="C1178:C1180"/>
    <mergeCell ref="D1178:D1180"/>
    <mergeCell ref="E1181:F1181"/>
    <mergeCell ref="B1182:B1196"/>
    <mergeCell ref="E1159:F1159"/>
    <mergeCell ref="B1160:B1161"/>
    <mergeCell ref="C1160:C1161"/>
    <mergeCell ref="D1160:D1161"/>
    <mergeCell ref="E1162:F1162"/>
    <mergeCell ref="E1164:F1164"/>
    <mergeCell ref="B1165:B1168"/>
    <mergeCell ref="C1165:C1168"/>
    <mergeCell ref="D1165:D1168"/>
    <mergeCell ref="C845:C849"/>
    <mergeCell ref="E586:F586"/>
    <mergeCell ref="B587:B590"/>
    <mergeCell ref="E653:F653"/>
    <mergeCell ref="B654:B655"/>
    <mergeCell ref="C654:C655"/>
    <mergeCell ref="D654:D655"/>
    <mergeCell ref="B651:B652"/>
    <mergeCell ref="C651:C652"/>
    <mergeCell ref="D651:D652"/>
    <mergeCell ref="E605:F605"/>
    <mergeCell ref="C587:C590"/>
    <mergeCell ref="D587:D590"/>
    <mergeCell ref="E591:F591"/>
    <mergeCell ref="D704:D710"/>
    <mergeCell ref="E758:F758"/>
    <mergeCell ref="B759:B763"/>
    <mergeCell ref="C759:C763"/>
    <mergeCell ref="D759:D763"/>
    <mergeCell ref="E726:F726"/>
    <mergeCell ref="B727:B728"/>
    <mergeCell ref="C727:C728"/>
    <mergeCell ref="D727:D728"/>
    <mergeCell ref="E711:F711"/>
    <mergeCell ref="B712:B713"/>
    <mergeCell ref="C712:C713"/>
    <mergeCell ref="D712:D713"/>
    <mergeCell ref="E714:F714"/>
    <mergeCell ref="E716:F716"/>
    <mergeCell ref="B717:B718"/>
    <mergeCell ref="C717:C718"/>
    <mergeCell ref="D717:D718"/>
    <mergeCell ref="E731:F731"/>
    <mergeCell ref="B666:B669"/>
    <mergeCell ref="B704:B710"/>
    <mergeCell ref="C704:C710"/>
    <mergeCell ref="E542:F542"/>
    <mergeCell ref="E544:F544"/>
    <mergeCell ref="B545:B555"/>
    <mergeCell ref="C545:C555"/>
    <mergeCell ref="D545:D555"/>
    <mergeCell ref="E564:F564"/>
    <mergeCell ref="B565:B574"/>
    <mergeCell ref="C565:C574"/>
    <mergeCell ref="D565:D574"/>
    <mergeCell ref="E556:F556"/>
    <mergeCell ref="E558:F558"/>
    <mergeCell ref="B559:B560"/>
    <mergeCell ref="C559:C560"/>
    <mergeCell ref="D559:D560"/>
    <mergeCell ref="E561:F561"/>
    <mergeCell ref="B562:B563"/>
    <mergeCell ref="C562:C563"/>
    <mergeCell ref="D562:D563"/>
    <mergeCell ref="E575:F575"/>
    <mergeCell ref="B576:B581"/>
    <mergeCell ref="C576:C581"/>
    <mergeCell ref="D576:D581"/>
    <mergeCell ref="E582:F582"/>
    <mergeCell ref="B583:B585"/>
    <mergeCell ref="C583:C585"/>
    <mergeCell ref="D583:D585"/>
    <mergeCell ref="E656:F656"/>
    <mergeCell ref="E601:F601"/>
    <mergeCell ref="E603:F603"/>
    <mergeCell ref="E525:F525"/>
    <mergeCell ref="B526:B528"/>
    <mergeCell ref="C526:C528"/>
    <mergeCell ref="D526:D528"/>
    <mergeCell ref="E529:F529"/>
    <mergeCell ref="B530:B531"/>
    <mergeCell ref="C530:C531"/>
    <mergeCell ref="D530:D531"/>
    <mergeCell ref="E532:F532"/>
    <mergeCell ref="B533:B535"/>
    <mergeCell ref="C533:C535"/>
    <mergeCell ref="D533:D535"/>
    <mergeCell ref="E536:F536"/>
    <mergeCell ref="B537:B539"/>
    <mergeCell ref="C537:C539"/>
    <mergeCell ref="D537:D539"/>
    <mergeCell ref="E540:F540"/>
    <mergeCell ref="E513:F513"/>
    <mergeCell ref="B514:B517"/>
    <mergeCell ref="C514:C517"/>
    <mergeCell ref="D514:D517"/>
    <mergeCell ref="E508:F508"/>
    <mergeCell ref="B509:B510"/>
    <mergeCell ref="C509:C510"/>
    <mergeCell ref="D509:D510"/>
    <mergeCell ref="E498:F498"/>
    <mergeCell ref="B499:B507"/>
    <mergeCell ref="C499:C507"/>
    <mergeCell ref="D499:D507"/>
    <mergeCell ref="E511:F511"/>
    <mergeCell ref="E518:F518"/>
    <mergeCell ref="B519:B524"/>
    <mergeCell ref="C519:C524"/>
    <mergeCell ref="D519:D524"/>
    <mergeCell ref="E18:F18"/>
    <mergeCell ref="B19:B43"/>
    <mergeCell ref="C19:C43"/>
    <mergeCell ref="D19:D43"/>
    <mergeCell ref="E44:F44"/>
    <mergeCell ref="B45:B47"/>
    <mergeCell ref="C45:C47"/>
    <mergeCell ref="D45:D47"/>
    <mergeCell ref="E3:F3"/>
    <mergeCell ref="B4:B10"/>
    <mergeCell ref="C4:C10"/>
    <mergeCell ref="D4:D10"/>
    <mergeCell ref="E11:F11"/>
    <mergeCell ref="B12:B17"/>
    <mergeCell ref="C12:C17"/>
    <mergeCell ref="D12:D17"/>
    <mergeCell ref="E48:F48"/>
    <mergeCell ref="E69:F69"/>
    <mergeCell ref="B70:B73"/>
    <mergeCell ref="C70:C73"/>
    <mergeCell ref="D70:D73"/>
    <mergeCell ref="E74:F74"/>
    <mergeCell ref="E76:F76"/>
    <mergeCell ref="E62:F62"/>
    <mergeCell ref="E64:F64"/>
    <mergeCell ref="B65:B66"/>
    <mergeCell ref="C65:C66"/>
    <mergeCell ref="D65:D66"/>
    <mergeCell ref="E67:F67"/>
    <mergeCell ref="B49:B53"/>
    <mergeCell ref="C49:C53"/>
    <mergeCell ref="D49:D53"/>
    <mergeCell ref="E54:F54"/>
    <mergeCell ref="B55:B61"/>
    <mergeCell ref="C55:C61"/>
    <mergeCell ref="D55:D61"/>
    <mergeCell ref="E103:F103"/>
    <mergeCell ref="B104:B105"/>
    <mergeCell ref="C104:C105"/>
    <mergeCell ref="D104:D105"/>
    <mergeCell ref="E106:F106"/>
    <mergeCell ref="B107:B111"/>
    <mergeCell ref="C107:C111"/>
    <mergeCell ref="D107:D111"/>
    <mergeCell ref="E89:F89"/>
    <mergeCell ref="B90:B92"/>
    <mergeCell ref="C90:C92"/>
    <mergeCell ref="D90:D92"/>
    <mergeCell ref="E93:F93"/>
    <mergeCell ref="D94:D102"/>
    <mergeCell ref="B95:B102"/>
    <mergeCell ref="C95:C102"/>
    <mergeCell ref="E78:F78"/>
    <mergeCell ref="B79:B84"/>
    <mergeCell ref="C79:C84"/>
    <mergeCell ref="D79:D84"/>
    <mergeCell ref="E85:F85"/>
    <mergeCell ref="B86:B88"/>
    <mergeCell ref="C86:C88"/>
    <mergeCell ref="D86:D88"/>
    <mergeCell ref="E125:F125"/>
    <mergeCell ref="B126:B150"/>
    <mergeCell ref="C126:C150"/>
    <mergeCell ref="D126:D150"/>
    <mergeCell ref="E151:F151"/>
    <mergeCell ref="B152:B153"/>
    <mergeCell ref="C152:C153"/>
    <mergeCell ref="D152:D153"/>
    <mergeCell ref="E119:F119"/>
    <mergeCell ref="B120:B122"/>
    <mergeCell ref="C120:C122"/>
    <mergeCell ref="D120:D122"/>
    <mergeCell ref="E123:F123"/>
    <mergeCell ref="B124:D124"/>
    <mergeCell ref="E112:F112"/>
    <mergeCell ref="B113:B114"/>
    <mergeCell ref="C113:C114"/>
    <mergeCell ref="D113:D114"/>
    <mergeCell ref="E115:F115"/>
    <mergeCell ref="B116:B118"/>
    <mergeCell ref="C116:C118"/>
    <mergeCell ref="D116:D118"/>
    <mergeCell ref="E172:F172"/>
    <mergeCell ref="B173:B187"/>
    <mergeCell ref="C173:C187"/>
    <mergeCell ref="D173:D187"/>
    <mergeCell ref="E188:F188"/>
    <mergeCell ref="B189:B191"/>
    <mergeCell ref="C189:C191"/>
    <mergeCell ref="D189:D191"/>
    <mergeCell ref="E161:F161"/>
    <mergeCell ref="E163:F163"/>
    <mergeCell ref="E165:F165"/>
    <mergeCell ref="E167:F167"/>
    <mergeCell ref="B168:B171"/>
    <mergeCell ref="C168:C171"/>
    <mergeCell ref="D168:D171"/>
    <mergeCell ref="E154:F154"/>
    <mergeCell ref="B155:B156"/>
    <mergeCell ref="C155:C156"/>
    <mergeCell ref="D155:D156"/>
    <mergeCell ref="E157:F157"/>
    <mergeCell ref="B158:B160"/>
    <mergeCell ref="C158:C160"/>
    <mergeCell ref="D158:D160"/>
    <mergeCell ref="B208:B209"/>
    <mergeCell ref="C208:C209"/>
    <mergeCell ref="D208:D209"/>
    <mergeCell ref="E210:F210"/>
    <mergeCell ref="B211:B213"/>
    <mergeCell ref="C211:C213"/>
    <mergeCell ref="D211:D213"/>
    <mergeCell ref="E202:F202"/>
    <mergeCell ref="B203:B204"/>
    <mergeCell ref="C203:C204"/>
    <mergeCell ref="D203:D204"/>
    <mergeCell ref="E205:F205"/>
    <mergeCell ref="E207:F207"/>
    <mergeCell ref="E192:F192"/>
    <mergeCell ref="B193:D193"/>
    <mergeCell ref="E194:F194"/>
    <mergeCell ref="B195:D195"/>
    <mergeCell ref="E196:F196"/>
    <mergeCell ref="B197:B201"/>
    <mergeCell ref="C197:C201"/>
    <mergeCell ref="D197:D201"/>
    <mergeCell ref="E236:F236"/>
    <mergeCell ref="B237:B240"/>
    <mergeCell ref="C237:C240"/>
    <mergeCell ref="D237:D240"/>
    <mergeCell ref="E241:F241"/>
    <mergeCell ref="E243:F243"/>
    <mergeCell ref="B224:B230"/>
    <mergeCell ref="C224:C230"/>
    <mergeCell ref="D224:D230"/>
    <mergeCell ref="E231:F231"/>
    <mergeCell ref="B232:B235"/>
    <mergeCell ref="C232:C235"/>
    <mergeCell ref="D232:D235"/>
    <mergeCell ref="E214:F214"/>
    <mergeCell ref="E216:F216"/>
    <mergeCell ref="B217:B222"/>
    <mergeCell ref="C217:C222"/>
    <mergeCell ref="D217:D222"/>
    <mergeCell ref="E223:F223"/>
    <mergeCell ref="E262:F262"/>
    <mergeCell ref="B263:B268"/>
    <mergeCell ref="C263:C268"/>
    <mergeCell ref="D263:D268"/>
    <mergeCell ref="E269:F269"/>
    <mergeCell ref="B270:B272"/>
    <mergeCell ref="C270:C272"/>
    <mergeCell ref="D270:D272"/>
    <mergeCell ref="E253:F253"/>
    <mergeCell ref="B254:B257"/>
    <mergeCell ref="C254:C257"/>
    <mergeCell ref="D254:D257"/>
    <mergeCell ref="E258:F258"/>
    <mergeCell ref="E260:F260"/>
    <mergeCell ref="B244:B247"/>
    <mergeCell ref="C244:C247"/>
    <mergeCell ref="D244:D247"/>
    <mergeCell ref="E248:F248"/>
    <mergeCell ref="B249:B252"/>
    <mergeCell ref="C249:C252"/>
    <mergeCell ref="D249:D252"/>
    <mergeCell ref="E286:F286"/>
    <mergeCell ref="B287:B290"/>
    <mergeCell ref="C287:C290"/>
    <mergeCell ref="D287:D290"/>
    <mergeCell ref="E291:F291"/>
    <mergeCell ref="B292:B314"/>
    <mergeCell ref="C292:C314"/>
    <mergeCell ref="D292:D314"/>
    <mergeCell ref="B279:B280"/>
    <mergeCell ref="C279:C280"/>
    <mergeCell ref="D279:D280"/>
    <mergeCell ref="E281:F281"/>
    <mergeCell ref="E283:F283"/>
    <mergeCell ref="B284:B285"/>
    <mergeCell ref="C284:C285"/>
    <mergeCell ref="D284:D285"/>
    <mergeCell ref="E273:F273"/>
    <mergeCell ref="B274:B275"/>
    <mergeCell ref="C274:C275"/>
    <mergeCell ref="D274:D275"/>
    <mergeCell ref="E276:F276"/>
    <mergeCell ref="E278:F278"/>
    <mergeCell ref="E332:F332"/>
    <mergeCell ref="B333:B334"/>
    <mergeCell ref="C333:C334"/>
    <mergeCell ref="D333:D334"/>
    <mergeCell ref="E335:F335"/>
    <mergeCell ref="E337:F337"/>
    <mergeCell ref="B324:B325"/>
    <mergeCell ref="C324:C325"/>
    <mergeCell ref="D324:D325"/>
    <mergeCell ref="E326:F326"/>
    <mergeCell ref="E328:F328"/>
    <mergeCell ref="E330:F330"/>
    <mergeCell ref="E315:F315"/>
    <mergeCell ref="E317:F317"/>
    <mergeCell ref="B318:B320"/>
    <mergeCell ref="C318:C320"/>
    <mergeCell ref="D318:D320"/>
    <mergeCell ref="E321:F321"/>
    <mergeCell ref="E393:F393"/>
    <mergeCell ref="B348:B349"/>
    <mergeCell ref="C348:C349"/>
    <mergeCell ref="D348:D349"/>
    <mergeCell ref="E350:F350"/>
    <mergeCell ref="E352:F352"/>
    <mergeCell ref="B359:B385"/>
    <mergeCell ref="C359:C385"/>
    <mergeCell ref="D359:D385"/>
    <mergeCell ref="E339:F339"/>
    <mergeCell ref="E341:F341"/>
    <mergeCell ref="B342:B346"/>
    <mergeCell ref="C342:C346"/>
    <mergeCell ref="D342:D346"/>
    <mergeCell ref="E347:F347"/>
    <mergeCell ref="E358:F358"/>
    <mergeCell ref="E356:F356"/>
    <mergeCell ref="E354:F354"/>
    <mergeCell ref="E386:F386"/>
    <mergeCell ref="B387:B388"/>
    <mergeCell ref="C387:C388"/>
    <mergeCell ref="D387:D388"/>
    <mergeCell ref="B390:B392"/>
    <mergeCell ref="C390:C392"/>
    <mergeCell ref="D390:D392"/>
    <mergeCell ref="E478:F478"/>
    <mergeCell ref="E444:F444"/>
    <mergeCell ref="C488:C497"/>
    <mergeCell ref="E407:F407"/>
    <mergeCell ref="E422:F422"/>
    <mergeCell ref="E426:F426"/>
    <mergeCell ref="E409:F409"/>
    <mergeCell ref="B398:B400"/>
    <mergeCell ref="C398:C400"/>
    <mergeCell ref="D398:D400"/>
    <mergeCell ref="E401:F401"/>
    <mergeCell ref="B402:B404"/>
    <mergeCell ref="C402:C404"/>
    <mergeCell ref="D402:D404"/>
    <mergeCell ref="D488:D497"/>
    <mergeCell ref="E480:F480"/>
    <mergeCell ref="B481:B484"/>
    <mergeCell ref="C481:C484"/>
    <mergeCell ref="D481:D484"/>
    <mergeCell ref="B430:B432"/>
    <mergeCell ref="C430:C432"/>
    <mergeCell ref="D430:D432"/>
    <mergeCell ref="B410:B421"/>
    <mergeCell ref="C410:C421"/>
    <mergeCell ref="D410:D421"/>
    <mergeCell ref="E435:F435"/>
    <mergeCell ref="B488:B497"/>
    <mergeCell ref="B461:B466"/>
    <mergeCell ref="C461:C466"/>
    <mergeCell ref="D461:D466"/>
    <mergeCell ref="B470:B472"/>
    <mergeCell ref="C470:C472"/>
    <mergeCell ref="D470:D472"/>
    <mergeCell ref="B438:B443"/>
    <mergeCell ref="C438:C443"/>
    <mergeCell ref="D438:D443"/>
    <mergeCell ref="B449:B459"/>
    <mergeCell ref="C449:C459"/>
    <mergeCell ref="D449:D459"/>
    <mergeCell ref="B427:B428"/>
    <mergeCell ref="C427:C428"/>
    <mergeCell ref="D427:D428"/>
    <mergeCell ref="E433:F433"/>
    <mergeCell ref="E469:F469"/>
    <mergeCell ref="E467:F467"/>
    <mergeCell ref="E460:F460"/>
    <mergeCell ref="E448:F448"/>
    <mergeCell ref="E446:F446"/>
    <mergeCell ref="E437:F437"/>
    <mergeCell ref="E397:F397"/>
    <mergeCell ref="E389:F389"/>
    <mergeCell ref="E395:F395"/>
    <mergeCell ref="B423:B425"/>
    <mergeCell ref="C423:C425"/>
    <mergeCell ref="D423:D425"/>
    <mergeCell ref="E429:F429"/>
    <mergeCell ref="E405:F405"/>
    <mergeCell ref="E729:F729"/>
    <mergeCell ref="B592:B598"/>
    <mergeCell ref="C592:C598"/>
    <mergeCell ref="D592:D598"/>
    <mergeCell ref="E599:F599"/>
    <mergeCell ref="E650:F650"/>
    <mergeCell ref="B606:B649"/>
    <mergeCell ref="C606:C649"/>
    <mergeCell ref="D606:D649"/>
    <mergeCell ref="E660:F660"/>
    <mergeCell ref="B657:B659"/>
    <mergeCell ref="C657:C659"/>
    <mergeCell ref="D657:D659"/>
    <mergeCell ref="E670:F670"/>
    <mergeCell ref="E662:F662"/>
    <mergeCell ref="B663:B664"/>
    <mergeCell ref="C663:C664"/>
    <mergeCell ref="D663:D664"/>
    <mergeCell ref="E674:F674"/>
    <mergeCell ref="B474:B475"/>
    <mergeCell ref="C474:C475"/>
    <mergeCell ref="D474:D475"/>
    <mergeCell ref="E476:F476"/>
    <mergeCell ref="E487:F487"/>
    <mergeCell ref="E473:F473"/>
    <mergeCell ref="E485:F485"/>
    <mergeCell ref="E740:F740"/>
    <mergeCell ref="B741:B745"/>
    <mergeCell ref="B675:B684"/>
    <mergeCell ref="C675:C684"/>
    <mergeCell ref="D675:D684"/>
    <mergeCell ref="E672:F672"/>
    <mergeCell ref="E665:F665"/>
    <mergeCell ref="E719:F719"/>
    <mergeCell ref="E721:F721"/>
    <mergeCell ref="B722:B725"/>
    <mergeCell ref="C722:C725"/>
    <mergeCell ref="D722:D725"/>
    <mergeCell ref="C666:C669"/>
    <mergeCell ref="D666:D669"/>
    <mergeCell ref="E691:F691"/>
    <mergeCell ref="B692:B695"/>
    <mergeCell ref="C692:C695"/>
    <mergeCell ref="E685:F685"/>
    <mergeCell ref="E689:F689"/>
    <mergeCell ref="B686:B688"/>
    <mergeCell ref="C686:C688"/>
    <mergeCell ref="D686:D688"/>
    <mergeCell ref="D692:D695"/>
    <mergeCell ref="E696:F696"/>
    <mergeCell ref="E698:F698"/>
    <mergeCell ref="B699:B700"/>
    <mergeCell ref="C699:C700"/>
    <mergeCell ref="D699:D700"/>
    <mergeCell ref="E701:F701"/>
    <mergeCell ref="E703:F703"/>
    <mergeCell ref="D845:D849"/>
    <mergeCell ref="B851:B853"/>
    <mergeCell ref="B753:B757"/>
    <mergeCell ref="C753:C757"/>
    <mergeCell ref="D753:D757"/>
    <mergeCell ref="E748:F748"/>
    <mergeCell ref="E750:F750"/>
    <mergeCell ref="B777:B786"/>
    <mergeCell ref="C777:C786"/>
    <mergeCell ref="D777:D786"/>
    <mergeCell ref="E841:F841"/>
    <mergeCell ref="E825:F825"/>
    <mergeCell ref="B826:B831"/>
    <mergeCell ref="C826:C831"/>
    <mergeCell ref="D826:D831"/>
    <mergeCell ref="E817:F817"/>
    <mergeCell ref="B818:B824"/>
    <mergeCell ref="C818:C824"/>
    <mergeCell ref="D818:D824"/>
    <mergeCell ref="E787:F787"/>
    <mergeCell ref="B788:B816"/>
    <mergeCell ref="C788:C816"/>
    <mergeCell ref="D788:D816"/>
    <mergeCell ref="E769:F769"/>
    <mergeCell ref="B770:B773"/>
    <mergeCell ref="C851:C853"/>
    <mergeCell ref="E850:F850"/>
    <mergeCell ref="D851:D853"/>
    <mergeCell ref="E857:F857"/>
    <mergeCell ref="E882:F882"/>
    <mergeCell ref="B858:B860"/>
    <mergeCell ref="C858:C860"/>
    <mergeCell ref="D858:D860"/>
    <mergeCell ref="E861:F861"/>
    <mergeCell ref="B862:B879"/>
    <mergeCell ref="C862:C879"/>
    <mergeCell ref="D862:D879"/>
    <mergeCell ref="E880:F880"/>
    <mergeCell ref="E884:F884"/>
    <mergeCell ref="B885:B886"/>
    <mergeCell ref="C885:C886"/>
    <mergeCell ref="E764:F764"/>
    <mergeCell ref="B765:B766"/>
    <mergeCell ref="C765:C766"/>
    <mergeCell ref="D765:D766"/>
    <mergeCell ref="E767:F767"/>
    <mergeCell ref="B842:B843"/>
    <mergeCell ref="C842:C843"/>
    <mergeCell ref="D842:D843"/>
    <mergeCell ref="D770:D773"/>
    <mergeCell ref="E774:F774"/>
    <mergeCell ref="E832:F832"/>
    <mergeCell ref="B833:B840"/>
    <mergeCell ref="C833:C840"/>
    <mergeCell ref="D833:D840"/>
    <mergeCell ref="E776:F776"/>
    <mergeCell ref="C770:C773"/>
    <mergeCell ref="D885:D886"/>
    <mergeCell ref="E844:F844"/>
    <mergeCell ref="B845:B849"/>
    <mergeCell ref="E916:F916"/>
    <mergeCell ref="B917:B922"/>
    <mergeCell ref="C917:C922"/>
    <mergeCell ref="D917:D922"/>
    <mergeCell ref="E923:F923"/>
    <mergeCell ref="B924:B927"/>
    <mergeCell ref="D961:D988"/>
    <mergeCell ref="B952:B953"/>
    <mergeCell ref="C952:C953"/>
    <mergeCell ref="E951:F951"/>
    <mergeCell ref="D952:D953"/>
    <mergeCell ref="E954:F954"/>
    <mergeCell ref="B955:B957"/>
    <mergeCell ref="C955:C957"/>
    <mergeCell ref="D955:D957"/>
    <mergeCell ref="E938:F938"/>
    <mergeCell ref="E940:F940"/>
    <mergeCell ref="E942:F942"/>
    <mergeCell ref="E928:F928"/>
    <mergeCell ref="E958:F958"/>
    <mergeCell ref="C924:C927"/>
    <mergeCell ref="E887:F887"/>
    <mergeCell ref="E889:F889"/>
    <mergeCell ref="B890:B897"/>
    <mergeCell ref="C890:C897"/>
    <mergeCell ref="D890:D897"/>
    <mergeCell ref="E914:F914"/>
    <mergeCell ref="B904:B910"/>
    <mergeCell ref="C904:C910"/>
    <mergeCell ref="D904:D910"/>
    <mergeCell ref="E911:F911"/>
    <mergeCell ref="B912:B913"/>
    <mergeCell ref="C912:C913"/>
    <mergeCell ref="D912:D913"/>
    <mergeCell ref="E898:F898"/>
    <mergeCell ref="B899:B902"/>
    <mergeCell ref="C899:C902"/>
    <mergeCell ref="D899:D902"/>
    <mergeCell ref="E903:F903"/>
    <mergeCell ref="E989:F989"/>
    <mergeCell ref="B990:B992"/>
    <mergeCell ref="C990:C992"/>
    <mergeCell ref="D990:D992"/>
    <mergeCell ref="E993:F993"/>
    <mergeCell ref="B994:B996"/>
    <mergeCell ref="C994:C996"/>
    <mergeCell ref="D994:D996"/>
    <mergeCell ref="E997:F997"/>
    <mergeCell ref="D924:D927"/>
    <mergeCell ref="E944:F944"/>
    <mergeCell ref="B945:B946"/>
    <mergeCell ref="C945:C946"/>
    <mergeCell ref="D945:D946"/>
    <mergeCell ref="E947:F947"/>
    <mergeCell ref="B948:B950"/>
    <mergeCell ref="C948:C950"/>
    <mergeCell ref="D948:D950"/>
    <mergeCell ref="E930:F930"/>
    <mergeCell ref="B931:B933"/>
    <mergeCell ref="C931:C933"/>
    <mergeCell ref="D931:D933"/>
    <mergeCell ref="E934:F934"/>
    <mergeCell ref="E936:F936"/>
    <mergeCell ref="E960:F960"/>
    <mergeCell ref="B961:B988"/>
    <mergeCell ref="C961:C988"/>
    <mergeCell ref="C1001:C1002"/>
    <mergeCell ref="D1001:D1002"/>
    <mergeCell ref="E1003:F1003"/>
    <mergeCell ref="B1029:B1030"/>
    <mergeCell ref="D1034:D1035"/>
    <mergeCell ref="B998:B999"/>
    <mergeCell ref="C998:C999"/>
    <mergeCell ref="D998:D999"/>
    <mergeCell ref="B1007:B1011"/>
    <mergeCell ref="C1007:C1011"/>
    <mergeCell ref="D1007:D1011"/>
    <mergeCell ref="E1012:F1012"/>
    <mergeCell ref="B1004:B1005"/>
    <mergeCell ref="B1013:B1014"/>
    <mergeCell ref="C1013:C1014"/>
    <mergeCell ref="D1013:D1014"/>
    <mergeCell ref="E1000:F1000"/>
    <mergeCell ref="B1001:B1002"/>
    <mergeCell ref="C1004:C1005"/>
    <mergeCell ref="D1004:D1005"/>
    <mergeCell ref="E1006:F1006"/>
    <mergeCell ref="E1015:F1015"/>
    <mergeCell ref="E1017:F1017"/>
    <mergeCell ref="E1019:F1019"/>
    <mergeCell ref="B1020:B1027"/>
    <mergeCell ref="C1020:C1027"/>
    <mergeCell ref="D1020:D1027"/>
    <mergeCell ref="C1029:C1030"/>
    <mergeCell ref="E1028:F1028"/>
    <mergeCell ref="D1029:D1030"/>
    <mergeCell ref="D1040:D1042"/>
    <mergeCell ref="E1043:F1043"/>
    <mergeCell ref="D1066:D1067"/>
    <mergeCell ref="D1056:D1062"/>
    <mergeCell ref="E1065:F1065"/>
    <mergeCell ref="B1066:B1067"/>
    <mergeCell ref="E1033:F1033"/>
    <mergeCell ref="B1034:B1035"/>
    <mergeCell ref="C1034:C1035"/>
    <mergeCell ref="E1036:F1036"/>
    <mergeCell ref="B1037:B1038"/>
    <mergeCell ref="E1031:F1031"/>
    <mergeCell ref="E1039:F1039"/>
    <mergeCell ref="B1044:B1045"/>
    <mergeCell ref="C1044:C1045"/>
    <mergeCell ref="D1044:D1045"/>
    <mergeCell ref="E1055:F1055"/>
    <mergeCell ref="B1056:B1062"/>
    <mergeCell ref="C1056:C1062"/>
    <mergeCell ref="D1037:D1038"/>
    <mergeCell ref="C1037:C1038"/>
    <mergeCell ref="B1040:B1042"/>
    <mergeCell ref="C1040:C1042"/>
    <mergeCell ref="E1046:F1046"/>
    <mergeCell ref="C1047:C1054"/>
    <mergeCell ref="D1047:D1054"/>
    <mergeCell ref="B1083:B1085"/>
    <mergeCell ref="C1083:C1085"/>
    <mergeCell ref="B1047:B1054"/>
    <mergeCell ref="B1072:B1079"/>
    <mergeCell ref="C1072:C1079"/>
    <mergeCell ref="D1072:D1079"/>
    <mergeCell ref="C1066:C1067"/>
    <mergeCell ref="E1068:F1068"/>
    <mergeCell ref="E1071:F1071"/>
    <mergeCell ref="C1146:C1147"/>
    <mergeCell ref="D1146:D1147"/>
    <mergeCell ref="E1119:F1119"/>
    <mergeCell ref="C1120:C1121"/>
    <mergeCell ref="C1141:C1142"/>
    <mergeCell ref="D1141:D1142"/>
    <mergeCell ref="E1140:F1140"/>
    <mergeCell ref="E1138:F1138"/>
    <mergeCell ref="B1103:B1116"/>
    <mergeCell ref="C1103:C1116"/>
    <mergeCell ref="E1080:F1080"/>
    <mergeCell ref="E1086:F1086"/>
    <mergeCell ref="D1103:D1116"/>
    <mergeCell ref="B1095:B1099"/>
    <mergeCell ref="C1095:C1099"/>
    <mergeCell ref="D1095:D1099"/>
    <mergeCell ref="B1069:B1070"/>
    <mergeCell ref="D1069:D1070"/>
    <mergeCell ref="E1063:F1063"/>
    <mergeCell ref="E1082:F1082"/>
    <mergeCell ref="B1120:B1121"/>
    <mergeCell ref="D1120:D1121"/>
    <mergeCell ref="E1117:F1117"/>
    <mergeCell ref="D1284:D1294"/>
    <mergeCell ref="E1277:F1277"/>
    <mergeCell ref="E1279:F1279"/>
    <mergeCell ref="E1206:F1206"/>
    <mergeCell ref="B1087:B1088"/>
    <mergeCell ref="C1087:C1088"/>
    <mergeCell ref="D1087:D1088"/>
    <mergeCell ref="E1089:F1089"/>
    <mergeCell ref="B1090:B1091"/>
    <mergeCell ref="C1090:C1091"/>
    <mergeCell ref="D1090:D1091"/>
    <mergeCell ref="C1154:C1156"/>
    <mergeCell ref="D1154:D1156"/>
    <mergeCell ref="E1148:F1148"/>
    <mergeCell ref="C1149:C1150"/>
    <mergeCell ref="D1149:D1150"/>
    <mergeCell ref="B1202:B1203"/>
    <mergeCell ref="B1214:B1216"/>
    <mergeCell ref="C1214:C1216"/>
    <mergeCell ref="E1201:F1201"/>
    <mergeCell ref="C1198:C1200"/>
    <mergeCell ref="D1198:D1200"/>
    <mergeCell ref="E1208:F1208"/>
    <mergeCell ref="D1226:D1228"/>
    <mergeCell ref="E1223:F1223"/>
    <mergeCell ref="E1219:F1219"/>
    <mergeCell ref="B1141:B1142"/>
    <mergeCell ref="E1092:F1092"/>
    <mergeCell ref="C1257:C1261"/>
    <mergeCell ref="D1257:D1261"/>
    <mergeCell ref="E1122:F1122"/>
    <mergeCell ref="E1237:F1237"/>
    <mergeCell ref="D1314:D1318"/>
    <mergeCell ref="B1154:B1156"/>
    <mergeCell ref="B1149:B1150"/>
    <mergeCell ref="E1153:F1153"/>
    <mergeCell ref="E1102:F1102"/>
    <mergeCell ref="D1209:D1210"/>
    <mergeCell ref="E1197:F1197"/>
    <mergeCell ref="E1145:F1145"/>
    <mergeCell ref="C1182:C1196"/>
    <mergeCell ref="D1182:D1196"/>
    <mergeCell ref="E1295:F1295"/>
    <mergeCell ref="B1296:B1299"/>
    <mergeCell ref="B1284:B1294"/>
    <mergeCell ref="D1301:D1302"/>
    <mergeCell ref="E1303:F1303"/>
    <mergeCell ref="E1221:F1221"/>
    <mergeCell ref="E1225:F1225"/>
    <mergeCell ref="B1226:B1228"/>
    <mergeCell ref="C1226:C1228"/>
    <mergeCell ref="E1217:F1217"/>
    <mergeCell ref="E1211:F1211"/>
    <mergeCell ref="E1213:F1213"/>
    <mergeCell ref="B1209:B1210"/>
    <mergeCell ref="C1209:C1210"/>
    <mergeCell ref="D1214:D1216"/>
    <mergeCell ref="C1202:C1203"/>
    <mergeCell ref="D1202:D1203"/>
    <mergeCell ref="E1204:F1204"/>
    <mergeCell ref="E1264:F1264"/>
    <mergeCell ref="B1257:B1261"/>
    <mergeCell ref="B1146:B1147"/>
    <mergeCell ref="E1151:F1151"/>
    <mergeCell ref="E1124:F1124"/>
    <mergeCell ref="B1125:B1134"/>
    <mergeCell ref="C1125:C1134"/>
    <mergeCell ref="D1125:D1134"/>
    <mergeCell ref="E1143:F1143"/>
    <mergeCell ref="E1135:F1135"/>
    <mergeCell ref="B1136:B1137"/>
    <mergeCell ref="C1136:C1137"/>
    <mergeCell ref="D1083:D1085"/>
    <mergeCell ref="C1069:C1070"/>
    <mergeCell ref="E1094:F1094"/>
    <mergeCell ref="B1275:B1276"/>
    <mergeCell ref="C1275:C1276"/>
    <mergeCell ref="D1275:D1276"/>
    <mergeCell ref="E1272:F1272"/>
    <mergeCell ref="C1251:C1253"/>
    <mergeCell ref="D1251:D1253"/>
    <mergeCell ref="E1229:F1229"/>
    <mergeCell ref="B1230:B1231"/>
    <mergeCell ref="C1230:C1231"/>
    <mergeCell ref="D1230:D1231"/>
    <mergeCell ref="E1232:F1232"/>
    <mergeCell ref="E1234:F1234"/>
    <mergeCell ref="B1235:B1236"/>
    <mergeCell ref="C1235:C1236"/>
    <mergeCell ref="D1235:D1236"/>
    <mergeCell ref="B1267:B1269"/>
    <mergeCell ref="C1267:C1269"/>
    <mergeCell ref="D1267:D1269"/>
    <mergeCell ref="E1100:F1100"/>
    <mergeCell ref="E1157:F1157"/>
    <mergeCell ref="D1136:D1137"/>
    <mergeCell ref="D1307:D1308"/>
    <mergeCell ref="E1321:F1321"/>
    <mergeCell ref="E1313:F1313"/>
    <mergeCell ref="B1314:B1318"/>
    <mergeCell ref="D1324:D1328"/>
    <mergeCell ref="E1281:F1281"/>
    <mergeCell ref="E1342:F1342"/>
    <mergeCell ref="B1343:B1344"/>
    <mergeCell ref="C1343:C1344"/>
    <mergeCell ref="D1343:D1344"/>
    <mergeCell ref="C1380:C1382"/>
    <mergeCell ref="D1380:D1382"/>
    <mergeCell ref="E1339:F1339"/>
    <mergeCell ref="B1340:B1341"/>
    <mergeCell ref="D1340:D1341"/>
    <mergeCell ref="E1354:F1354"/>
    <mergeCell ref="D1346:D1348"/>
    <mergeCell ref="E1349:F1349"/>
    <mergeCell ref="C1340:C1341"/>
    <mergeCell ref="B1350:B1353"/>
    <mergeCell ref="B1330:B1332"/>
    <mergeCell ref="C1330:C1332"/>
    <mergeCell ref="E1337:F1337"/>
    <mergeCell ref="E1323:F1323"/>
    <mergeCell ref="B1304:B1305"/>
    <mergeCell ref="C1304:C1305"/>
    <mergeCell ref="C1296:C1299"/>
    <mergeCell ref="E1283:F1283"/>
    <mergeCell ref="E1329:F1329"/>
    <mergeCell ref="B1324:B1328"/>
    <mergeCell ref="C1324:C1328"/>
    <mergeCell ref="C1314:C1318"/>
    <mergeCell ref="D1717:D1720"/>
    <mergeCell ref="C1626:C1627"/>
    <mergeCell ref="E1309:F1309"/>
    <mergeCell ref="E1311:F1311"/>
    <mergeCell ref="E1306:F1306"/>
    <mergeCell ref="B1307:B1308"/>
    <mergeCell ref="C1307:C1308"/>
    <mergeCell ref="B1301:B1302"/>
    <mergeCell ref="D1582:D1589"/>
    <mergeCell ref="E1508:F1508"/>
    <mergeCell ref="D1459:D1460"/>
    <mergeCell ref="E1447:F1447"/>
    <mergeCell ref="E1333:F1333"/>
    <mergeCell ref="E1359:F1359"/>
    <mergeCell ref="B1360:B1378"/>
    <mergeCell ref="D1330:D1332"/>
    <mergeCell ref="C1301:C1302"/>
    <mergeCell ref="C1360:C1378"/>
    <mergeCell ref="D1360:D1378"/>
    <mergeCell ref="B1380:B1382"/>
    <mergeCell ref="B1346:B1348"/>
    <mergeCell ref="E1413:F1413"/>
    <mergeCell ref="B1414:B1415"/>
    <mergeCell ref="D1414:D1415"/>
    <mergeCell ref="C1417:C1421"/>
    <mergeCell ref="E1456:F1456"/>
    <mergeCell ref="E1478:F1478"/>
    <mergeCell ref="D1591:D1624"/>
    <mergeCell ref="E1628:F1628"/>
    <mergeCell ref="E1383:F1383"/>
    <mergeCell ref="E1357:F1357"/>
    <mergeCell ref="E1345:F1345"/>
    <mergeCell ref="C1591:C1624"/>
    <mergeCell ref="C1990:C1999"/>
    <mergeCell ref="D1990:D1999"/>
    <mergeCell ref="E1749:F1749"/>
    <mergeCell ref="E1963:F1963"/>
    <mergeCell ref="E1965:F1965"/>
    <mergeCell ref="B1966:B1968"/>
    <mergeCell ref="C1966:C1968"/>
    <mergeCell ref="D1966:D1968"/>
    <mergeCell ref="E1969:F1969"/>
    <mergeCell ref="C1952:C1954"/>
    <mergeCell ref="D1952:D1954"/>
    <mergeCell ref="E1955:F1955"/>
    <mergeCell ref="E1957:F1957"/>
    <mergeCell ref="B1958:B1960"/>
    <mergeCell ref="C1958:C1960"/>
    <mergeCell ref="D1958:D1960"/>
    <mergeCell ref="D1935:D1936"/>
    <mergeCell ref="E1885:F1885"/>
    <mergeCell ref="E1866:F1866"/>
    <mergeCell ref="E1951:F1951"/>
    <mergeCell ref="B1952:B1954"/>
    <mergeCell ref="E1928:F1928"/>
    <mergeCell ref="B1929:B1933"/>
    <mergeCell ref="E1856:F1856"/>
    <mergeCell ref="C1801:C1807"/>
    <mergeCell ref="E1910:F1910"/>
    <mergeCell ref="E1912:F1912"/>
    <mergeCell ref="B1913:B1927"/>
    <mergeCell ref="C1913:C1927"/>
    <mergeCell ref="D1913:D1927"/>
    <mergeCell ref="D1801:D1807"/>
    <mergeCell ref="E1546:F1546"/>
    <mergeCell ref="B1547:B1578"/>
    <mergeCell ref="B1696:B1704"/>
    <mergeCell ref="C1696:C1704"/>
    <mergeCell ref="B1688:B1692"/>
    <mergeCell ref="C1688:C1692"/>
    <mergeCell ref="E1687:F1687"/>
    <mergeCell ref="E1643:F1643"/>
    <mergeCell ref="D1629:D1631"/>
    <mergeCell ref="E1632:F1632"/>
    <mergeCell ref="B1633:B1640"/>
    <mergeCell ref="B1644:B1645"/>
    <mergeCell ref="D1626:D1627"/>
    <mergeCell ref="E1641:F1641"/>
    <mergeCell ref="D1688:D1692"/>
    <mergeCell ref="B1647:B1648"/>
    <mergeCell ref="C1647:C1648"/>
    <mergeCell ref="D1647:D1648"/>
    <mergeCell ref="E1649:F1649"/>
    <mergeCell ref="E1651:F1651"/>
    <mergeCell ref="B1652:B1654"/>
    <mergeCell ref="C1652:C1654"/>
    <mergeCell ref="C1629:C1631"/>
    <mergeCell ref="E1579:F1579"/>
    <mergeCell ref="E1581:F1581"/>
    <mergeCell ref="D1644:D1645"/>
    <mergeCell ref="E1646:F1646"/>
    <mergeCell ref="E1655:F1655"/>
    <mergeCell ref="B1656:B1686"/>
    <mergeCell ref="E1590:F1590"/>
    <mergeCell ref="D1652:D1654"/>
    <mergeCell ref="C1644:C1645"/>
    <mergeCell ref="B1867:B1882"/>
    <mergeCell ref="C1834:C1835"/>
    <mergeCell ref="D1834:D1835"/>
    <mergeCell ref="B1857:B1865"/>
    <mergeCell ref="C1857:C1865"/>
    <mergeCell ref="D1857:D1865"/>
    <mergeCell ref="D1901:D1909"/>
    <mergeCell ref="B1901:B1909"/>
    <mergeCell ref="E1887:F1887"/>
    <mergeCell ref="D1929:D1933"/>
    <mergeCell ref="E1948:F1948"/>
    <mergeCell ref="E1934:F1934"/>
    <mergeCell ref="B1935:B1936"/>
    <mergeCell ref="C1935:C1936"/>
    <mergeCell ref="E1961:F1961"/>
    <mergeCell ref="C1945:C1947"/>
    <mergeCell ref="D1945:D1947"/>
    <mergeCell ref="B1591:B1624"/>
    <mergeCell ref="E2095:F2095"/>
    <mergeCell ref="B2096:B2097"/>
    <mergeCell ref="C2096:C2097"/>
    <mergeCell ref="D2096:D2097"/>
    <mergeCell ref="E2088:F2088"/>
    <mergeCell ref="B2089:B2094"/>
    <mergeCell ref="C2089:C2094"/>
    <mergeCell ref="D2089:D2094"/>
    <mergeCell ref="E2011:F2011"/>
    <mergeCell ref="B2012:B2023"/>
    <mergeCell ref="C2012:C2023"/>
    <mergeCell ref="D2012:D2023"/>
    <mergeCell ref="C1867:C1882"/>
    <mergeCell ref="D1867:D1882"/>
    <mergeCell ref="E1883:F1883"/>
    <mergeCell ref="E1900:F1900"/>
    <mergeCell ref="E1937:F1937"/>
    <mergeCell ref="B1938:B1943"/>
    <mergeCell ref="C1938:C1943"/>
    <mergeCell ref="D1938:D1943"/>
    <mergeCell ref="E1944:F1944"/>
    <mergeCell ref="B1945:B1947"/>
    <mergeCell ref="E2003:F2003"/>
    <mergeCell ref="E1808:F1808"/>
    <mergeCell ref="E1810:F1810"/>
    <mergeCell ref="C1949:C1950"/>
    <mergeCell ref="D1949:D1950"/>
    <mergeCell ref="C1901:C1909"/>
    <mergeCell ref="B1949:B1950"/>
    <mergeCell ref="C1929:C1933"/>
    <mergeCell ref="E1989:F1989"/>
  </mergeCells>
  <phoneticPr fontId="22" type="noConversion"/>
  <pageMargins left="0.27559055118110198" right="0.27559055118110198" top="1.0629921259842501" bottom="1.1811023622047201" header="0.47244094488188998" footer="0.196850393700787"/>
  <pageSetup scale="71" orientation="landscape" r:id="rId1"/>
  <headerFooter>
    <oddHeader>&amp;R&amp;G&amp;L&amp;G</oddHeader>
    <oddFooter>&amp;L_x000D_Contract Document and Drawing List_x000D_&amp;F_x000D__x000D_&amp;C_x000D__x000D_© 2021 GENERAL ELECTRIC COMPANY AND/OR ITS AFFILIATES. All rights reserved._x000D_&amp;RCLASS II (GE INTERNAL NON-CRITICAL)_x000D_V0P01C01_x000D_Rev002_x000D_2021-09-30_x000D_Page &amp;P / &amp;N</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B1:U1596"/>
  <sheetViews>
    <sheetView tabSelected="1" zoomScaleNormal="100" zoomScaleSheetLayoutView="75" workbookViewId="0">
      <pane ySplit="1" topLeftCell="A817" activePane="bottomLeft" state="frozen"/>
      <selection pane="bottomLeft" activeCell="K2" sqref="K2"/>
    </sheetView>
  </sheetViews>
  <sheetFormatPr baseColWidth="10" defaultColWidth="9.19921875" defaultRowHeight="13" outlineLevelRow="1"/>
  <cols>
    <col min="1" max="1" width="1.59765625" style="11" customWidth="1"/>
    <col min="2" max="2" width="5.3984375" style="17" customWidth="1"/>
    <col min="3" max="3" width="5.3984375" style="11" customWidth="1"/>
    <col min="4" max="4" width="4.3984375" style="17" bestFit="1" customWidth="1"/>
    <col min="5" max="5" width="19.3984375" style="11" customWidth="1"/>
    <col min="6" max="6" width="13.3984375" style="17" customWidth="1"/>
    <col min="7" max="7" width="12" style="17" bestFit="1" customWidth="1"/>
    <col min="8" max="8" width="53.796875" style="19" customWidth="1"/>
    <col min="9" max="9" width="14.59765625" style="29" bestFit="1" customWidth="1"/>
    <col min="10" max="10" width="22.19921875" style="17" customWidth="1"/>
    <col min="11" max="11" width="13.59765625" style="17" bestFit="1" customWidth="1"/>
    <col min="12" max="12" width="18.59765625" style="17" customWidth="1"/>
    <col min="13" max="13" width="24" style="17" customWidth="1"/>
    <col min="14" max="14" width="18.19921875" style="17" customWidth="1"/>
    <col min="15" max="15" width="10.59765625" style="17" customWidth="1"/>
    <col min="16" max="16" width="14.796875" style="17" customWidth="1"/>
    <col min="17" max="17" width="10.59765625" style="17" customWidth="1"/>
    <col min="18" max="18" width="13.3984375" style="18" customWidth="1"/>
    <col min="19" max="19" width="54.59765625" style="19" bestFit="1" customWidth="1"/>
    <col min="20" max="16384" width="9.19921875" style="11"/>
  </cols>
  <sheetData>
    <row r="1" spans="2:19" ht="6" customHeight="1" thickBot="1"/>
    <row r="2" spans="2:19" s="17" customFormat="1" ht="43" thickBot="1">
      <c r="B2" s="241" t="s">
        <v>10</v>
      </c>
      <c r="C2" s="242"/>
      <c r="D2" s="243" t="s">
        <v>11</v>
      </c>
      <c r="E2" s="242"/>
      <c r="F2" s="23" t="s">
        <v>12</v>
      </c>
      <c r="G2" s="23" t="s">
        <v>13</v>
      </c>
      <c r="H2" s="40" t="s">
        <v>14</v>
      </c>
      <c r="I2" s="37" t="s">
        <v>15</v>
      </c>
      <c r="J2" s="23" t="s">
        <v>346</v>
      </c>
      <c r="K2" s="24" t="s">
        <v>168</v>
      </c>
      <c r="L2" s="23" t="s">
        <v>314</v>
      </c>
      <c r="M2" s="23" t="s">
        <v>16</v>
      </c>
      <c r="N2" s="23" t="s">
        <v>17</v>
      </c>
      <c r="O2" s="23" t="s">
        <v>18</v>
      </c>
      <c r="P2" s="23" t="s">
        <v>562</v>
      </c>
      <c r="Q2" s="23" t="s">
        <v>20</v>
      </c>
      <c r="R2" s="24" t="s">
        <v>19</v>
      </c>
      <c r="S2" s="25" t="s">
        <v>21</v>
      </c>
    </row>
    <row r="3" spans="2:19" ht="12.75" customHeight="1">
      <c r="B3" s="84" t="s">
        <v>22</v>
      </c>
      <c r="C3" s="244" t="s">
        <v>23</v>
      </c>
      <c r="D3" s="245"/>
      <c r="E3" s="245"/>
      <c r="F3" s="245"/>
      <c r="G3" s="245"/>
      <c r="H3" s="245"/>
      <c r="I3" s="245"/>
      <c r="J3" s="245"/>
      <c r="K3" s="245"/>
      <c r="L3" s="245"/>
      <c r="M3" s="245"/>
      <c r="N3" s="245"/>
      <c r="O3" s="245"/>
      <c r="P3" s="245"/>
      <c r="Q3" s="245"/>
      <c r="R3" s="246"/>
      <c r="S3" s="36"/>
    </row>
    <row r="4" spans="2:19" ht="12.75" customHeight="1">
      <c r="B4" s="209"/>
      <c r="C4" s="209"/>
      <c r="D4" s="34" t="s">
        <v>24</v>
      </c>
      <c r="E4" s="218" t="s">
        <v>25</v>
      </c>
      <c r="F4" s="219"/>
      <c r="G4" s="219"/>
      <c r="H4" s="220"/>
      <c r="I4" s="30"/>
      <c r="J4" s="34"/>
      <c r="K4" s="34"/>
      <c r="L4" s="34"/>
      <c r="M4" s="12"/>
      <c r="N4" s="12"/>
      <c r="O4" s="34" t="s">
        <v>26</v>
      </c>
      <c r="P4" s="34"/>
      <c r="Q4" s="34" t="s">
        <v>26</v>
      </c>
      <c r="R4" s="13"/>
      <c r="S4" s="4"/>
    </row>
    <row r="5" spans="2:19" ht="14" outlineLevel="1">
      <c r="B5" s="210"/>
      <c r="C5" s="210"/>
      <c r="D5" s="209"/>
      <c r="E5" s="209"/>
      <c r="F5" s="34" t="s">
        <v>27</v>
      </c>
      <c r="G5" s="34"/>
      <c r="H5" s="4" t="s">
        <v>28</v>
      </c>
      <c r="I5" s="31" t="s">
        <v>512</v>
      </c>
      <c r="J5" s="12" t="s">
        <v>333</v>
      </c>
      <c r="K5" s="12" t="s">
        <v>349</v>
      </c>
      <c r="L5" s="53">
        <v>44266</v>
      </c>
      <c r="M5" s="12" t="s">
        <v>766</v>
      </c>
      <c r="N5" s="12" t="s">
        <v>1244</v>
      </c>
      <c r="O5" s="12" t="s">
        <v>326</v>
      </c>
      <c r="P5" s="12"/>
      <c r="Q5" s="12"/>
      <c r="R5" s="13"/>
      <c r="S5" s="4"/>
    </row>
    <row r="6" spans="2:19" ht="14" outlineLevel="1">
      <c r="B6" s="210"/>
      <c r="C6" s="210"/>
      <c r="D6" s="210"/>
      <c r="E6" s="210"/>
      <c r="F6" s="34"/>
      <c r="G6" s="34"/>
      <c r="H6" s="4"/>
      <c r="I6" s="31" t="s">
        <v>654</v>
      </c>
      <c r="J6" s="12" t="s">
        <v>333</v>
      </c>
      <c r="K6" s="12" t="s">
        <v>349</v>
      </c>
      <c r="L6" s="53">
        <v>44469</v>
      </c>
      <c r="M6" s="12" t="s">
        <v>766</v>
      </c>
      <c r="N6" s="12" t="s">
        <v>2285</v>
      </c>
      <c r="O6" s="12" t="s">
        <v>326</v>
      </c>
      <c r="P6" s="12"/>
      <c r="Q6" s="12"/>
      <c r="R6" s="13"/>
      <c r="S6" s="4"/>
    </row>
    <row r="7" spans="2:19" outlineLevel="1">
      <c r="B7" s="210"/>
      <c r="C7" s="210"/>
      <c r="D7" s="210"/>
      <c r="E7" s="210"/>
      <c r="F7" s="34"/>
      <c r="G7" s="34"/>
      <c r="H7" s="4"/>
      <c r="I7" s="31"/>
      <c r="J7" s="12"/>
      <c r="K7" s="12"/>
      <c r="L7" s="53"/>
      <c r="M7" s="12"/>
      <c r="N7" s="12"/>
      <c r="O7" s="12"/>
      <c r="P7" s="12"/>
      <c r="Q7" s="12"/>
      <c r="R7" s="13"/>
      <c r="S7" s="4"/>
    </row>
    <row r="8" spans="2:19" outlineLevel="1">
      <c r="B8" s="210"/>
      <c r="C8" s="210"/>
      <c r="D8" s="210"/>
      <c r="E8" s="210"/>
      <c r="F8" s="34"/>
      <c r="G8" s="34"/>
      <c r="H8" s="4"/>
      <c r="I8" s="31"/>
      <c r="J8" s="12"/>
      <c r="K8" s="12"/>
      <c r="L8" s="53"/>
      <c r="M8" s="12"/>
      <c r="N8" s="12"/>
      <c r="O8" s="12"/>
      <c r="P8" s="12"/>
      <c r="Q8" s="12"/>
      <c r="R8" s="13"/>
      <c r="S8" s="4"/>
    </row>
    <row r="9" spans="2:19" ht="14" outlineLevel="1">
      <c r="B9" s="210"/>
      <c r="C9" s="210"/>
      <c r="D9" s="210"/>
      <c r="E9" s="210"/>
      <c r="F9" s="34" t="s">
        <v>29</v>
      </c>
      <c r="G9" s="34"/>
      <c r="H9" s="4" t="s">
        <v>30</v>
      </c>
      <c r="I9" s="31"/>
      <c r="J9" s="12"/>
      <c r="K9" s="12"/>
      <c r="L9" s="53"/>
      <c r="M9" s="12"/>
      <c r="N9" s="12"/>
      <c r="O9" s="12"/>
      <c r="P9" s="12"/>
      <c r="Q9" s="12"/>
      <c r="R9" s="13"/>
      <c r="S9" s="4"/>
    </row>
    <row r="10" spans="2:19" ht="14" outlineLevel="1">
      <c r="B10" s="210"/>
      <c r="C10" s="210"/>
      <c r="D10" s="210"/>
      <c r="E10" s="210"/>
      <c r="F10" s="209"/>
      <c r="G10" s="34" t="s">
        <v>177</v>
      </c>
      <c r="H10" s="4" t="s">
        <v>551</v>
      </c>
      <c r="I10" s="31"/>
      <c r="J10" s="12"/>
      <c r="K10" s="12"/>
      <c r="L10" s="53"/>
      <c r="M10" s="12"/>
      <c r="N10" s="12"/>
      <c r="O10" s="12"/>
      <c r="P10" s="12"/>
      <c r="Q10" s="12"/>
      <c r="R10" s="13"/>
      <c r="S10" s="4"/>
    </row>
    <row r="11" spans="2:19" ht="14" outlineLevel="1">
      <c r="B11" s="210"/>
      <c r="C11" s="210"/>
      <c r="D11" s="210"/>
      <c r="E11" s="210"/>
      <c r="F11" s="211"/>
      <c r="G11" s="34" t="s">
        <v>181</v>
      </c>
      <c r="H11" s="4" t="s">
        <v>528</v>
      </c>
      <c r="I11" s="31" t="s">
        <v>3</v>
      </c>
      <c r="J11" s="12" t="s">
        <v>333</v>
      </c>
      <c r="K11" s="12" t="s">
        <v>349</v>
      </c>
      <c r="L11" s="53" t="s">
        <v>944</v>
      </c>
      <c r="M11" s="12" t="s">
        <v>945</v>
      </c>
      <c r="N11" s="12" t="s">
        <v>946</v>
      </c>
      <c r="O11" s="12" t="s">
        <v>326</v>
      </c>
      <c r="P11" s="12"/>
      <c r="Q11" s="12"/>
      <c r="R11" s="13"/>
      <c r="S11" s="4"/>
    </row>
    <row r="12" spans="2:19" outlineLevel="1">
      <c r="B12" s="210"/>
      <c r="C12" s="210"/>
      <c r="D12" s="210"/>
      <c r="E12" s="210"/>
      <c r="F12" s="34"/>
      <c r="G12" s="34"/>
      <c r="H12" s="4"/>
      <c r="I12" s="31"/>
      <c r="J12" s="12"/>
      <c r="K12" s="12"/>
      <c r="L12" s="12"/>
      <c r="M12" s="12"/>
      <c r="N12" s="12"/>
      <c r="O12" s="12"/>
      <c r="P12" s="12"/>
      <c r="Q12" s="12"/>
      <c r="R12" s="13"/>
      <c r="S12" s="4"/>
    </row>
    <row r="13" spans="2:19" outlineLevel="1">
      <c r="B13" s="210"/>
      <c r="C13" s="210"/>
      <c r="D13" s="211"/>
      <c r="E13" s="211"/>
      <c r="F13" s="34"/>
      <c r="G13" s="34"/>
      <c r="H13" s="4"/>
      <c r="I13" s="31"/>
      <c r="J13" s="12"/>
      <c r="K13" s="12"/>
      <c r="L13" s="12"/>
      <c r="M13" s="12"/>
      <c r="N13" s="12"/>
      <c r="O13" s="12"/>
      <c r="P13" s="12"/>
      <c r="Q13" s="12"/>
      <c r="R13" s="13"/>
      <c r="S13" s="4"/>
    </row>
    <row r="14" spans="2:19" ht="12.75" customHeight="1" outlineLevel="1">
      <c r="B14" s="210"/>
      <c r="C14" s="210"/>
      <c r="D14" s="34" t="s">
        <v>31</v>
      </c>
      <c r="E14" s="218" t="s">
        <v>32</v>
      </c>
      <c r="F14" s="219"/>
      <c r="G14" s="219"/>
      <c r="H14" s="220"/>
      <c r="I14" s="30"/>
      <c r="J14" s="12"/>
      <c r="K14" s="12"/>
      <c r="L14" s="12"/>
      <c r="M14" s="12"/>
      <c r="N14" s="12"/>
      <c r="O14" s="12"/>
      <c r="P14" s="12"/>
      <c r="Q14" s="12"/>
      <c r="R14" s="13"/>
      <c r="S14" s="4"/>
    </row>
    <row r="15" spans="2:19" ht="14" outlineLevel="1">
      <c r="B15" s="210"/>
      <c r="C15" s="210"/>
      <c r="D15" s="212"/>
      <c r="E15" s="212"/>
      <c r="F15" s="34" t="s">
        <v>27</v>
      </c>
      <c r="G15" s="34"/>
      <c r="H15" s="4"/>
      <c r="I15" s="31"/>
      <c r="J15" s="12"/>
      <c r="K15" s="12"/>
      <c r="L15" s="12"/>
      <c r="M15" s="12"/>
      <c r="N15" s="12"/>
      <c r="O15" s="12"/>
      <c r="P15" s="12"/>
      <c r="Q15" s="12"/>
      <c r="R15" s="13"/>
      <c r="S15" s="4"/>
    </row>
    <row r="16" spans="2:19" ht="14" outlineLevel="1">
      <c r="B16" s="210"/>
      <c r="C16" s="210"/>
      <c r="D16" s="213"/>
      <c r="E16" s="213"/>
      <c r="F16" s="34" t="s">
        <v>29</v>
      </c>
      <c r="G16" s="34"/>
      <c r="H16" s="4"/>
      <c r="I16" s="31"/>
      <c r="J16" s="12"/>
      <c r="K16" s="12"/>
      <c r="L16" s="12"/>
      <c r="M16" s="12"/>
      <c r="N16" s="12"/>
      <c r="O16" s="12"/>
      <c r="P16" s="12"/>
      <c r="Q16" s="12"/>
      <c r="R16" s="13"/>
      <c r="S16" s="4"/>
    </row>
    <row r="17" spans="2:19" outlineLevel="1">
      <c r="B17" s="210"/>
      <c r="C17" s="210"/>
      <c r="D17" s="214"/>
      <c r="E17" s="214"/>
      <c r="F17" s="34"/>
      <c r="G17" s="34"/>
      <c r="H17" s="4"/>
      <c r="I17" s="31"/>
      <c r="J17" s="12"/>
      <c r="K17" s="12"/>
      <c r="L17" s="12"/>
      <c r="M17" s="12"/>
      <c r="N17" s="12"/>
      <c r="O17" s="12"/>
      <c r="P17" s="12"/>
      <c r="Q17" s="12"/>
      <c r="R17" s="13"/>
      <c r="S17" s="4"/>
    </row>
    <row r="18" spans="2:19" ht="12.75" customHeight="1" outlineLevel="1">
      <c r="B18" s="210"/>
      <c r="C18" s="210"/>
      <c r="D18" s="34" t="s">
        <v>33</v>
      </c>
      <c r="E18" s="218" t="s">
        <v>34</v>
      </c>
      <c r="F18" s="219"/>
      <c r="G18" s="219"/>
      <c r="H18" s="220"/>
      <c r="I18" s="30"/>
      <c r="J18" s="12"/>
      <c r="K18" s="12"/>
      <c r="L18" s="12"/>
      <c r="M18" s="12"/>
      <c r="N18" s="12"/>
      <c r="O18" s="12"/>
      <c r="P18" s="12"/>
      <c r="Q18" s="12"/>
      <c r="R18" s="13"/>
      <c r="S18" s="4"/>
    </row>
    <row r="19" spans="2:19" ht="14" outlineLevel="1">
      <c r="B19" s="210"/>
      <c r="C19" s="210"/>
      <c r="D19" s="209"/>
      <c r="E19" s="209"/>
      <c r="F19" s="34" t="s">
        <v>27</v>
      </c>
      <c r="G19" s="34"/>
      <c r="H19" s="4"/>
      <c r="I19" s="31"/>
      <c r="J19" s="12"/>
      <c r="K19" s="12"/>
      <c r="L19" s="12"/>
      <c r="M19" s="12"/>
      <c r="N19" s="12"/>
      <c r="O19" s="12"/>
      <c r="P19" s="12"/>
      <c r="Q19" s="12"/>
      <c r="R19" s="13"/>
      <c r="S19" s="4"/>
    </row>
    <row r="20" spans="2:19" ht="14" outlineLevel="1">
      <c r="B20" s="210"/>
      <c r="C20" s="210"/>
      <c r="D20" s="210"/>
      <c r="E20" s="210"/>
      <c r="F20" s="34" t="s">
        <v>29</v>
      </c>
      <c r="G20" s="34"/>
      <c r="H20" s="4"/>
      <c r="I20" s="31"/>
      <c r="J20" s="12"/>
      <c r="K20" s="12"/>
      <c r="L20" s="53"/>
      <c r="M20" s="12"/>
      <c r="N20" s="12"/>
      <c r="O20" s="12"/>
      <c r="P20" s="12"/>
      <c r="Q20" s="12"/>
      <c r="R20" s="13"/>
      <c r="S20" s="4"/>
    </row>
    <row r="21" spans="2:19" ht="14" outlineLevel="1">
      <c r="B21" s="210"/>
      <c r="C21" s="210"/>
      <c r="D21" s="210"/>
      <c r="E21" s="210"/>
      <c r="F21" s="34" t="s">
        <v>35</v>
      </c>
      <c r="G21" s="34"/>
      <c r="H21" s="4" t="s">
        <v>970</v>
      </c>
      <c r="I21" s="31" t="s">
        <v>654</v>
      </c>
      <c r="J21" s="12" t="s">
        <v>333</v>
      </c>
      <c r="K21" s="12" t="s">
        <v>349</v>
      </c>
      <c r="L21" s="53">
        <v>44235</v>
      </c>
      <c r="M21" s="12" t="s">
        <v>1674</v>
      </c>
      <c r="N21" s="12" t="s">
        <v>971</v>
      </c>
      <c r="O21" s="12" t="s">
        <v>326</v>
      </c>
      <c r="P21" s="12"/>
      <c r="Q21" s="12"/>
      <c r="R21" s="13"/>
      <c r="S21" s="4"/>
    </row>
    <row r="22" spans="2:19" ht="14" outlineLevel="1">
      <c r="B22" s="210"/>
      <c r="C22" s="210"/>
      <c r="D22" s="210"/>
      <c r="E22" s="210"/>
      <c r="F22" s="34"/>
      <c r="G22" s="34"/>
      <c r="H22" s="4" t="s">
        <v>970</v>
      </c>
      <c r="I22" s="31" t="s">
        <v>729</v>
      </c>
      <c r="J22" s="12" t="s">
        <v>333</v>
      </c>
      <c r="K22" s="12" t="s">
        <v>349</v>
      </c>
      <c r="L22" s="53">
        <v>44326</v>
      </c>
      <c r="M22" s="12" t="s">
        <v>1674</v>
      </c>
      <c r="N22" s="12" t="s">
        <v>1675</v>
      </c>
      <c r="O22" s="12" t="s">
        <v>326</v>
      </c>
      <c r="P22" s="12"/>
      <c r="Q22" s="12"/>
      <c r="R22" s="13"/>
      <c r="S22" s="4"/>
    </row>
    <row r="23" spans="2:19" outlineLevel="1">
      <c r="B23" s="210"/>
      <c r="C23" s="210"/>
      <c r="D23" s="210"/>
      <c r="E23" s="210"/>
      <c r="F23" s="34"/>
      <c r="G23" s="34"/>
      <c r="H23" s="4"/>
      <c r="I23" s="31"/>
      <c r="J23" s="12"/>
      <c r="K23" s="31"/>
      <c r="L23" s="53"/>
      <c r="M23" s="12"/>
      <c r="N23" s="12"/>
      <c r="O23" s="12"/>
      <c r="P23" s="12"/>
      <c r="Q23" s="12"/>
      <c r="R23" s="13"/>
      <c r="S23" s="4"/>
    </row>
    <row r="24" spans="2:19" ht="14" outlineLevel="1">
      <c r="B24" s="210"/>
      <c r="C24" s="210"/>
      <c r="D24" s="210"/>
      <c r="E24" s="210"/>
      <c r="F24" s="34" t="s">
        <v>36</v>
      </c>
      <c r="G24" s="34"/>
      <c r="H24" s="4" t="s">
        <v>37</v>
      </c>
      <c r="I24" s="31"/>
      <c r="J24" s="12"/>
      <c r="K24" s="12"/>
      <c r="L24" s="53"/>
      <c r="M24" s="12"/>
      <c r="N24" s="12"/>
      <c r="O24" s="12"/>
      <c r="P24" s="12"/>
      <c r="Q24" s="12"/>
      <c r="R24" s="13"/>
      <c r="S24" s="4"/>
    </row>
    <row r="25" spans="2:19" ht="14" outlineLevel="1">
      <c r="B25" s="210"/>
      <c r="C25" s="210"/>
      <c r="D25" s="210"/>
      <c r="E25" s="210"/>
      <c r="F25" s="34"/>
      <c r="G25" s="34" t="s">
        <v>176</v>
      </c>
      <c r="H25" s="4" t="s">
        <v>269</v>
      </c>
      <c r="I25" s="31"/>
      <c r="J25" s="12" t="s">
        <v>333</v>
      </c>
      <c r="K25" s="53">
        <v>44074</v>
      </c>
      <c r="L25" s="53">
        <v>44071</v>
      </c>
      <c r="M25" s="12" t="s">
        <v>355</v>
      </c>
      <c r="N25" s="35" t="s">
        <v>352</v>
      </c>
      <c r="O25" s="12" t="s">
        <v>326</v>
      </c>
      <c r="P25" s="12"/>
      <c r="Q25" s="12"/>
      <c r="R25" s="13"/>
      <c r="S25" s="4"/>
    </row>
    <row r="26" spans="2:19" ht="14" outlineLevel="1">
      <c r="B26" s="210"/>
      <c r="C26" s="210"/>
      <c r="D26" s="210"/>
      <c r="E26" s="210"/>
      <c r="F26" s="34" t="s">
        <v>38</v>
      </c>
      <c r="G26" s="34"/>
      <c r="H26" s="4" t="s">
        <v>39</v>
      </c>
      <c r="I26" s="31"/>
      <c r="J26" s="12"/>
      <c r="K26" s="12"/>
      <c r="L26" s="53"/>
      <c r="M26" s="12"/>
      <c r="N26" s="12"/>
      <c r="O26" s="12"/>
      <c r="P26" s="12"/>
      <c r="Q26" s="12"/>
      <c r="R26" s="13"/>
      <c r="S26" s="4"/>
    </row>
    <row r="27" spans="2:19" ht="14" outlineLevel="1">
      <c r="B27" s="210"/>
      <c r="C27" s="210"/>
      <c r="D27" s="210"/>
      <c r="E27" s="210"/>
      <c r="F27" s="34" t="s">
        <v>40</v>
      </c>
      <c r="G27" s="34"/>
      <c r="H27" s="4" t="s">
        <v>41</v>
      </c>
      <c r="I27" s="31"/>
      <c r="J27" s="12"/>
      <c r="K27" s="12"/>
      <c r="L27" s="53"/>
      <c r="M27" s="12"/>
      <c r="N27" s="12"/>
      <c r="O27" s="12"/>
      <c r="P27" s="12"/>
      <c r="Q27" s="12"/>
      <c r="R27" s="13"/>
      <c r="S27" s="4"/>
    </row>
    <row r="28" spans="2:19" outlineLevel="1">
      <c r="B28" s="210"/>
      <c r="C28" s="210"/>
      <c r="D28" s="211"/>
      <c r="E28" s="211"/>
      <c r="F28" s="34"/>
      <c r="G28" s="34"/>
      <c r="H28" s="4"/>
      <c r="I28" s="31"/>
      <c r="J28" s="12"/>
      <c r="K28" s="12"/>
      <c r="L28" s="53"/>
      <c r="M28" s="12"/>
      <c r="N28" s="12"/>
      <c r="O28" s="12"/>
      <c r="P28" s="12"/>
      <c r="Q28" s="12"/>
      <c r="R28" s="13"/>
      <c r="S28" s="4"/>
    </row>
    <row r="29" spans="2:19" ht="12.75" customHeight="1" outlineLevel="1">
      <c r="B29" s="210"/>
      <c r="C29" s="210"/>
      <c r="D29" s="34" t="s">
        <v>42</v>
      </c>
      <c r="E29" s="218" t="s">
        <v>43</v>
      </c>
      <c r="F29" s="219"/>
      <c r="G29" s="219"/>
      <c r="H29" s="220"/>
      <c r="I29" s="30"/>
      <c r="J29" s="34"/>
      <c r="K29" s="34"/>
      <c r="L29" s="53"/>
      <c r="M29" s="12"/>
      <c r="N29" s="12"/>
      <c r="O29" s="34" t="s">
        <v>26</v>
      </c>
      <c r="P29" s="34"/>
      <c r="Q29" s="34" t="s">
        <v>26</v>
      </c>
      <c r="R29" s="13"/>
      <c r="S29" s="4"/>
    </row>
    <row r="30" spans="2:19" ht="14" outlineLevel="1">
      <c r="B30" s="210"/>
      <c r="C30" s="210"/>
      <c r="D30" s="209"/>
      <c r="E30" s="209"/>
      <c r="F30" s="34" t="s">
        <v>27</v>
      </c>
      <c r="G30" s="34"/>
      <c r="H30" s="4" t="s">
        <v>44</v>
      </c>
      <c r="I30" s="31"/>
      <c r="J30" s="12"/>
      <c r="K30" s="12"/>
      <c r="L30" s="53"/>
      <c r="M30" s="12" t="s">
        <v>45</v>
      </c>
      <c r="N30" s="12"/>
      <c r="O30" s="12"/>
      <c r="P30" s="12"/>
      <c r="Q30" s="12"/>
      <c r="R30" s="13"/>
      <c r="S30" s="4"/>
    </row>
    <row r="31" spans="2:19" ht="14" outlineLevel="1">
      <c r="B31" s="210"/>
      <c r="C31" s="210"/>
      <c r="D31" s="210"/>
      <c r="E31" s="210"/>
      <c r="F31" s="34" t="s">
        <v>29</v>
      </c>
      <c r="G31" s="34"/>
      <c r="H31" s="4" t="s">
        <v>46</v>
      </c>
      <c r="I31" s="31"/>
      <c r="J31" s="12"/>
      <c r="K31" s="12"/>
      <c r="L31" s="53"/>
      <c r="M31" s="12" t="s">
        <v>45</v>
      </c>
      <c r="N31" s="12"/>
      <c r="O31" s="12"/>
      <c r="P31" s="12"/>
      <c r="Q31" s="12"/>
      <c r="R31" s="13"/>
      <c r="S31" s="4"/>
    </row>
    <row r="32" spans="2:19" outlineLevel="1">
      <c r="B32" s="211"/>
      <c r="C32" s="211"/>
      <c r="D32" s="211"/>
      <c r="E32" s="211"/>
      <c r="F32" s="12"/>
      <c r="G32" s="12"/>
      <c r="H32" s="4"/>
      <c r="I32" s="31"/>
      <c r="J32" s="12"/>
      <c r="K32" s="12"/>
      <c r="L32" s="12"/>
      <c r="M32" s="12"/>
      <c r="N32" s="12"/>
      <c r="O32" s="12"/>
      <c r="P32" s="12"/>
      <c r="Q32" s="12"/>
      <c r="R32" s="13"/>
      <c r="S32" s="4"/>
    </row>
    <row r="33" spans="2:19" ht="12.75" customHeight="1">
      <c r="B33" s="34" t="s">
        <v>47</v>
      </c>
      <c r="C33" s="218" t="s">
        <v>48</v>
      </c>
      <c r="D33" s="219"/>
      <c r="E33" s="219"/>
      <c r="F33" s="219"/>
      <c r="G33" s="219"/>
      <c r="H33" s="219"/>
      <c r="I33" s="219"/>
      <c r="J33" s="219"/>
      <c r="K33" s="219"/>
      <c r="L33" s="219"/>
      <c r="M33" s="219"/>
      <c r="N33" s="219"/>
      <c r="O33" s="219"/>
      <c r="P33" s="219"/>
      <c r="Q33" s="219"/>
      <c r="R33" s="220"/>
      <c r="S33" s="4"/>
    </row>
    <row r="34" spans="2:19" ht="28">
      <c r="B34" s="209"/>
      <c r="C34" s="209"/>
      <c r="D34" s="34" t="s">
        <v>24</v>
      </c>
      <c r="E34" s="218" t="s">
        <v>25</v>
      </c>
      <c r="F34" s="219"/>
      <c r="G34" s="219"/>
      <c r="H34" s="220"/>
      <c r="I34" s="30"/>
      <c r="J34" s="34"/>
      <c r="K34" s="34"/>
      <c r="L34" s="34"/>
      <c r="M34" s="12"/>
      <c r="N34" s="12"/>
      <c r="O34" s="34" t="s">
        <v>26</v>
      </c>
      <c r="P34" s="34"/>
      <c r="Q34" s="34" t="s">
        <v>26</v>
      </c>
      <c r="R34" s="13"/>
      <c r="S34" s="4"/>
    </row>
    <row r="35" spans="2:19" ht="14" outlineLevel="1">
      <c r="B35" s="210"/>
      <c r="C35" s="210"/>
      <c r="D35" s="209"/>
      <c r="E35" s="209"/>
      <c r="F35" s="34" t="s">
        <v>27</v>
      </c>
      <c r="G35" s="34"/>
      <c r="H35" s="4" t="s">
        <v>722</v>
      </c>
      <c r="I35" s="31" t="s">
        <v>3</v>
      </c>
      <c r="J35" s="12" t="s">
        <v>333</v>
      </c>
      <c r="K35" s="12" t="s">
        <v>349</v>
      </c>
      <c r="L35" s="53">
        <v>44174</v>
      </c>
      <c r="M35" s="12" t="s">
        <v>723</v>
      </c>
      <c r="N35" s="12" t="s">
        <v>724</v>
      </c>
      <c r="O35" s="12" t="s">
        <v>326</v>
      </c>
      <c r="P35" s="12"/>
      <c r="Q35" s="12"/>
      <c r="R35" s="13"/>
      <c r="S35" s="4"/>
    </row>
    <row r="36" spans="2:19" ht="14" outlineLevel="1">
      <c r="B36" s="210"/>
      <c r="C36" s="210"/>
      <c r="D36" s="210"/>
      <c r="E36" s="210"/>
      <c r="F36" s="34"/>
      <c r="G36" s="34"/>
      <c r="H36" s="4" t="s">
        <v>722</v>
      </c>
      <c r="I36" s="31" t="s">
        <v>654</v>
      </c>
      <c r="J36" s="12" t="s">
        <v>332</v>
      </c>
      <c r="K36" s="12" t="s">
        <v>349</v>
      </c>
      <c r="L36" s="53">
        <v>44238</v>
      </c>
      <c r="M36" s="12" t="s">
        <v>723</v>
      </c>
      <c r="N36" s="12" t="s">
        <v>980</v>
      </c>
      <c r="O36" s="12" t="s">
        <v>326</v>
      </c>
      <c r="P36" s="12"/>
      <c r="Q36" s="12"/>
      <c r="R36" s="13"/>
      <c r="S36" s="4"/>
    </row>
    <row r="37" spans="2:19" ht="14" outlineLevel="1">
      <c r="B37" s="210"/>
      <c r="C37" s="210"/>
      <c r="D37" s="210"/>
      <c r="E37" s="210"/>
      <c r="F37" s="34"/>
      <c r="G37" s="34"/>
      <c r="H37" s="4" t="s">
        <v>722</v>
      </c>
      <c r="I37" s="31" t="s">
        <v>729</v>
      </c>
      <c r="J37" s="12" t="s">
        <v>332</v>
      </c>
      <c r="K37" s="12" t="s">
        <v>349</v>
      </c>
      <c r="L37" s="53">
        <v>44246</v>
      </c>
      <c r="M37" s="12" t="s">
        <v>723</v>
      </c>
      <c r="N37" s="12" t="s">
        <v>1087</v>
      </c>
      <c r="O37" s="12" t="s">
        <v>326</v>
      </c>
      <c r="P37" s="12"/>
      <c r="Q37" s="12"/>
      <c r="R37" s="13"/>
      <c r="S37" s="4"/>
    </row>
    <row r="38" spans="2:19" ht="14" outlineLevel="1">
      <c r="B38" s="210"/>
      <c r="C38" s="210"/>
      <c r="D38" s="210"/>
      <c r="E38" s="210"/>
      <c r="F38" s="34"/>
      <c r="G38" s="34"/>
      <c r="H38" s="4" t="s">
        <v>722</v>
      </c>
      <c r="I38" s="31" t="s">
        <v>730</v>
      </c>
      <c r="J38" s="12" t="s">
        <v>332</v>
      </c>
      <c r="K38" s="12" t="s">
        <v>349</v>
      </c>
      <c r="L38" s="53" t="s">
        <v>1460</v>
      </c>
      <c r="M38" s="12" t="s">
        <v>723</v>
      </c>
      <c r="N38" s="12" t="s">
        <v>1461</v>
      </c>
      <c r="O38" s="12" t="s">
        <v>326</v>
      </c>
      <c r="P38" s="12"/>
      <c r="Q38" s="12"/>
      <c r="R38" s="13"/>
      <c r="S38" s="4"/>
    </row>
    <row r="39" spans="2:19" ht="14" outlineLevel="1">
      <c r="B39" s="210"/>
      <c r="C39" s="210"/>
      <c r="D39" s="210"/>
      <c r="E39" s="210"/>
      <c r="F39" s="34"/>
      <c r="G39" s="34"/>
      <c r="H39" s="4" t="s">
        <v>722</v>
      </c>
      <c r="I39" s="31" t="s">
        <v>1161</v>
      </c>
      <c r="J39" s="12" t="s">
        <v>332</v>
      </c>
      <c r="K39" s="12" t="s">
        <v>349</v>
      </c>
      <c r="L39" s="53">
        <v>44334</v>
      </c>
      <c r="M39" s="12" t="s">
        <v>723</v>
      </c>
      <c r="N39" s="12" t="s">
        <v>1721</v>
      </c>
      <c r="O39" s="12" t="s">
        <v>326</v>
      </c>
      <c r="P39" s="12"/>
      <c r="Q39" s="12"/>
      <c r="R39" s="13"/>
      <c r="S39" s="4"/>
    </row>
    <row r="40" spans="2:19" ht="14" outlineLevel="1">
      <c r="B40" s="210"/>
      <c r="C40" s="210"/>
      <c r="D40" s="210"/>
      <c r="E40" s="210"/>
      <c r="F40" s="34"/>
      <c r="G40" s="34"/>
      <c r="H40" s="4" t="s">
        <v>722</v>
      </c>
      <c r="I40" s="31" t="s">
        <v>917</v>
      </c>
      <c r="J40" s="12" t="s">
        <v>332</v>
      </c>
      <c r="K40" s="12" t="s">
        <v>349</v>
      </c>
      <c r="L40" s="53">
        <v>44336</v>
      </c>
      <c r="M40" s="12" t="s">
        <v>723</v>
      </c>
      <c r="N40" s="12" t="s">
        <v>1722</v>
      </c>
      <c r="O40" s="12" t="s">
        <v>326</v>
      </c>
      <c r="P40" s="12"/>
      <c r="Q40" s="12"/>
      <c r="R40" s="13"/>
      <c r="S40" s="4"/>
    </row>
    <row r="41" spans="2:19" ht="14" outlineLevel="1">
      <c r="B41" s="210"/>
      <c r="C41" s="210"/>
      <c r="D41" s="210"/>
      <c r="E41" s="210"/>
      <c r="F41" s="34"/>
      <c r="G41" s="34"/>
      <c r="H41" s="4" t="s">
        <v>722</v>
      </c>
      <c r="I41" s="31" t="s">
        <v>1221</v>
      </c>
      <c r="J41" s="12" t="s">
        <v>332</v>
      </c>
      <c r="K41" s="12" t="s">
        <v>349</v>
      </c>
      <c r="L41" s="53">
        <v>44426</v>
      </c>
      <c r="M41" s="12" t="s">
        <v>723</v>
      </c>
      <c r="N41" s="12" t="s">
        <v>2193</v>
      </c>
      <c r="O41" s="12" t="s">
        <v>326</v>
      </c>
      <c r="P41" s="12"/>
      <c r="Q41" s="12"/>
      <c r="R41" s="13"/>
      <c r="S41" s="4"/>
    </row>
    <row r="42" spans="2:19" ht="14" outlineLevel="1">
      <c r="B42" s="210"/>
      <c r="C42" s="210"/>
      <c r="D42" s="210"/>
      <c r="E42" s="210"/>
      <c r="F42" s="34"/>
      <c r="G42" s="34"/>
      <c r="H42" s="4" t="s">
        <v>722</v>
      </c>
      <c r="I42" s="31" t="s">
        <v>2082</v>
      </c>
      <c r="J42" s="12" t="s">
        <v>332</v>
      </c>
      <c r="K42" s="12" t="s">
        <v>349</v>
      </c>
      <c r="L42" s="53">
        <v>44651</v>
      </c>
      <c r="M42" s="12" t="s">
        <v>723</v>
      </c>
      <c r="N42" s="12" t="s">
        <v>2817</v>
      </c>
      <c r="O42" s="12" t="s">
        <v>326</v>
      </c>
      <c r="P42" s="12"/>
      <c r="Q42" s="12"/>
      <c r="R42" s="13"/>
      <c r="S42" s="4"/>
    </row>
    <row r="43" spans="2:19" outlineLevel="1">
      <c r="B43" s="210"/>
      <c r="C43" s="210"/>
      <c r="D43" s="210"/>
      <c r="E43" s="210"/>
      <c r="F43" s="34"/>
      <c r="G43" s="34"/>
      <c r="H43" s="4"/>
      <c r="I43" s="31"/>
      <c r="J43" s="12"/>
      <c r="K43" s="12"/>
      <c r="L43" s="53"/>
      <c r="M43" s="12"/>
      <c r="N43" s="12"/>
      <c r="O43" s="12"/>
      <c r="P43" s="12"/>
      <c r="Q43" s="12"/>
      <c r="R43" s="13"/>
      <c r="S43" s="4"/>
    </row>
    <row r="44" spans="2:19" ht="14" outlineLevel="1">
      <c r="B44" s="210"/>
      <c r="C44" s="210"/>
      <c r="D44" s="210"/>
      <c r="E44" s="210"/>
      <c r="F44" s="34"/>
      <c r="G44" s="34" t="s">
        <v>176</v>
      </c>
      <c r="H44" s="4" t="s">
        <v>1370</v>
      </c>
      <c r="I44" s="31" t="s">
        <v>3</v>
      </c>
      <c r="J44" s="12" t="s">
        <v>332</v>
      </c>
      <c r="K44" s="12" t="s">
        <v>349</v>
      </c>
      <c r="L44" s="53">
        <v>44461</v>
      </c>
      <c r="M44" s="12" t="s">
        <v>2280</v>
      </c>
      <c r="N44" s="12" t="s">
        <v>2281</v>
      </c>
      <c r="O44" s="12" t="s">
        <v>326</v>
      </c>
      <c r="P44" s="12"/>
      <c r="Q44" s="12"/>
      <c r="R44" s="13"/>
      <c r="S44" s="4"/>
    </row>
    <row r="45" spans="2:19" outlineLevel="1">
      <c r="B45" s="210"/>
      <c r="C45" s="210"/>
      <c r="D45" s="210"/>
      <c r="E45" s="210"/>
      <c r="F45" s="34"/>
      <c r="G45" s="34"/>
      <c r="H45" s="4"/>
      <c r="I45" s="31"/>
      <c r="J45" s="12"/>
      <c r="K45" s="12"/>
      <c r="L45" s="53"/>
      <c r="M45" s="12"/>
      <c r="N45" s="12"/>
      <c r="O45" s="12"/>
      <c r="P45" s="12"/>
      <c r="Q45" s="12"/>
      <c r="R45" s="13"/>
      <c r="S45" s="4"/>
    </row>
    <row r="46" spans="2:19" ht="14" outlineLevel="1">
      <c r="B46" s="210"/>
      <c r="C46" s="210"/>
      <c r="D46" s="210"/>
      <c r="E46" s="210"/>
      <c r="F46" s="34" t="s">
        <v>29</v>
      </c>
      <c r="G46" s="34"/>
      <c r="H46" s="4"/>
      <c r="I46" s="31"/>
      <c r="J46" s="12"/>
      <c r="K46" s="12"/>
      <c r="L46" s="53"/>
      <c r="M46" s="12"/>
      <c r="N46" s="12"/>
      <c r="O46" s="12"/>
      <c r="P46" s="12"/>
      <c r="Q46" s="12"/>
      <c r="R46" s="13"/>
      <c r="S46" s="4"/>
    </row>
    <row r="47" spans="2:19" outlineLevel="1">
      <c r="B47" s="210"/>
      <c r="C47" s="210"/>
      <c r="D47" s="210"/>
      <c r="E47" s="210"/>
      <c r="F47" s="34"/>
      <c r="G47" s="34"/>
      <c r="H47" s="4"/>
      <c r="I47" s="31"/>
      <c r="J47" s="12"/>
      <c r="K47" s="12"/>
      <c r="L47" s="53"/>
      <c r="M47" s="12"/>
      <c r="N47" s="12"/>
      <c r="O47" s="12"/>
      <c r="P47" s="12"/>
      <c r="Q47" s="12"/>
      <c r="R47" s="13"/>
      <c r="S47" s="4"/>
    </row>
    <row r="48" spans="2:19" ht="14" outlineLevel="1">
      <c r="B48" s="210"/>
      <c r="C48" s="210"/>
      <c r="D48" s="210"/>
      <c r="E48" s="210"/>
      <c r="F48" s="34" t="s">
        <v>35</v>
      </c>
      <c r="G48" s="34"/>
      <c r="H48" s="4" t="s">
        <v>725</v>
      </c>
      <c r="I48" s="31" t="s">
        <v>3</v>
      </c>
      <c r="J48" s="12" t="s">
        <v>333</v>
      </c>
      <c r="K48" s="12" t="s">
        <v>349</v>
      </c>
      <c r="L48" s="53">
        <v>44174</v>
      </c>
      <c r="M48" s="12" t="s">
        <v>726</v>
      </c>
      <c r="N48" s="12" t="s">
        <v>724</v>
      </c>
      <c r="O48" s="12" t="s">
        <v>326</v>
      </c>
      <c r="P48" s="12"/>
      <c r="Q48" s="12"/>
      <c r="R48" s="13"/>
      <c r="S48" s="4"/>
    </row>
    <row r="49" spans="2:19" ht="14" outlineLevel="1">
      <c r="B49" s="210"/>
      <c r="C49" s="210"/>
      <c r="D49" s="210"/>
      <c r="E49" s="210"/>
      <c r="F49" s="34"/>
      <c r="G49" s="34"/>
      <c r="H49" s="4" t="s">
        <v>725</v>
      </c>
      <c r="I49" s="31" t="s">
        <v>512</v>
      </c>
      <c r="J49" s="12" t="s">
        <v>333</v>
      </c>
      <c r="K49" s="12" t="s">
        <v>349</v>
      </c>
      <c r="L49" s="53">
        <v>44253</v>
      </c>
      <c r="M49" s="12" t="s">
        <v>726</v>
      </c>
      <c r="N49" s="12" t="s">
        <v>1100</v>
      </c>
      <c r="O49" s="12" t="s">
        <v>326</v>
      </c>
      <c r="P49" s="12"/>
      <c r="Q49" s="12"/>
      <c r="R49" s="13"/>
      <c r="S49" s="4"/>
    </row>
    <row r="50" spans="2:19" ht="14" outlineLevel="1">
      <c r="B50" s="210"/>
      <c r="C50" s="210"/>
      <c r="D50" s="210"/>
      <c r="E50" s="210"/>
      <c r="F50" s="34"/>
      <c r="G50" s="34"/>
      <c r="H50" s="4" t="s">
        <v>725</v>
      </c>
      <c r="I50" s="31" t="s">
        <v>654</v>
      </c>
      <c r="J50" s="12" t="s">
        <v>333</v>
      </c>
      <c r="K50" s="12" t="s">
        <v>349</v>
      </c>
      <c r="L50" s="53">
        <v>44257</v>
      </c>
      <c r="M50" s="12" t="s">
        <v>726</v>
      </c>
      <c r="N50" s="12" t="s">
        <v>1184</v>
      </c>
      <c r="O50" s="12" t="s">
        <v>326</v>
      </c>
      <c r="P50" s="12"/>
      <c r="Q50" s="12"/>
      <c r="R50" s="13"/>
      <c r="S50" s="4"/>
    </row>
    <row r="51" spans="2:19" ht="14" outlineLevel="1">
      <c r="B51" s="210"/>
      <c r="C51" s="210"/>
      <c r="D51" s="210"/>
      <c r="E51" s="210"/>
      <c r="F51" s="34"/>
      <c r="G51" s="34"/>
      <c r="H51" s="4" t="s">
        <v>725</v>
      </c>
      <c r="I51" s="31" t="s">
        <v>729</v>
      </c>
      <c r="J51" s="12" t="s">
        <v>333</v>
      </c>
      <c r="K51" s="12" t="s">
        <v>349</v>
      </c>
      <c r="L51" s="53">
        <v>44426</v>
      </c>
      <c r="M51" s="12" t="s">
        <v>726</v>
      </c>
      <c r="N51" s="12" t="s">
        <v>2193</v>
      </c>
      <c r="O51" s="12" t="s">
        <v>326</v>
      </c>
      <c r="P51" s="12"/>
      <c r="Q51" s="12"/>
      <c r="R51" s="13"/>
      <c r="S51" s="4"/>
    </row>
    <row r="52" spans="2:19" outlineLevel="1">
      <c r="B52" s="210"/>
      <c r="C52" s="210"/>
      <c r="D52" s="210"/>
      <c r="E52" s="210"/>
      <c r="F52" s="34"/>
      <c r="G52" s="34"/>
      <c r="H52" s="4"/>
      <c r="I52" s="31"/>
      <c r="J52" s="12"/>
      <c r="K52" s="12"/>
      <c r="L52" s="53"/>
      <c r="M52" s="12"/>
      <c r="N52" s="12"/>
      <c r="O52" s="12"/>
      <c r="P52" s="12"/>
      <c r="Q52" s="12"/>
      <c r="R52" s="13"/>
      <c r="S52" s="4"/>
    </row>
    <row r="53" spans="2:19" ht="14" outlineLevel="1">
      <c r="B53" s="210"/>
      <c r="C53" s="210"/>
      <c r="D53" s="210"/>
      <c r="E53" s="210"/>
      <c r="F53" s="34"/>
      <c r="G53" s="34" t="s">
        <v>176</v>
      </c>
      <c r="H53" s="4" t="s">
        <v>1370</v>
      </c>
      <c r="I53" s="31" t="s">
        <v>3</v>
      </c>
      <c r="J53" s="12" t="s">
        <v>332</v>
      </c>
      <c r="K53" s="12" t="s">
        <v>349</v>
      </c>
      <c r="L53" s="53">
        <v>44461</v>
      </c>
      <c r="M53" s="12" t="s">
        <v>2282</v>
      </c>
      <c r="N53" s="12" t="s">
        <v>2281</v>
      </c>
      <c r="O53" s="12" t="s">
        <v>326</v>
      </c>
      <c r="P53" s="12"/>
      <c r="Q53" s="12"/>
      <c r="R53" s="13"/>
      <c r="S53" s="4"/>
    </row>
    <row r="54" spans="2:19" outlineLevel="1">
      <c r="B54" s="210"/>
      <c r="C54" s="210"/>
      <c r="D54" s="210"/>
      <c r="E54" s="210"/>
      <c r="F54" s="34"/>
      <c r="G54" s="34"/>
      <c r="H54" s="4"/>
      <c r="I54" s="31"/>
      <c r="J54" s="12"/>
      <c r="K54" s="12"/>
      <c r="L54" s="53"/>
      <c r="M54" s="12"/>
      <c r="N54" s="12"/>
      <c r="O54" s="12"/>
      <c r="P54" s="12"/>
      <c r="Q54" s="12"/>
      <c r="R54" s="13"/>
      <c r="S54" s="4"/>
    </row>
    <row r="55" spans="2:19" ht="14" outlineLevel="1">
      <c r="B55" s="210"/>
      <c r="C55" s="210"/>
      <c r="D55" s="210"/>
      <c r="E55" s="210"/>
      <c r="F55" s="34" t="s">
        <v>36</v>
      </c>
      <c r="G55" s="34"/>
      <c r="H55" s="4" t="s">
        <v>1261</v>
      </c>
      <c r="I55" s="31" t="s">
        <v>3</v>
      </c>
      <c r="J55" s="12" t="s">
        <v>333</v>
      </c>
      <c r="K55" s="12" t="s">
        <v>349</v>
      </c>
      <c r="L55" s="53">
        <v>44277</v>
      </c>
      <c r="M55" s="12" t="s">
        <v>1346</v>
      </c>
      <c r="N55" s="12" t="s">
        <v>1263</v>
      </c>
      <c r="O55" s="12" t="s">
        <v>326</v>
      </c>
      <c r="P55" s="12"/>
      <c r="Q55" s="12"/>
      <c r="R55" s="13"/>
      <c r="S55" s="4"/>
    </row>
    <row r="56" spans="2:19" ht="14" outlineLevel="1">
      <c r="B56" s="210"/>
      <c r="C56" s="210"/>
      <c r="D56" s="210"/>
      <c r="E56" s="210"/>
      <c r="F56" s="34"/>
      <c r="G56" s="34"/>
      <c r="H56" s="4" t="s">
        <v>1261</v>
      </c>
      <c r="I56" s="31" t="s">
        <v>512</v>
      </c>
      <c r="J56" s="12" t="s">
        <v>333</v>
      </c>
      <c r="K56" s="12" t="s">
        <v>349</v>
      </c>
      <c r="L56" s="53">
        <v>44277</v>
      </c>
      <c r="M56" s="12" t="s">
        <v>1345</v>
      </c>
      <c r="N56" s="12" t="s">
        <v>1263</v>
      </c>
      <c r="O56" s="12" t="s">
        <v>326</v>
      </c>
      <c r="P56" s="12"/>
      <c r="Q56" s="12"/>
      <c r="R56" s="13"/>
      <c r="S56" s="4"/>
    </row>
    <row r="57" spans="2:19" ht="14" outlineLevel="1">
      <c r="B57" s="210"/>
      <c r="C57" s="210"/>
      <c r="D57" s="210"/>
      <c r="E57" s="210"/>
      <c r="F57" s="34"/>
      <c r="G57" s="34"/>
      <c r="H57" s="4" t="s">
        <v>1261</v>
      </c>
      <c r="I57" s="31" t="s">
        <v>654</v>
      </c>
      <c r="J57" s="12" t="s">
        <v>333</v>
      </c>
      <c r="K57" s="12" t="s">
        <v>349</v>
      </c>
      <c r="L57" s="53">
        <v>44538</v>
      </c>
      <c r="M57" s="12" t="s">
        <v>1345</v>
      </c>
      <c r="N57" s="12" t="s">
        <v>2546</v>
      </c>
      <c r="O57" s="12" t="s">
        <v>326</v>
      </c>
      <c r="P57" s="12"/>
      <c r="Q57" s="12"/>
      <c r="R57" s="13"/>
      <c r="S57" s="4"/>
    </row>
    <row r="58" spans="2:19" ht="14" outlineLevel="1">
      <c r="B58" s="210"/>
      <c r="C58" s="210"/>
      <c r="D58" s="210"/>
      <c r="E58" s="210"/>
      <c r="F58" s="34"/>
      <c r="G58" s="34"/>
      <c r="H58" s="4" t="s">
        <v>1261</v>
      </c>
      <c r="I58" s="31" t="s">
        <v>729</v>
      </c>
      <c r="J58" s="12" t="s">
        <v>333</v>
      </c>
      <c r="K58" s="12" t="s">
        <v>349</v>
      </c>
      <c r="L58" s="53">
        <v>44567</v>
      </c>
      <c r="M58" s="12" t="s">
        <v>1345</v>
      </c>
      <c r="N58" s="12" t="s">
        <v>2606</v>
      </c>
      <c r="O58" s="12" t="s">
        <v>326</v>
      </c>
      <c r="P58" s="12"/>
      <c r="Q58" s="12"/>
      <c r="R58" s="13"/>
      <c r="S58" s="4"/>
    </row>
    <row r="59" spans="2:19" ht="14" outlineLevel="1">
      <c r="B59" s="210"/>
      <c r="C59" s="210"/>
      <c r="D59" s="210"/>
      <c r="E59" s="210"/>
      <c r="F59" s="34"/>
      <c r="G59" s="34"/>
      <c r="H59" s="4" t="s">
        <v>1261</v>
      </c>
      <c r="I59" s="31" t="s">
        <v>730</v>
      </c>
      <c r="J59" s="12" t="s">
        <v>333</v>
      </c>
      <c r="K59" s="12" t="s">
        <v>349</v>
      </c>
      <c r="L59" s="53">
        <v>44571</v>
      </c>
      <c r="M59" s="12" t="s">
        <v>1345</v>
      </c>
      <c r="N59" s="12" t="s">
        <v>2617</v>
      </c>
      <c r="O59" s="12" t="s">
        <v>326</v>
      </c>
      <c r="P59" s="12"/>
      <c r="Q59" s="12"/>
      <c r="R59" s="13"/>
      <c r="S59" s="4"/>
    </row>
    <row r="60" spans="2:19" outlineLevel="1">
      <c r="B60" s="210"/>
      <c r="C60" s="210"/>
      <c r="D60" s="210"/>
      <c r="E60" s="210"/>
      <c r="F60" s="34"/>
      <c r="G60" s="34"/>
      <c r="H60" s="4"/>
      <c r="I60" s="31"/>
      <c r="J60" s="12"/>
      <c r="K60" s="12"/>
      <c r="L60" s="53"/>
      <c r="M60" s="12"/>
      <c r="N60" s="12"/>
      <c r="O60" s="12"/>
      <c r="P60" s="12"/>
      <c r="Q60" s="12"/>
      <c r="R60" s="13"/>
      <c r="S60" s="4"/>
    </row>
    <row r="61" spans="2:19" ht="14" outlineLevel="1">
      <c r="B61" s="210"/>
      <c r="C61" s="210"/>
      <c r="D61" s="210"/>
      <c r="E61" s="210"/>
      <c r="F61" s="34" t="s">
        <v>38</v>
      </c>
      <c r="G61" s="34"/>
      <c r="H61" s="4" t="s">
        <v>2727</v>
      </c>
      <c r="I61" s="31" t="s">
        <v>3</v>
      </c>
      <c r="J61" s="12" t="s">
        <v>333</v>
      </c>
      <c r="K61" s="12" t="s">
        <v>50</v>
      </c>
      <c r="L61" s="53"/>
      <c r="M61" s="12" t="s">
        <v>2728</v>
      </c>
      <c r="N61" s="12"/>
      <c r="O61" s="12"/>
      <c r="P61" s="12"/>
      <c r="Q61" s="12"/>
      <c r="R61" s="13"/>
      <c r="S61" s="4"/>
    </row>
    <row r="62" spans="2:19" outlineLevel="1">
      <c r="B62" s="210"/>
      <c r="C62" s="210"/>
      <c r="D62" s="210"/>
      <c r="E62" s="210"/>
      <c r="F62" s="34"/>
      <c r="G62" s="34"/>
      <c r="H62" s="4"/>
      <c r="I62" s="31"/>
      <c r="J62" s="12"/>
      <c r="K62" s="12"/>
      <c r="L62" s="53"/>
      <c r="M62" s="12"/>
      <c r="N62" s="12"/>
      <c r="O62" s="12"/>
      <c r="P62" s="12"/>
      <c r="Q62" s="12"/>
      <c r="R62" s="13"/>
      <c r="S62" s="4"/>
    </row>
    <row r="63" spans="2:19" outlineLevel="1">
      <c r="B63" s="210"/>
      <c r="C63" s="210"/>
      <c r="D63" s="210"/>
      <c r="E63" s="210"/>
      <c r="F63" s="34"/>
      <c r="G63" s="34"/>
      <c r="H63" s="4"/>
      <c r="I63" s="31"/>
      <c r="J63" s="12"/>
      <c r="K63" s="12"/>
      <c r="L63" s="53"/>
      <c r="M63" s="12"/>
      <c r="N63" s="12"/>
      <c r="O63" s="12"/>
      <c r="P63" s="12"/>
      <c r="Q63" s="12"/>
      <c r="R63" s="13"/>
      <c r="S63" s="4"/>
    </row>
    <row r="64" spans="2:19" outlineLevel="1">
      <c r="B64" s="210"/>
      <c r="C64" s="210"/>
      <c r="D64" s="211"/>
      <c r="E64" s="211"/>
      <c r="F64" s="34"/>
      <c r="G64" s="34"/>
      <c r="H64" s="4"/>
      <c r="I64" s="31"/>
      <c r="J64" s="12"/>
      <c r="K64" s="12"/>
      <c r="L64" s="53"/>
      <c r="M64" s="12"/>
      <c r="N64" s="12"/>
      <c r="O64" s="12"/>
      <c r="P64" s="12"/>
      <c r="Q64" s="12"/>
      <c r="R64" s="13"/>
      <c r="S64" s="4"/>
    </row>
    <row r="65" spans="2:19" ht="28" outlineLevel="1">
      <c r="B65" s="210"/>
      <c r="C65" s="210"/>
      <c r="D65" s="34" t="s">
        <v>31</v>
      </c>
      <c r="E65" s="115"/>
      <c r="F65" s="34"/>
      <c r="G65" s="34"/>
      <c r="H65" s="4"/>
      <c r="I65" s="31"/>
      <c r="J65" s="12"/>
      <c r="K65" s="12"/>
      <c r="L65" s="53"/>
      <c r="M65" s="12"/>
      <c r="N65" s="12"/>
      <c r="O65" s="34" t="s">
        <v>26</v>
      </c>
      <c r="P65" s="12"/>
      <c r="Q65" s="34" t="s">
        <v>26</v>
      </c>
      <c r="R65" s="13"/>
      <c r="S65" s="4"/>
    </row>
    <row r="66" spans="2:19" outlineLevel="1">
      <c r="B66" s="210"/>
      <c r="C66" s="210"/>
      <c r="D66" s="83"/>
      <c r="E66" s="83"/>
      <c r="F66" s="82"/>
      <c r="G66" s="82"/>
      <c r="H66" s="82"/>
      <c r="I66" s="30"/>
      <c r="J66" s="34"/>
      <c r="K66" s="34"/>
      <c r="L66" s="34"/>
      <c r="M66" s="12"/>
      <c r="N66" s="12"/>
      <c r="O66" s="34"/>
      <c r="P66" s="34"/>
      <c r="Q66" s="12"/>
      <c r="R66" s="13"/>
      <c r="S66" s="4"/>
    </row>
    <row r="67" spans="2:19" ht="12.75" customHeight="1" outlineLevel="1">
      <c r="B67" s="210"/>
      <c r="C67" s="210"/>
      <c r="D67" s="34" t="s">
        <v>33</v>
      </c>
      <c r="E67" s="115" t="s">
        <v>49</v>
      </c>
      <c r="F67" s="34" t="s">
        <v>349</v>
      </c>
      <c r="G67" s="34"/>
      <c r="H67" s="4" t="s">
        <v>51</v>
      </c>
      <c r="I67" s="31"/>
      <c r="J67" s="12"/>
      <c r="K67" s="12"/>
      <c r="L67" s="12"/>
      <c r="M67" s="12"/>
      <c r="N67" s="12"/>
      <c r="O67" s="12"/>
      <c r="P67" s="12"/>
      <c r="Q67" s="12"/>
      <c r="R67" s="13"/>
      <c r="S67" s="4"/>
    </row>
    <row r="68" spans="2:19" outlineLevel="1">
      <c r="B68" s="210"/>
      <c r="C68" s="210"/>
      <c r="D68" s="34"/>
      <c r="E68" s="2"/>
      <c r="F68" s="82"/>
      <c r="G68" s="82"/>
      <c r="H68" s="82"/>
      <c r="I68" s="30"/>
      <c r="J68" s="12"/>
      <c r="K68" s="12"/>
      <c r="L68" s="12"/>
      <c r="M68" s="12"/>
      <c r="N68" s="12"/>
      <c r="O68" s="12"/>
      <c r="P68" s="12"/>
      <c r="Q68" s="12"/>
      <c r="R68" s="13"/>
      <c r="S68" s="4"/>
    </row>
    <row r="69" spans="2:19" ht="12.75" customHeight="1" outlineLevel="1">
      <c r="B69" s="210"/>
      <c r="C69" s="210"/>
      <c r="D69" s="34" t="s">
        <v>52</v>
      </c>
      <c r="E69" s="115" t="s">
        <v>53</v>
      </c>
      <c r="F69" s="34" t="s">
        <v>50</v>
      </c>
      <c r="G69" s="34"/>
      <c r="H69" s="4" t="s">
        <v>51</v>
      </c>
      <c r="I69" s="31"/>
      <c r="J69" s="12"/>
      <c r="K69" s="12"/>
      <c r="L69" s="12"/>
      <c r="M69" s="12"/>
      <c r="N69" s="12"/>
      <c r="O69" s="12"/>
      <c r="P69" s="12"/>
      <c r="Q69" s="12"/>
      <c r="R69" s="13"/>
      <c r="S69" s="4"/>
    </row>
    <row r="70" spans="2:19" outlineLevel="1">
      <c r="B70" s="210"/>
      <c r="C70" s="210"/>
      <c r="D70" s="34"/>
      <c r="E70" s="2"/>
      <c r="F70" s="82"/>
      <c r="G70" s="82"/>
      <c r="H70" s="82"/>
      <c r="I70" s="30"/>
      <c r="J70" s="12"/>
      <c r="K70" s="12"/>
      <c r="L70" s="12"/>
      <c r="M70" s="12"/>
      <c r="N70" s="12"/>
      <c r="O70" s="12"/>
      <c r="P70" s="12"/>
      <c r="Q70" s="12"/>
      <c r="R70" s="13"/>
      <c r="S70" s="4"/>
    </row>
    <row r="71" spans="2:19" ht="12.75" customHeight="1" outlineLevel="1">
      <c r="B71" s="210"/>
      <c r="C71" s="210"/>
      <c r="D71" s="34" t="s">
        <v>42</v>
      </c>
      <c r="E71" s="115" t="s">
        <v>54</v>
      </c>
      <c r="F71" s="34" t="s">
        <v>50</v>
      </c>
      <c r="G71" s="34"/>
      <c r="H71" s="4" t="s">
        <v>51</v>
      </c>
      <c r="I71" s="31"/>
      <c r="J71" s="12"/>
      <c r="K71" s="12"/>
      <c r="L71" s="12"/>
      <c r="M71" s="12"/>
      <c r="N71" s="12"/>
      <c r="O71" s="12"/>
      <c r="P71" s="12"/>
      <c r="Q71" s="12"/>
      <c r="R71" s="13"/>
      <c r="S71" s="4"/>
    </row>
    <row r="72" spans="2:19" outlineLevel="1">
      <c r="B72" s="210"/>
      <c r="C72" s="210"/>
      <c r="D72" s="34"/>
      <c r="E72" s="2"/>
      <c r="F72" s="82"/>
      <c r="G72" s="82"/>
      <c r="H72" s="82"/>
      <c r="I72" s="30"/>
      <c r="J72" s="12"/>
      <c r="K72" s="12"/>
      <c r="L72" s="12"/>
      <c r="M72" s="12"/>
      <c r="N72" s="12"/>
      <c r="O72" s="12"/>
      <c r="P72" s="12"/>
      <c r="Q72" s="12"/>
      <c r="R72" s="13"/>
      <c r="S72" s="4"/>
    </row>
    <row r="73" spans="2:19" ht="12.75" customHeight="1" outlineLevel="1">
      <c r="B73" s="210"/>
      <c r="C73" s="210"/>
      <c r="D73" s="34" t="s">
        <v>55</v>
      </c>
      <c r="E73" s="115" t="s">
        <v>56</v>
      </c>
      <c r="F73" s="34" t="s">
        <v>50</v>
      </c>
      <c r="G73" s="34"/>
      <c r="H73" s="4" t="s">
        <v>51</v>
      </c>
      <c r="I73" s="31"/>
      <c r="J73" s="12"/>
      <c r="K73" s="12"/>
      <c r="L73" s="12"/>
      <c r="M73" s="12"/>
      <c r="N73" s="12"/>
      <c r="O73" s="12"/>
      <c r="P73" s="12"/>
      <c r="Q73" s="12"/>
      <c r="R73" s="13"/>
      <c r="S73" s="4"/>
    </row>
    <row r="74" spans="2:19" outlineLevel="1">
      <c r="B74" s="210"/>
      <c r="C74" s="210"/>
      <c r="D74" s="83"/>
      <c r="E74" s="83"/>
      <c r="F74" s="82"/>
      <c r="G74" s="82"/>
      <c r="H74" s="82"/>
      <c r="I74" s="30"/>
      <c r="J74" s="12"/>
      <c r="K74" s="12"/>
      <c r="L74" s="12"/>
      <c r="M74" s="12"/>
      <c r="N74" s="12"/>
      <c r="O74" s="12"/>
      <c r="P74" s="12"/>
      <c r="Q74" s="12"/>
      <c r="R74" s="13"/>
      <c r="S74" s="4"/>
    </row>
    <row r="75" spans="2:19" ht="12.75" customHeight="1" outlineLevel="1">
      <c r="B75" s="210"/>
      <c r="C75" s="210"/>
      <c r="D75" s="34" t="s">
        <v>57</v>
      </c>
      <c r="E75" s="115" t="s">
        <v>58</v>
      </c>
      <c r="F75" s="34" t="s">
        <v>50</v>
      </c>
      <c r="G75" s="34"/>
      <c r="H75" s="4" t="s">
        <v>45</v>
      </c>
      <c r="I75" s="31"/>
      <c r="J75" s="12"/>
      <c r="K75" s="12"/>
      <c r="L75" s="12"/>
      <c r="M75" s="12"/>
      <c r="N75" s="12"/>
      <c r="O75" s="34" t="s">
        <v>26</v>
      </c>
      <c r="P75" s="12"/>
      <c r="Q75" s="34" t="s">
        <v>26</v>
      </c>
      <c r="R75" s="13"/>
      <c r="S75" s="4"/>
    </row>
    <row r="76" spans="2:19" outlineLevel="1">
      <c r="B76" s="210"/>
      <c r="C76" s="210"/>
      <c r="D76" s="209"/>
      <c r="E76" s="209"/>
      <c r="F76" s="82"/>
      <c r="G76" s="82"/>
      <c r="H76" s="82"/>
      <c r="I76" s="30"/>
      <c r="J76" s="34"/>
      <c r="K76" s="34"/>
      <c r="L76" s="34"/>
      <c r="M76" s="12"/>
      <c r="N76" s="12"/>
      <c r="O76" s="34"/>
      <c r="P76" s="34"/>
      <c r="Q76" s="34"/>
      <c r="R76" s="13"/>
      <c r="S76" s="4"/>
    </row>
    <row r="77" spans="2:19" ht="14" outlineLevel="1">
      <c r="B77" s="210"/>
      <c r="C77" s="210"/>
      <c r="D77" s="210"/>
      <c r="E77" s="210"/>
      <c r="F77" s="34" t="s">
        <v>27</v>
      </c>
      <c r="G77" s="82"/>
      <c r="H77" s="4" t="s">
        <v>59</v>
      </c>
      <c r="I77" s="30"/>
      <c r="J77" s="34"/>
      <c r="K77" s="34"/>
      <c r="L77" s="34"/>
      <c r="M77" s="12"/>
      <c r="N77" s="12"/>
      <c r="O77" s="34"/>
      <c r="P77" s="34"/>
      <c r="Q77" s="34"/>
      <c r="R77" s="13"/>
      <c r="S77" s="4"/>
    </row>
    <row r="78" spans="2:19" ht="14" outlineLevel="1">
      <c r="B78" s="210"/>
      <c r="C78" s="210"/>
      <c r="D78" s="210"/>
      <c r="E78" s="210"/>
      <c r="F78" s="34" t="s">
        <v>29</v>
      </c>
      <c r="G78" s="82"/>
      <c r="H78" s="4" t="s">
        <v>60</v>
      </c>
      <c r="I78" s="31" t="s">
        <v>330</v>
      </c>
      <c r="J78" s="12" t="s">
        <v>333</v>
      </c>
      <c r="K78" s="53">
        <v>44007</v>
      </c>
      <c r="L78" s="34"/>
      <c r="M78" s="12"/>
      <c r="N78" s="12"/>
      <c r="O78" s="34"/>
      <c r="P78" s="34"/>
      <c r="Q78" s="12"/>
      <c r="R78" s="13"/>
      <c r="S78" s="4" t="s">
        <v>350</v>
      </c>
    </row>
    <row r="79" spans="2:19" ht="14" outlineLevel="1">
      <c r="B79" s="210"/>
      <c r="C79" s="210"/>
      <c r="D79" s="210"/>
      <c r="E79" s="210"/>
      <c r="F79" s="34" t="s">
        <v>61</v>
      </c>
      <c r="G79" s="34"/>
      <c r="H79" s="4" t="s">
        <v>62</v>
      </c>
      <c r="I79" s="31"/>
      <c r="J79" s="12"/>
      <c r="K79" s="53"/>
      <c r="L79" s="53"/>
      <c r="M79" s="35"/>
      <c r="N79" s="35"/>
      <c r="O79" s="12"/>
      <c r="P79" s="12"/>
      <c r="Q79" s="12"/>
      <c r="R79" s="13"/>
      <c r="S79" s="4"/>
    </row>
    <row r="80" spans="2:19" ht="14" outlineLevel="1">
      <c r="B80" s="210"/>
      <c r="C80" s="210"/>
      <c r="D80" s="210"/>
      <c r="E80" s="210"/>
      <c r="F80" s="34"/>
      <c r="G80" s="34" t="s">
        <v>63</v>
      </c>
      <c r="H80" s="4" t="s">
        <v>64</v>
      </c>
      <c r="I80" s="31"/>
      <c r="J80" s="12" t="s">
        <v>333</v>
      </c>
      <c r="K80" s="53" t="s">
        <v>45</v>
      </c>
      <c r="L80" s="53">
        <v>44099</v>
      </c>
      <c r="M80" s="35" t="s">
        <v>488</v>
      </c>
      <c r="N80" s="12" t="s">
        <v>494</v>
      </c>
      <c r="O80" s="12" t="s">
        <v>326</v>
      </c>
      <c r="P80" s="12"/>
      <c r="Q80" s="12"/>
      <c r="R80" s="13"/>
      <c r="S80" s="4"/>
    </row>
    <row r="81" spans="2:21" ht="14" outlineLevel="1">
      <c r="B81" s="210"/>
      <c r="C81" s="210"/>
      <c r="D81" s="210"/>
      <c r="E81" s="210"/>
      <c r="F81" s="34"/>
      <c r="G81" s="34" t="s">
        <v>65</v>
      </c>
      <c r="H81" s="4" t="s">
        <v>66</v>
      </c>
      <c r="I81" s="31"/>
      <c r="J81" s="12" t="s">
        <v>333</v>
      </c>
      <c r="K81" s="53" t="s">
        <v>45</v>
      </c>
      <c r="L81" s="53">
        <v>44099</v>
      </c>
      <c r="M81" s="35" t="s">
        <v>489</v>
      </c>
      <c r="N81" s="12" t="s">
        <v>494</v>
      </c>
      <c r="O81" s="12" t="s">
        <v>326</v>
      </c>
      <c r="P81" s="12"/>
      <c r="Q81" s="12"/>
      <c r="R81" s="13"/>
      <c r="S81" s="4"/>
    </row>
    <row r="82" spans="2:21" ht="14" outlineLevel="1">
      <c r="B82" s="210"/>
      <c r="C82" s="210"/>
      <c r="D82" s="210"/>
      <c r="E82" s="210"/>
      <c r="F82" s="34"/>
      <c r="G82" s="34" t="s">
        <v>67</v>
      </c>
      <c r="H82" s="4" t="s">
        <v>68</v>
      </c>
      <c r="I82" s="31"/>
      <c r="J82" s="12" t="s">
        <v>333</v>
      </c>
      <c r="K82" s="53" t="s">
        <v>45</v>
      </c>
      <c r="L82" s="53">
        <v>44099</v>
      </c>
      <c r="M82" s="35" t="s">
        <v>490</v>
      </c>
      <c r="N82" s="12" t="s">
        <v>494</v>
      </c>
      <c r="O82" s="12" t="s">
        <v>326</v>
      </c>
      <c r="P82" s="12"/>
      <c r="Q82" s="12"/>
      <c r="R82" s="13"/>
      <c r="S82" s="4"/>
    </row>
    <row r="83" spans="2:21" ht="14" outlineLevel="1">
      <c r="B83" s="210"/>
      <c r="C83" s="210"/>
      <c r="D83" s="210"/>
      <c r="E83" s="210"/>
      <c r="F83" s="34"/>
      <c r="G83" s="34" t="s">
        <v>69</v>
      </c>
      <c r="H83" s="4" t="s">
        <v>70</v>
      </c>
      <c r="I83" s="31"/>
      <c r="J83" s="12" t="s">
        <v>333</v>
      </c>
      <c r="K83" s="53" t="s">
        <v>45</v>
      </c>
      <c r="L83" s="53">
        <v>44099</v>
      </c>
      <c r="M83" s="35" t="s">
        <v>491</v>
      </c>
      <c r="N83" s="12" t="s">
        <v>494</v>
      </c>
      <c r="O83" s="12" t="s">
        <v>326</v>
      </c>
      <c r="P83" s="12"/>
      <c r="Q83" s="12"/>
      <c r="R83" s="13"/>
      <c r="S83" s="4"/>
    </row>
    <row r="84" spans="2:21" ht="14" outlineLevel="1">
      <c r="B84" s="210"/>
      <c r="C84" s="210"/>
      <c r="D84" s="210"/>
      <c r="E84" s="210"/>
      <c r="F84" s="34"/>
      <c r="G84" s="34" t="s">
        <v>71</v>
      </c>
      <c r="H84" s="4" t="s">
        <v>72</v>
      </c>
      <c r="I84" s="31"/>
      <c r="J84" s="12" t="s">
        <v>333</v>
      </c>
      <c r="K84" s="53" t="s">
        <v>45</v>
      </c>
      <c r="L84" s="53">
        <v>44099</v>
      </c>
      <c r="M84" s="35" t="s">
        <v>492</v>
      </c>
      <c r="N84" s="12" t="s">
        <v>494</v>
      </c>
      <c r="O84" s="12" t="s">
        <v>326</v>
      </c>
      <c r="P84" s="12"/>
      <c r="Q84" s="12"/>
      <c r="R84" s="13"/>
      <c r="S84" s="4"/>
    </row>
    <row r="85" spans="2:21" ht="14" outlineLevel="1">
      <c r="B85" s="210"/>
      <c r="C85" s="210"/>
      <c r="D85" s="210"/>
      <c r="E85" s="210"/>
      <c r="F85" s="34"/>
      <c r="G85" s="34" t="s">
        <v>73</v>
      </c>
      <c r="H85" s="4" t="s">
        <v>74</v>
      </c>
      <c r="I85" s="31"/>
      <c r="J85" s="12" t="s">
        <v>333</v>
      </c>
      <c r="K85" s="53" t="s">
        <v>45</v>
      </c>
      <c r="L85" s="53">
        <v>44099</v>
      </c>
      <c r="M85" s="35" t="s">
        <v>493</v>
      </c>
      <c r="N85" s="12" t="s">
        <v>494</v>
      </c>
      <c r="O85" s="12" t="s">
        <v>326</v>
      </c>
      <c r="P85" s="12"/>
      <c r="Q85" s="12"/>
      <c r="R85" s="13"/>
      <c r="S85" s="4"/>
    </row>
    <row r="86" spans="2:21" ht="14" outlineLevel="1">
      <c r="B86" s="210"/>
      <c r="C86" s="210"/>
      <c r="D86" s="210"/>
      <c r="E86" s="210"/>
      <c r="F86" s="34"/>
      <c r="G86" s="34" t="s">
        <v>486</v>
      </c>
      <c r="H86" s="4" t="s">
        <v>487</v>
      </c>
      <c r="I86" s="31"/>
      <c r="J86" s="12" t="s">
        <v>333</v>
      </c>
      <c r="K86" s="53">
        <v>44074</v>
      </c>
      <c r="L86" s="53">
        <v>44071</v>
      </c>
      <c r="M86" s="35" t="s">
        <v>354</v>
      </c>
      <c r="N86" s="35" t="s">
        <v>352</v>
      </c>
      <c r="O86" s="12" t="s">
        <v>326</v>
      </c>
      <c r="P86" s="12"/>
      <c r="Q86" s="12"/>
      <c r="R86" s="13"/>
      <c r="S86" s="4"/>
    </row>
    <row r="87" spans="2:21" outlineLevel="1">
      <c r="B87" s="130"/>
      <c r="C87" s="131"/>
      <c r="D87" s="131"/>
      <c r="E87" s="131"/>
      <c r="F87" s="34"/>
      <c r="G87" s="34"/>
      <c r="H87" s="4"/>
      <c r="I87" s="31"/>
      <c r="J87" s="12"/>
      <c r="K87" s="53"/>
      <c r="L87" s="53"/>
      <c r="M87" s="35"/>
      <c r="N87" s="35"/>
      <c r="O87" s="12"/>
      <c r="P87" s="12"/>
      <c r="Q87" s="132"/>
      <c r="R87" s="133"/>
      <c r="S87" s="79"/>
    </row>
    <row r="88" spans="2:21" ht="18" customHeight="1">
      <c r="B88" s="215" t="s">
        <v>75</v>
      </c>
      <c r="C88" s="216"/>
      <c r="D88" s="216"/>
      <c r="E88" s="216"/>
      <c r="F88" s="216"/>
      <c r="G88" s="216"/>
      <c r="H88" s="216"/>
      <c r="I88" s="216"/>
      <c r="J88" s="216"/>
      <c r="K88" s="216"/>
      <c r="L88" s="216"/>
      <c r="M88" s="216"/>
      <c r="N88" s="216"/>
      <c r="O88" s="216"/>
      <c r="P88" s="216"/>
      <c r="Q88" s="216"/>
      <c r="R88" s="216"/>
      <c r="S88" s="217"/>
    </row>
    <row r="89" spans="2:21" ht="12.75" customHeight="1">
      <c r="B89" s="34" t="s">
        <v>76</v>
      </c>
      <c r="C89" s="218" t="s">
        <v>77</v>
      </c>
      <c r="D89" s="219"/>
      <c r="E89" s="219"/>
      <c r="F89" s="219"/>
      <c r="G89" s="219"/>
      <c r="H89" s="219"/>
      <c r="I89" s="219"/>
      <c r="J89" s="219"/>
      <c r="K89" s="219"/>
      <c r="L89" s="219"/>
      <c r="M89" s="219"/>
      <c r="N89" s="219"/>
      <c r="O89" s="219"/>
      <c r="P89" s="219"/>
      <c r="Q89" s="219"/>
      <c r="R89" s="220"/>
      <c r="S89" s="4"/>
    </row>
    <row r="90" spans="2:21" ht="28">
      <c r="B90" s="209"/>
      <c r="C90" s="209"/>
      <c r="D90" s="34" t="s">
        <v>24</v>
      </c>
      <c r="E90" s="233" t="s">
        <v>78</v>
      </c>
      <c r="F90" s="233"/>
      <c r="G90" s="233"/>
      <c r="H90" s="233"/>
      <c r="I90" s="2"/>
      <c r="J90" s="34"/>
      <c r="K90" s="2"/>
      <c r="L90" s="2"/>
      <c r="M90" s="2"/>
      <c r="N90" s="2"/>
      <c r="O90" s="39" t="s">
        <v>26</v>
      </c>
      <c r="P90" s="136"/>
      <c r="Q90" s="39" t="s">
        <v>26</v>
      </c>
      <c r="R90" s="13"/>
      <c r="S90" s="4"/>
    </row>
    <row r="91" spans="2:21" outlineLevel="1">
      <c r="B91" s="210"/>
      <c r="C91" s="210"/>
      <c r="D91" s="209"/>
      <c r="E91" s="237"/>
      <c r="F91" s="82"/>
      <c r="G91" s="82"/>
      <c r="H91" s="82"/>
      <c r="I91" s="30"/>
      <c r="J91" s="39"/>
      <c r="K91" s="39"/>
      <c r="L91" s="39"/>
      <c r="M91" s="12"/>
      <c r="N91" s="12"/>
      <c r="O91" s="39"/>
      <c r="P91" s="39"/>
      <c r="Q91" s="12"/>
      <c r="R91" s="13"/>
      <c r="S91" s="4"/>
    </row>
    <row r="92" spans="2:21" ht="14" outlineLevel="1">
      <c r="B92" s="210"/>
      <c r="C92" s="210"/>
      <c r="D92" s="211"/>
      <c r="E92" s="237"/>
      <c r="F92" s="34" t="s">
        <v>27</v>
      </c>
      <c r="G92" s="34"/>
      <c r="H92" s="4"/>
      <c r="I92" s="31"/>
      <c r="J92" s="12"/>
      <c r="K92" s="12"/>
      <c r="L92" s="12"/>
      <c r="M92" s="12"/>
      <c r="N92" s="12"/>
      <c r="O92" s="12"/>
      <c r="P92" s="12"/>
      <c r="Q92" s="12"/>
      <c r="R92" s="13"/>
      <c r="S92" s="4"/>
    </row>
    <row r="93" spans="2:21" ht="12.75" customHeight="1" outlineLevel="1">
      <c r="B93" s="210"/>
      <c r="C93" s="210"/>
      <c r="D93" s="34" t="s">
        <v>31</v>
      </c>
      <c r="E93" s="218" t="s">
        <v>79</v>
      </c>
      <c r="F93" s="219"/>
      <c r="G93" s="219"/>
      <c r="H93" s="220"/>
      <c r="I93" s="31"/>
      <c r="J93" s="12"/>
      <c r="K93" s="12"/>
      <c r="L93" s="12"/>
      <c r="M93" s="12"/>
      <c r="N93" s="12"/>
      <c r="O93" s="39" t="s">
        <v>26</v>
      </c>
      <c r="P93" s="12"/>
      <c r="Q93" s="39" t="s">
        <v>26</v>
      </c>
      <c r="R93" s="2"/>
      <c r="S93" s="2"/>
      <c r="T93" s="52"/>
      <c r="U93" s="52"/>
    </row>
    <row r="94" spans="2:21" outlineLevel="1">
      <c r="B94" s="210"/>
      <c r="C94" s="210"/>
      <c r="D94" s="212"/>
      <c r="E94" s="212"/>
      <c r="F94" s="82"/>
      <c r="G94" s="82"/>
      <c r="H94" s="82"/>
      <c r="I94" s="34"/>
      <c r="J94" s="39"/>
      <c r="K94" s="39"/>
      <c r="L94" s="53"/>
      <c r="M94" s="34"/>
      <c r="N94" s="34"/>
      <c r="O94" s="39"/>
      <c r="P94" s="39"/>
      <c r="Q94" s="12"/>
      <c r="R94" s="13"/>
      <c r="S94" s="4"/>
    </row>
    <row r="95" spans="2:21" ht="14" outlineLevel="1">
      <c r="B95" s="210"/>
      <c r="C95" s="210"/>
      <c r="D95" s="213"/>
      <c r="E95" s="213"/>
      <c r="F95" s="34" t="s">
        <v>27</v>
      </c>
      <c r="G95" s="34"/>
      <c r="H95" s="33" t="s">
        <v>270</v>
      </c>
      <c r="I95" s="31" t="s">
        <v>3</v>
      </c>
      <c r="J95" s="12" t="s">
        <v>333</v>
      </c>
      <c r="K95" s="53">
        <v>44074</v>
      </c>
      <c r="L95" s="53">
        <v>44071</v>
      </c>
      <c r="M95" s="35" t="s">
        <v>1640</v>
      </c>
      <c r="N95" s="35" t="s">
        <v>352</v>
      </c>
      <c r="O95" s="12" t="s">
        <v>326</v>
      </c>
      <c r="P95" s="12"/>
      <c r="Q95" s="12"/>
      <c r="R95" s="13"/>
      <c r="S95" s="4"/>
    </row>
    <row r="96" spans="2:21" ht="14" outlineLevel="1">
      <c r="B96" s="210"/>
      <c r="C96" s="210"/>
      <c r="D96" s="213"/>
      <c r="E96" s="213"/>
      <c r="F96" s="34"/>
      <c r="G96" s="34"/>
      <c r="H96" s="33" t="s">
        <v>270</v>
      </c>
      <c r="I96" s="31" t="s">
        <v>512</v>
      </c>
      <c r="J96" s="12" t="s">
        <v>332</v>
      </c>
      <c r="K96" s="53" t="s">
        <v>349</v>
      </c>
      <c r="L96" s="53">
        <v>44270</v>
      </c>
      <c r="M96" s="35" t="s">
        <v>1640</v>
      </c>
      <c r="N96" s="35" t="s">
        <v>1257</v>
      </c>
      <c r="O96" s="12" t="s">
        <v>326</v>
      </c>
      <c r="P96" s="12"/>
      <c r="Q96" s="12"/>
      <c r="R96" s="13"/>
      <c r="S96" s="4"/>
    </row>
    <row r="97" spans="2:19" ht="14" outlineLevel="1">
      <c r="B97" s="210"/>
      <c r="C97" s="210"/>
      <c r="D97" s="213"/>
      <c r="E97" s="213"/>
      <c r="F97" s="34"/>
      <c r="G97" s="34"/>
      <c r="H97" s="33" t="s">
        <v>270</v>
      </c>
      <c r="I97" s="31" t="s">
        <v>654</v>
      </c>
      <c r="J97" s="12" t="s">
        <v>332</v>
      </c>
      <c r="K97" s="53" t="s">
        <v>349</v>
      </c>
      <c r="L97" s="53">
        <v>44320</v>
      </c>
      <c r="M97" s="35" t="s">
        <v>1640</v>
      </c>
      <c r="N97" s="35" t="s">
        <v>1641</v>
      </c>
      <c r="O97" s="12" t="s">
        <v>326</v>
      </c>
      <c r="P97" s="12"/>
      <c r="Q97" s="12"/>
      <c r="R97" s="13"/>
      <c r="S97" s="4"/>
    </row>
    <row r="98" spans="2:19" outlineLevel="1">
      <c r="B98" s="210"/>
      <c r="C98" s="210"/>
      <c r="D98" s="213"/>
      <c r="E98" s="213"/>
      <c r="F98" s="34"/>
      <c r="G98" s="34"/>
      <c r="H98" s="33"/>
      <c r="I98" s="31"/>
      <c r="J98" s="12"/>
      <c r="K98" s="53"/>
      <c r="L98" s="53"/>
      <c r="M98" s="35"/>
      <c r="N98" s="35"/>
      <c r="O98" s="12"/>
      <c r="P98" s="12"/>
      <c r="Q98" s="12"/>
      <c r="R98" s="13"/>
      <c r="S98" s="4"/>
    </row>
    <row r="99" spans="2:19" ht="14" outlineLevel="1">
      <c r="B99" s="210"/>
      <c r="C99" s="210"/>
      <c r="D99" s="213"/>
      <c r="E99" s="213"/>
      <c r="F99" s="34" t="s">
        <v>29</v>
      </c>
      <c r="G99" s="34"/>
      <c r="H99" s="33" t="s">
        <v>271</v>
      </c>
      <c r="I99" s="31" t="s">
        <v>3</v>
      </c>
      <c r="J99" s="12" t="s">
        <v>332</v>
      </c>
      <c r="K99" s="13">
        <v>44181</v>
      </c>
      <c r="L99" s="53">
        <v>44181</v>
      </c>
      <c r="M99" s="12" t="s">
        <v>3261</v>
      </c>
      <c r="N99" s="12" t="s">
        <v>786</v>
      </c>
      <c r="O99" s="12" t="s">
        <v>326</v>
      </c>
      <c r="P99" s="12"/>
      <c r="Q99" s="12"/>
      <c r="R99" s="13"/>
      <c r="S99" s="4"/>
    </row>
    <row r="100" spans="2:19" ht="14" outlineLevel="1">
      <c r="B100" s="210"/>
      <c r="C100" s="210"/>
      <c r="D100" s="213"/>
      <c r="E100" s="213"/>
      <c r="F100" s="34"/>
      <c r="G100" s="34"/>
      <c r="H100" s="33" t="s">
        <v>271</v>
      </c>
      <c r="I100" s="31" t="s">
        <v>654</v>
      </c>
      <c r="J100" s="12" t="s">
        <v>332</v>
      </c>
      <c r="K100" s="53" t="s">
        <v>349</v>
      </c>
      <c r="L100" s="53">
        <v>44270</v>
      </c>
      <c r="M100" s="12" t="s">
        <v>3261</v>
      </c>
      <c r="N100" s="35" t="s">
        <v>1257</v>
      </c>
      <c r="O100" s="12" t="s">
        <v>326</v>
      </c>
      <c r="P100" s="12"/>
      <c r="Q100" s="12"/>
      <c r="R100" s="13"/>
      <c r="S100" s="4" t="s">
        <v>315</v>
      </c>
    </row>
    <row r="101" spans="2:19" ht="14" outlineLevel="1">
      <c r="B101" s="210"/>
      <c r="C101" s="210"/>
      <c r="D101" s="213"/>
      <c r="E101" s="213"/>
      <c r="F101" s="34"/>
      <c r="G101" s="34"/>
      <c r="H101" s="33" t="s">
        <v>271</v>
      </c>
      <c r="I101" s="31" t="s">
        <v>729</v>
      </c>
      <c r="J101" s="12" t="s">
        <v>332</v>
      </c>
      <c r="K101" s="53" t="s">
        <v>349</v>
      </c>
      <c r="L101" s="53">
        <v>44816</v>
      </c>
      <c r="M101" s="12" t="s">
        <v>3261</v>
      </c>
      <c r="N101" s="35" t="s">
        <v>3260</v>
      </c>
      <c r="O101" s="12" t="s">
        <v>326</v>
      </c>
      <c r="P101" s="12"/>
      <c r="Q101" s="12"/>
      <c r="R101" s="13"/>
      <c r="S101" s="4"/>
    </row>
    <row r="102" spans="2:19" ht="14" outlineLevel="1">
      <c r="B102" s="210"/>
      <c r="C102" s="210"/>
      <c r="D102" s="213"/>
      <c r="E102" s="213"/>
      <c r="F102" s="34"/>
      <c r="G102" s="34"/>
      <c r="H102" s="33" t="s">
        <v>3866</v>
      </c>
      <c r="I102" s="31" t="s">
        <v>730</v>
      </c>
      <c r="J102" s="12" t="s">
        <v>332</v>
      </c>
      <c r="K102" s="53" t="s">
        <v>349</v>
      </c>
      <c r="L102" s="53">
        <v>45170</v>
      </c>
      <c r="M102" s="12" t="s">
        <v>3261</v>
      </c>
      <c r="N102" s="35" t="s">
        <v>3865</v>
      </c>
      <c r="O102" s="12" t="s">
        <v>326</v>
      </c>
      <c r="P102" s="12"/>
      <c r="Q102" s="12"/>
      <c r="R102" s="13"/>
      <c r="S102" s="4"/>
    </row>
    <row r="103" spans="2:19" outlineLevel="1">
      <c r="B103" s="210"/>
      <c r="C103" s="210"/>
      <c r="D103" s="213"/>
      <c r="E103" s="213"/>
      <c r="F103" s="34"/>
      <c r="G103" s="34"/>
      <c r="H103" s="33"/>
      <c r="I103" s="31"/>
      <c r="J103" s="12"/>
      <c r="K103" s="53"/>
      <c r="L103" s="53"/>
      <c r="M103" s="12"/>
      <c r="N103" s="35"/>
      <c r="O103" s="12"/>
      <c r="P103" s="12"/>
      <c r="Q103" s="12"/>
      <c r="R103" s="13"/>
      <c r="S103" s="4"/>
    </row>
    <row r="104" spans="2:19" ht="14" outlineLevel="1">
      <c r="B104" s="210"/>
      <c r="C104" s="210"/>
      <c r="D104" s="213"/>
      <c r="E104" s="213"/>
      <c r="F104" s="34" t="s">
        <v>35</v>
      </c>
      <c r="G104" s="34"/>
      <c r="H104" s="33" t="s">
        <v>272</v>
      </c>
      <c r="I104" s="31" t="s">
        <v>3</v>
      </c>
      <c r="J104" s="12" t="s">
        <v>332</v>
      </c>
      <c r="K104" s="13">
        <v>44181</v>
      </c>
      <c r="L104" s="53">
        <v>44181</v>
      </c>
      <c r="M104" s="12" t="s">
        <v>719</v>
      </c>
      <c r="N104" s="12" t="s">
        <v>786</v>
      </c>
      <c r="O104" s="12" t="s">
        <v>326</v>
      </c>
      <c r="P104" s="12"/>
      <c r="Q104" s="12"/>
      <c r="R104" s="13"/>
      <c r="S104" s="4"/>
    </row>
    <row r="105" spans="2:19" ht="14" outlineLevel="1">
      <c r="B105" s="210"/>
      <c r="C105" s="210"/>
      <c r="D105" s="213"/>
      <c r="E105" s="213"/>
      <c r="F105" s="34"/>
      <c r="G105" s="34"/>
      <c r="H105" s="33" t="s">
        <v>272</v>
      </c>
      <c r="I105" s="31" t="s">
        <v>512</v>
      </c>
      <c r="J105" s="12" t="s">
        <v>332</v>
      </c>
      <c r="K105" s="53" t="s">
        <v>349</v>
      </c>
      <c r="L105" s="53">
        <v>44270</v>
      </c>
      <c r="M105" s="12" t="s">
        <v>1253</v>
      </c>
      <c r="N105" s="35" t="s">
        <v>1257</v>
      </c>
      <c r="O105" s="12" t="s">
        <v>326</v>
      </c>
      <c r="P105" s="12"/>
      <c r="Q105" s="12"/>
      <c r="R105" s="13"/>
      <c r="S105" s="4"/>
    </row>
    <row r="106" spans="2:19" ht="14" outlineLevel="1">
      <c r="B106" s="210"/>
      <c r="C106" s="210"/>
      <c r="D106" s="213"/>
      <c r="E106" s="213"/>
      <c r="F106" s="34" t="s">
        <v>36</v>
      </c>
      <c r="G106" s="34"/>
      <c r="H106" s="42" t="s">
        <v>273</v>
      </c>
      <c r="I106" s="31" t="s">
        <v>1221</v>
      </c>
      <c r="J106" s="12" t="s">
        <v>333</v>
      </c>
      <c r="K106" s="53">
        <v>44074</v>
      </c>
      <c r="L106" s="53">
        <v>44071</v>
      </c>
      <c r="M106" s="35" t="s">
        <v>353</v>
      </c>
      <c r="N106" s="35" t="s">
        <v>352</v>
      </c>
      <c r="O106" s="12" t="s">
        <v>326</v>
      </c>
      <c r="P106" s="12"/>
      <c r="Q106" s="12"/>
      <c r="R106" s="13"/>
      <c r="S106" s="4"/>
    </row>
    <row r="107" spans="2:19" ht="14" outlineLevel="1">
      <c r="B107" s="210"/>
      <c r="C107" s="210"/>
      <c r="D107" s="213"/>
      <c r="E107" s="213"/>
      <c r="F107" s="34" t="s">
        <v>38</v>
      </c>
      <c r="G107" s="34"/>
      <c r="H107" s="42" t="s">
        <v>274</v>
      </c>
      <c r="I107" s="31" t="s">
        <v>1221</v>
      </c>
      <c r="J107" s="12" t="s">
        <v>333</v>
      </c>
      <c r="K107" s="53">
        <v>44074</v>
      </c>
      <c r="L107" s="53">
        <v>44071</v>
      </c>
      <c r="M107" s="35" t="s">
        <v>356</v>
      </c>
      <c r="N107" s="35" t="s">
        <v>352</v>
      </c>
      <c r="O107" s="12" t="s">
        <v>326</v>
      </c>
      <c r="P107" s="12"/>
      <c r="Q107" s="12"/>
      <c r="R107" s="13"/>
      <c r="S107" s="4"/>
    </row>
    <row r="108" spans="2:19" ht="14" outlineLevel="1">
      <c r="B108" s="210"/>
      <c r="C108" s="210"/>
      <c r="D108" s="213"/>
      <c r="E108" s="213"/>
      <c r="F108" s="34" t="s">
        <v>40</v>
      </c>
      <c r="G108" s="34"/>
      <c r="H108" s="42" t="s">
        <v>378</v>
      </c>
      <c r="I108" s="31" t="s">
        <v>730</v>
      </c>
      <c r="J108" s="12" t="s">
        <v>333</v>
      </c>
      <c r="K108" s="53">
        <v>44074</v>
      </c>
      <c r="L108" s="53">
        <v>44071</v>
      </c>
      <c r="M108" s="35" t="s">
        <v>379</v>
      </c>
      <c r="N108" s="35" t="s">
        <v>352</v>
      </c>
      <c r="O108" s="12" t="s">
        <v>326</v>
      </c>
      <c r="P108" s="12"/>
      <c r="Q108" s="12"/>
      <c r="R108" s="13"/>
      <c r="S108" s="4"/>
    </row>
    <row r="109" spans="2:19" ht="14" outlineLevel="1">
      <c r="B109" s="210"/>
      <c r="C109" s="210"/>
      <c r="D109" s="213"/>
      <c r="E109" s="213"/>
      <c r="F109" s="34" t="s">
        <v>108</v>
      </c>
      <c r="G109" s="34"/>
      <c r="H109" s="42" t="s">
        <v>275</v>
      </c>
      <c r="I109" s="31" t="s">
        <v>654</v>
      </c>
      <c r="J109" s="12" t="s">
        <v>333</v>
      </c>
      <c r="K109" s="53">
        <v>44074</v>
      </c>
      <c r="L109" s="53">
        <v>44071</v>
      </c>
      <c r="M109" s="35" t="s">
        <v>360</v>
      </c>
      <c r="N109" s="35" t="s">
        <v>352</v>
      </c>
      <c r="O109" s="12" t="s">
        <v>326</v>
      </c>
      <c r="P109" s="12"/>
      <c r="Q109" s="12"/>
      <c r="R109" s="13"/>
      <c r="S109" s="4"/>
    </row>
    <row r="110" spans="2:19" ht="14" outlineLevel="1">
      <c r="B110" s="210"/>
      <c r="C110" s="210"/>
      <c r="D110" s="213"/>
      <c r="E110" s="213"/>
      <c r="F110" s="34" t="s">
        <v>129</v>
      </c>
      <c r="G110" s="34"/>
      <c r="H110" s="42" t="s">
        <v>276</v>
      </c>
      <c r="I110" s="31" t="s">
        <v>729</v>
      </c>
      <c r="J110" s="12" t="s">
        <v>333</v>
      </c>
      <c r="K110" s="53">
        <v>44074</v>
      </c>
      <c r="L110" s="53">
        <v>44071</v>
      </c>
      <c r="M110" s="35" t="s">
        <v>359</v>
      </c>
      <c r="N110" s="35" t="s">
        <v>352</v>
      </c>
      <c r="O110" s="12" t="s">
        <v>326</v>
      </c>
      <c r="P110" s="12"/>
      <c r="Q110" s="12"/>
      <c r="R110" s="13"/>
      <c r="S110" s="4"/>
    </row>
    <row r="111" spans="2:19" ht="14" outlineLevel="1">
      <c r="B111" s="210"/>
      <c r="C111" s="210"/>
      <c r="D111" s="213"/>
      <c r="E111" s="213"/>
      <c r="F111" s="34" t="s">
        <v>134</v>
      </c>
      <c r="G111" s="34"/>
      <c r="H111" s="42" t="s">
        <v>277</v>
      </c>
      <c r="I111" s="31" t="s">
        <v>730</v>
      </c>
      <c r="J111" s="12" t="s">
        <v>333</v>
      </c>
      <c r="K111" s="53">
        <v>44074</v>
      </c>
      <c r="L111" s="53">
        <v>44071</v>
      </c>
      <c r="M111" s="35" t="s">
        <v>358</v>
      </c>
      <c r="N111" s="35" t="s">
        <v>352</v>
      </c>
      <c r="O111" s="12" t="s">
        <v>326</v>
      </c>
      <c r="P111" s="12"/>
      <c r="Q111" s="12"/>
      <c r="R111" s="13"/>
      <c r="S111" s="4"/>
    </row>
    <row r="112" spans="2:19" ht="14" outlineLevel="1">
      <c r="B112" s="210"/>
      <c r="C112" s="210"/>
      <c r="D112" s="213"/>
      <c r="E112" s="213"/>
      <c r="F112" s="34" t="s">
        <v>135</v>
      </c>
      <c r="G112" s="34"/>
      <c r="H112" s="42" t="s">
        <v>278</v>
      </c>
      <c r="I112" s="31" t="s">
        <v>1161</v>
      </c>
      <c r="J112" s="12" t="s">
        <v>333</v>
      </c>
      <c r="K112" s="53">
        <v>44074</v>
      </c>
      <c r="L112" s="53">
        <v>44071</v>
      </c>
      <c r="M112" s="35" t="s">
        <v>362</v>
      </c>
      <c r="N112" s="35" t="s">
        <v>352</v>
      </c>
      <c r="O112" s="12" t="s">
        <v>326</v>
      </c>
      <c r="P112" s="12"/>
      <c r="Q112" s="12"/>
      <c r="R112" s="13"/>
      <c r="S112" s="4"/>
    </row>
    <row r="113" spans="2:21" ht="14" outlineLevel="1">
      <c r="B113" s="210"/>
      <c r="C113" s="210"/>
      <c r="D113" s="213"/>
      <c r="E113" s="213"/>
      <c r="F113" s="34" t="s">
        <v>204</v>
      </c>
      <c r="G113" s="34"/>
      <c r="H113" s="42" t="s">
        <v>279</v>
      </c>
      <c r="I113" s="31" t="s">
        <v>730</v>
      </c>
      <c r="J113" s="12" t="s">
        <v>333</v>
      </c>
      <c r="K113" s="53">
        <v>44074</v>
      </c>
      <c r="L113" s="53">
        <v>44071</v>
      </c>
      <c r="M113" s="35" t="s">
        <v>363</v>
      </c>
      <c r="N113" s="35" t="s">
        <v>352</v>
      </c>
      <c r="O113" s="12" t="s">
        <v>326</v>
      </c>
      <c r="P113" s="12"/>
      <c r="Q113" s="12"/>
      <c r="R113" s="13"/>
      <c r="S113" s="4"/>
    </row>
    <row r="114" spans="2:21" ht="14" outlineLevel="1">
      <c r="B114" s="210"/>
      <c r="C114" s="210"/>
      <c r="D114" s="213"/>
      <c r="E114" s="213"/>
      <c r="F114" s="34" t="s">
        <v>205</v>
      </c>
      <c r="G114" s="34"/>
      <c r="H114" s="42" t="s">
        <v>280</v>
      </c>
      <c r="I114" s="31" t="s">
        <v>730</v>
      </c>
      <c r="J114" s="12" t="s">
        <v>333</v>
      </c>
      <c r="K114" s="53">
        <v>44074</v>
      </c>
      <c r="L114" s="53">
        <v>44071</v>
      </c>
      <c r="M114" s="35" t="s">
        <v>364</v>
      </c>
      <c r="N114" s="35" t="s">
        <v>352</v>
      </c>
      <c r="O114" s="12" t="s">
        <v>326</v>
      </c>
      <c r="P114" s="12"/>
      <c r="Q114" s="12"/>
      <c r="R114" s="13"/>
      <c r="S114" s="4"/>
    </row>
    <row r="115" spans="2:21" ht="14" outlineLevel="1">
      <c r="B115" s="210"/>
      <c r="C115" s="210"/>
      <c r="D115" s="213"/>
      <c r="E115" s="213"/>
      <c r="F115" s="34" t="s">
        <v>206</v>
      </c>
      <c r="G115" s="34"/>
      <c r="H115" s="42" t="s">
        <v>281</v>
      </c>
      <c r="I115" s="31" t="s">
        <v>730</v>
      </c>
      <c r="J115" s="12" t="s">
        <v>333</v>
      </c>
      <c r="K115" s="53">
        <v>44074</v>
      </c>
      <c r="L115" s="53">
        <v>44071</v>
      </c>
      <c r="M115" s="35" t="s">
        <v>361</v>
      </c>
      <c r="N115" s="35" t="s">
        <v>352</v>
      </c>
      <c r="O115" s="12" t="s">
        <v>326</v>
      </c>
      <c r="P115" s="12"/>
      <c r="Q115" s="12"/>
      <c r="R115" s="13"/>
      <c r="S115" s="4"/>
    </row>
    <row r="116" spans="2:21" ht="14" outlineLevel="1">
      <c r="B116" s="210"/>
      <c r="C116" s="210"/>
      <c r="D116" s="213"/>
      <c r="E116" s="213"/>
      <c r="F116" s="34" t="s">
        <v>207</v>
      </c>
      <c r="G116" s="34"/>
      <c r="H116" s="42" t="s">
        <v>282</v>
      </c>
      <c r="I116" s="31" t="s">
        <v>730</v>
      </c>
      <c r="J116" s="12" t="s">
        <v>333</v>
      </c>
      <c r="K116" s="53">
        <v>44074</v>
      </c>
      <c r="L116" s="53">
        <v>44071</v>
      </c>
      <c r="M116" s="35" t="s">
        <v>365</v>
      </c>
      <c r="N116" s="35" t="s">
        <v>352</v>
      </c>
      <c r="O116" s="12" t="s">
        <v>326</v>
      </c>
      <c r="P116" s="12"/>
      <c r="Q116" s="12"/>
      <c r="R116" s="13"/>
      <c r="S116" s="4"/>
    </row>
    <row r="117" spans="2:21" ht="14" outlineLevel="1">
      <c r="B117" s="210"/>
      <c r="C117" s="210"/>
      <c r="D117" s="213"/>
      <c r="E117" s="213"/>
      <c r="F117" s="34" t="s">
        <v>208</v>
      </c>
      <c r="G117" s="34"/>
      <c r="H117" s="42" t="s">
        <v>283</v>
      </c>
      <c r="I117" s="31" t="s">
        <v>729</v>
      </c>
      <c r="J117" s="12" t="s">
        <v>333</v>
      </c>
      <c r="K117" s="53">
        <v>44074</v>
      </c>
      <c r="L117" s="53">
        <v>44071</v>
      </c>
      <c r="M117" s="35" t="s">
        <v>366</v>
      </c>
      <c r="N117" s="35" t="s">
        <v>352</v>
      </c>
      <c r="O117" s="12" t="s">
        <v>326</v>
      </c>
      <c r="P117" s="12"/>
      <c r="Q117" s="12"/>
      <c r="R117" s="13"/>
      <c r="S117" s="4"/>
    </row>
    <row r="118" spans="2:21" ht="14" outlineLevel="1">
      <c r="B118" s="210"/>
      <c r="C118" s="210"/>
      <c r="D118" s="213"/>
      <c r="E118" s="213"/>
      <c r="F118" s="34" t="s">
        <v>209</v>
      </c>
      <c r="G118" s="34"/>
      <c r="H118" s="42" t="s">
        <v>284</v>
      </c>
      <c r="I118" s="31" t="s">
        <v>729</v>
      </c>
      <c r="J118" s="12" t="s">
        <v>333</v>
      </c>
      <c r="K118" s="53">
        <v>44074</v>
      </c>
      <c r="L118" s="53">
        <v>44071</v>
      </c>
      <c r="M118" s="35" t="s">
        <v>367</v>
      </c>
      <c r="N118" s="35" t="s">
        <v>352</v>
      </c>
      <c r="O118" s="12" t="s">
        <v>326</v>
      </c>
      <c r="P118" s="12"/>
      <c r="Q118" s="12"/>
      <c r="R118" s="13"/>
      <c r="S118" s="4"/>
    </row>
    <row r="119" spans="2:21" ht="14" outlineLevel="1">
      <c r="B119" s="210"/>
      <c r="C119" s="210"/>
      <c r="D119" s="213"/>
      <c r="E119" s="213"/>
      <c r="F119" s="34" t="s">
        <v>210</v>
      </c>
      <c r="G119" s="34"/>
      <c r="H119" s="42" t="s">
        <v>285</v>
      </c>
      <c r="I119" s="31" t="s">
        <v>1161</v>
      </c>
      <c r="J119" s="12" t="s">
        <v>333</v>
      </c>
      <c r="K119" s="53">
        <v>44074</v>
      </c>
      <c r="L119" s="53">
        <v>44071</v>
      </c>
      <c r="M119" s="35" t="s">
        <v>368</v>
      </c>
      <c r="N119" s="35" t="s">
        <v>352</v>
      </c>
      <c r="O119" s="12" t="s">
        <v>326</v>
      </c>
      <c r="P119" s="12"/>
      <c r="Q119" s="12"/>
      <c r="R119" s="13"/>
      <c r="S119" s="4"/>
    </row>
    <row r="120" spans="2:21" ht="14" outlineLevel="1">
      <c r="B120" s="210"/>
      <c r="C120" s="210"/>
      <c r="D120" s="213"/>
      <c r="E120" s="213"/>
      <c r="F120" s="34" t="s">
        <v>289</v>
      </c>
      <c r="G120" s="34"/>
      <c r="H120" s="42" t="s">
        <v>286</v>
      </c>
      <c r="I120" s="31" t="s">
        <v>730</v>
      </c>
      <c r="J120" s="12" t="s">
        <v>333</v>
      </c>
      <c r="K120" s="53">
        <v>44074</v>
      </c>
      <c r="L120" s="53">
        <v>44071</v>
      </c>
      <c r="M120" s="35" t="s">
        <v>369</v>
      </c>
      <c r="N120" s="35" t="s">
        <v>352</v>
      </c>
      <c r="O120" s="12" t="s">
        <v>326</v>
      </c>
      <c r="P120" s="12"/>
      <c r="Q120" s="12"/>
      <c r="R120" s="13"/>
      <c r="S120" s="4"/>
    </row>
    <row r="121" spans="2:21" ht="14" outlineLevel="1">
      <c r="B121" s="210"/>
      <c r="C121" s="210"/>
      <c r="D121" s="213"/>
      <c r="E121" s="213"/>
      <c r="F121" s="34" t="s">
        <v>290</v>
      </c>
      <c r="G121" s="34"/>
      <c r="H121" s="42" t="s">
        <v>287</v>
      </c>
      <c r="I121" s="31" t="s">
        <v>730</v>
      </c>
      <c r="J121" s="12" t="s">
        <v>333</v>
      </c>
      <c r="K121" s="53">
        <v>44074</v>
      </c>
      <c r="L121" s="53">
        <v>44071</v>
      </c>
      <c r="M121" s="35" t="s">
        <v>370</v>
      </c>
      <c r="N121" s="35" t="s">
        <v>352</v>
      </c>
      <c r="O121" s="12" t="s">
        <v>326</v>
      </c>
      <c r="P121" s="12"/>
      <c r="Q121" s="12"/>
      <c r="R121" s="13"/>
      <c r="S121" s="4"/>
    </row>
    <row r="122" spans="2:21" ht="14" outlineLevel="1">
      <c r="B122" s="210"/>
      <c r="C122" s="210"/>
      <c r="D122" s="213"/>
      <c r="E122" s="213"/>
      <c r="F122" s="34" t="s">
        <v>291</v>
      </c>
      <c r="G122" s="34"/>
      <c r="H122" s="42" t="s">
        <v>288</v>
      </c>
      <c r="I122" s="31" t="s">
        <v>654</v>
      </c>
      <c r="J122" s="12" t="s">
        <v>333</v>
      </c>
      <c r="K122" s="53">
        <v>44074</v>
      </c>
      <c r="L122" s="53">
        <v>44071</v>
      </c>
      <c r="M122" s="35" t="s">
        <v>371</v>
      </c>
      <c r="N122" s="35" t="s">
        <v>352</v>
      </c>
      <c r="O122" s="12" t="s">
        <v>326</v>
      </c>
      <c r="P122" s="12"/>
      <c r="Q122" s="12"/>
      <c r="R122" s="13"/>
      <c r="S122" s="4"/>
    </row>
    <row r="123" spans="2:21" ht="14" outlineLevel="1">
      <c r="B123" s="210"/>
      <c r="C123" s="210"/>
      <c r="D123" s="213"/>
      <c r="E123" s="213"/>
      <c r="F123" s="34" t="s">
        <v>292</v>
      </c>
      <c r="G123" s="34"/>
      <c r="H123" s="42" t="s">
        <v>294</v>
      </c>
      <c r="I123" s="31" t="s">
        <v>3</v>
      </c>
      <c r="J123" s="12" t="s">
        <v>333</v>
      </c>
      <c r="K123" s="53">
        <v>44377</v>
      </c>
      <c r="L123" s="53">
        <v>44376</v>
      </c>
      <c r="M123" s="12" t="s">
        <v>1895</v>
      </c>
      <c r="N123" s="12" t="s">
        <v>1897</v>
      </c>
      <c r="O123" s="12" t="s">
        <v>326</v>
      </c>
      <c r="P123" s="12"/>
      <c r="Q123" s="12"/>
      <c r="R123" s="13"/>
      <c r="S123" s="4"/>
    </row>
    <row r="124" spans="2:21" ht="14" outlineLevel="1">
      <c r="B124" s="210"/>
      <c r="C124" s="210"/>
      <c r="D124" s="214"/>
      <c r="E124" s="214"/>
      <c r="F124" s="34" t="s">
        <v>293</v>
      </c>
      <c r="G124" s="34"/>
      <c r="H124" s="42" t="s">
        <v>295</v>
      </c>
      <c r="I124" s="31" t="s">
        <v>3</v>
      </c>
      <c r="J124" s="12" t="s">
        <v>333</v>
      </c>
      <c r="K124" s="53">
        <v>44377</v>
      </c>
      <c r="L124" s="53">
        <v>44376</v>
      </c>
      <c r="M124" s="12" t="s">
        <v>1896</v>
      </c>
      <c r="N124" s="12" t="s">
        <v>1897</v>
      </c>
      <c r="O124" s="12" t="s">
        <v>326</v>
      </c>
      <c r="P124" s="12"/>
      <c r="Q124" s="12"/>
      <c r="R124" s="13"/>
      <c r="S124" s="4"/>
    </row>
    <row r="125" spans="2:21" ht="12.75" customHeight="1" outlineLevel="1">
      <c r="B125" s="210"/>
      <c r="C125" s="210"/>
      <c r="D125" s="34" t="s">
        <v>33</v>
      </c>
      <c r="E125" s="233" t="s">
        <v>80</v>
      </c>
      <c r="F125" s="233"/>
      <c r="G125" s="233"/>
      <c r="H125" s="233"/>
      <c r="I125" s="39"/>
      <c r="J125" s="12"/>
      <c r="K125" s="12"/>
      <c r="L125" s="12"/>
      <c r="M125" s="12"/>
      <c r="N125" s="12"/>
      <c r="O125" s="39" t="s">
        <v>26</v>
      </c>
      <c r="P125" s="12"/>
      <c r="Q125" s="39" t="s">
        <v>26</v>
      </c>
      <c r="R125" s="2"/>
      <c r="S125" s="2"/>
      <c r="T125" s="52"/>
      <c r="U125" s="52"/>
    </row>
    <row r="126" spans="2:21" outlineLevel="1">
      <c r="B126" s="210"/>
      <c r="C126" s="210"/>
      <c r="D126" s="212"/>
      <c r="E126" s="212"/>
      <c r="F126" s="82"/>
      <c r="G126" s="82"/>
      <c r="H126" s="82"/>
      <c r="I126" s="34"/>
      <c r="J126" s="39"/>
      <c r="K126" s="39"/>
      <c r="L126" s="39"/>
      <c r="M126" s="34"/>
      <c r="N126" s="34"/>
      <c r="O126" s="39"/>
      <c r="P126" s="39"/>
      <c r="Q126" s="12"/>
      <c r="R126" s="13"/>
      <c r="S126" s="4"/>
    </row>
    <row r="127" spans="2:21" ht="14" outlineLevel="1">
      <c r="B127" s="210"/>
      <c r="C127" s="210"/>
      <c r="D127" s="213"/>
      <c r="E127" s="213"/>
      <c r="F127" s="34" t="s">
        <v>27</v>
      </c>
      <c r="G127" s="34"/>
      <c r="H127" s="33" t="s">
        <v>503</v>
      </c>
      <c r="I127" s="31" t="s">
        <v>3</v>
      </c>
      <c r="J127" s="12" t="s">
        <v>333</v>
      </c>
      <c r="K127" s="53">
        <v>44134</v>
      </c>
      <c r="L127" s="53">
        <v>44081</v>
      </c>
      <c r="M127" s="12" t="s">
        <v>1625</v>
      </c>
      <c r="N127" s="12" t="s">
        <v>393</v>
      </c>
      <c r="O127" s="12" t="s">
        <v>326</v>
      </c>
      <c r="P127" s="12"/>
      <c r="Q127" s="12"/>
      <c r="R127" s="13"/>
      <c r="S127" s="4"/>
    </row>
    <row r="128" spans="2:21" ht="14" outlineLevel="1">
      <c r="B128" s="210"/>
      <c r="C128" s="210"/>
      <c r="D128" s="213"/>
      <c r="E128" s="213"/>
      <c r="F128" s="34"/>
      <c r="G128" s="34"/>
      <c r="H128" s="33" t="s">
        <v>503</v>
      </c>
      <c r="I128" s="31" t="s">
        <v>512</v>
      </c>
      <c r="J128" s="12" t="s">
        <v>332</v>
      </c>
      <c r="K128" s="53" t="s">
        <v>349</v>
      </c>
      <c r="L128" s="53">
        <v>44138</v>
      </c>
      <c r="M128" s="12" t="s">
        <v>1625</v>
      </c>
      <c r="N128" s="12" t="s">
        <v>584</v>
      </c>
      <c r="O128" s="12" t="s">
        <v>326</v>
      </c>
      <c r="P128" s="12"/>
      <c r="Q128" s="12"/>
      <c r="R128" s="13"/>
      <c r="S128" s="4"/>
    </row>
    <row r="129" spans="2:19" ht="14" outlineLevel="1">
      <c r="B129" s="210"/>
      <c r="C129" s="210"/>
      <c r="D129" s="213"/>
      <c r="E129" s="213"/>
      <c r="F129" s="34"/>
      <c r="G129" s="34"/>
      <c r="H129" s="33" t="s">
        <v>503</v>
      </c>
      <c r="I129" s="31" t="s">
        <v>654</v>
      </c>
      <c r="J129" s="12" t="s">
        <v>332</v>
      </c>
      <c r="K129" s="53" t="s">
        <v>349</v>
      </c>
      <c r="L129" s="53">
        <v>44319</v>
      </c>
      <c r="M129" s="12" t="s">
        <v>1625</v>
      </c>
      <c r="N129" s="12" t="s">
        <v>1622</v>
      </c>
      <c r="O129" s="12" t="s">
        <v>326</v>
      </c>
      <c r="P129" s="12"/>
      <c r="Q129" s="12"/>
      <c r="R129" s="13"/>
      <c r="S129" s="4"/>
    </row>
    <row r="130" spans="2:19" ht="14" outlineLevel="1">
      <c r="B130" s="210"/>
      <c r="C130" s="210"/>
      <c r="D130" s="213"/>
      <c r="E130" s="213"/>
      <c r="F130" s="34"/>
      <c r="G130" s="34"/>
      <c r="H130" s="33" t="s">
        <v>503</v>
      </c>
      <c r="I130" s="31" t="s">
        <v>729</v>
      </c>
      <c r="J130" s="12" t="s">
        <v>332</v>
      </c>
      <c r="K130" s="53" t="s">
        <v>349</v>
      </c>
      <c r="L130" s="53">
        <v>44407</v>
      </c>
      <c r="M130" s="12" t="s">
        <v>1625</v>
      </c>
      <c r="N130" s="12" t="s">
        <v>2085</v>
      </c>
      <c r="O130" s="12" t="s">
        <v>326</v>
      </c>
      <c r="P130" s="12"/>
      <c r="Q130" s="12"/>
      <c r="R130" s="13"/>
      <c r="S130" s="4"/>
    </row>
    <row r="131" spans="2:19" ht="14" outlineLevel="1">
      <c r="B131" s="210"/>
      <c r="C131" s="210"/>
      <c r="D131" s="213"/>
      <c r="E131" s="213"/>
      <c r="F131" s="34"/>
      <c r="G131" s="34"/>
      <c r="H131" s="33" t="s">
        <v>503</v>
      </c>
      <c r="I131" s="31" t="s">
        <v>730</v>
      </c>
      <c r="J131" s="12" t="s">
        <v>332</v>
      </c>
      <c r="K131" s="53" t="s">
        <v>349</v>
      </c>
      <c r="L131" s="53">
        <v>44480</v>
      </c>
      <c r="M131" s="12" t="s">
        <v>1625</v>
      </c>
      <c r="N131" s="12" t="s">
        <v>2346</v>
      </c>
      <c r="O131" s="12" t="s">
        <v>326</v>
      </c>
      <c r="P131" s="12"/>
      <c r="Q131" s="12"/>
      <c r="R131" s="13"/>
      <c r="S131" s="4"/>
    </row>
    <row r="132" spans="2:19" ht="14" outlineLevel="1">
      <c r="B132" s="210"/>
      <c r="C132" s="210"/>
      <c r="D132" s="213"/>
      <c r="E132" s="213"/>
      <c r="F132" s="34"/>
      <c r="G132" s="34"/>
      <c r="H132" s="33" t="s">
        <v>503</v>
      </c>
      <c r="I132" s="31" t="s">
        <v>1161</v>
      </c>
      <c r="J132" s="12" t="s">
        <v>332</v>
      </c>
      <c r="K132" s="53" t="s">
        <v>349</v>
      </c>
      <c r="L132" s="53">
        <v>44515</v>
      </c>
      <c r="M132" s="12" t="s">
        <v>1625</v>
      </c>
      <c r="N132" s="12" t="s">
        <v>2438</v>
      </c>
      <c r="O132" s="12" t="s">
        <v>326</v>
      </c>
      <c r="P132" s="12"/>
      <c r="Q132" s="12"/>
      <c r="R132" s="13"/>
      <c r="S132" s="4"/>
    </row>
    <row r="133" spans="2:19" ht="14" outlineLevel="1">
      <c r="B133" s="210"/>
      <c r="C133" s="210"/>
      <c r="D133" s="213"/>
      <c r="E133" s="213"/>
      <c r="F133" s="34"/>
      <c r="G133" s="34"/>
      <c r="H133" s="33" t="s">
        <v>3352</v>
      </c>
      <c r="I133" s="31" t="s">
        <v>2082</v>
      </c>
      <c r="J133" s="12" t="s">
        <v>332</v>
      </c>
      <c r="K133" s="53" t="s">
        <v>349</v>
      </c>
      <c r="L133" s="53">
        <v>44910</v>
      </c>
      <c r="M133" s="12" t="s">
        <v>1625</v>
      </c>
      <c r="N133" s="12" t="s">
        <v>3350</v>
      </c>
      <c r="O133" s="12" t="s">
        <v>326</v>
      </c>
      <c r="P133" s="12"/>
      <c r="Q133" s="12"/>
      <c r="R133" s="13"/>
      <c r="S133" s="4"/>
    </row>
    <row r="134" spans="2:19" ht="14" outlineLevel="1">
      <c r="B134" s="210"/>
      <c r="C134" s="210"/>
      <c r="D134" s="213"/>
      <c r="E134" s="213"/>
      <c r="F134" s="34"/>
      <c r="G134" s="34"/>
      <c r="H134" s="33" t="s">
        <v>503</v>
      </c>
      <c r="I134" s="31" t="s">
        <v>2082</v>
      </c>
      <c r="J134" s="12" t="s">
        <v>332</v>
      </c>
      <c r="K134" s="53" t="s">
        <v>349</v>
      </c>
      <c r="L134" s="53">
        <v>45058</v>
      </c>
      <c r="M134" s="12" t="s">
        <v>1625</v>
      </c>
      <c r="N134" s="12" t="s">
        <v>3744</v>
      </c>
      <c r="O134" s="12" t="s">
        <v>326</v>
      </c>
      <c r="P134" s="12"/>
      <c r="Q134" s="12"/>
      <c r="R134" s="13"/>
      <c r="S134" s="4"/>
    </row>
    <row r="135" spans="2:19" ht="14" outlineLevel="1">
      <c r="B135" s="210"/>
      <c r="C135" s="210"/>
      <c r="D135" s="213"/>
      <c r="E135" s="213"/>
      <c r="F135" s="34"/>
      <c r="G135" s="34"/>
      <c r="H135" s="33" t="s">
        <v>503</v>
      </c>
      <c r="I135" s="31" t="s">
        <v>2169</v>
      </c>
      <c r="J135" s="12" t="s">
        <v>332</v>
      </c>
      <c r="K135" s="53" t="s">
        <v>349</v>
      </c>
      <c r="L135" s="53">
        <v>45170</v>
      </c>
      <c r="M135" s="12" t="s">
        <v>1625</v>
      </c>
      <c r="N135" s="12" t="s">
        <v>3848</v>
      </c>
      <c r="O135" s="12" t="s">
        <v>326</v>
      </c>
      <c r="P135" s="12"/>
      <c r="Q135" s="12"/>
      <c r="R135" s="13"/>
      <c r="S135" s="4"/>
    </row>
    <row r="136" spans="2:19" ht="14" outlineLevel="1">
      <c r="B136" s="210"/>
      <c r="C136" s="210"/>
      <c r="D136" s="213"/>
      <c r="E136" s="213"/>
      <c r="F136" s="34"/>
      <c r="G136" s="34"/>
      <c r="H136" s="33" t="s">
        <v>3352</v>
      </c>
      <c r="I136" s="31" t="s">
        <v>2169</v>
      </c>
      <c r="J136" s="12" t="s">
        <v>333</v>
      </c>
      <c r="K136" s="53" t="s">
        <v>349</v>
      </c>
      <c r="L136" s="53">
        <v>45307</v>
      </c>
      <c r="M136" s="12" t="s">
        <v>1625</v>
      </c>
      <c r="N136" s="12" t="s">
        <v>4212</v>
      </c>
      <c r="O136" s="12" t="s">
        <v>326</v>
      </c>
      <c r="P136" s="12"/>
      <c r="Q136" s="12"/>
      <c r="R136" s="13"/>
      <c r="S136" s="4"/>
    </row>
    <row r="137" spans="2:19" outlineLevel="1">
      <c r="B137" s="210"/>
      <c r="C137" s="210"/>
      <c r="D137" s="213"/>
      <c r="E137" s="213"/>
      <c r="F137" s="34"/>
      <c r="G137" s="34"/>
      <c r="H137" s="33"/>
      <c r="I137" s="31"/>
      <c r="J137" s="12"/>
      <c r="K137" s="53"/>
      <c r="L137" s="53"/>
      <c r="M137" s="12"/>
      <c r="N137" s="12"/>
      <c r="O137" s="12"/>
      <c r="P137" s="12"/>
      <c r="Q137" s="12"/>
      <c r="R137" s="13"/>
      <c r="S137" s="4"/>
    </row>
    <row r="138" spans="2:19" ht="14" outlineLevel="1">
      <c r="B138" s="210"/>
      <c r="C138" s="210"/>
      <c r="D138" s="213"/>
      <c r="E138" s="213"/>
      <c r="F138" s="34" t="s">
        <v>29</v>
      </c>
      <c r="G138" s="34"/>
      <c r="H138" s="33" t="s">
        <v>304</v>
      </c>
      <c r="I138" s="31" t="s">
        <v>3</v>
      </c>
      <c r="J138" s="12" t="s">
        <v>333</v>
      </c>
      <c r="K138" s="53">
        <v>44407</v>
      </c>
      <c r="L138" s="53">
        <v>44407</v>
      </c>
      <c r="M138" s="12" t="s">
        <v>2084</v>
      </c>
      <c r="N138" s="12" t="s">
        <v>2085</v>
      </c>
      <c r="O138" s="12" t="s">
        <v>326</v>
      </c>
      <c r="P138" s="12"/>
      <c r="Q138" s="12"/>
      <c r="R138" s="13"/>
      <c r="S138" s="4"/>
    </row>
    <row r="139" spans="2:19" ht="14" outlineLevel="1">
      <c r="B139" s="210"/>
      <c r="C139" s="210"/>
      <c r="D139" s="213"/>
      <c r="E139" s="213"/>
      <c r="F139" s="34"/>
      <c r="G139" s="34"/>
      <c r="H139" s="33" t="s">
        <v>304</v>
      </c>
      <c r="I139" s="31" t="s">
        <v>654</v>
      </c>
      <c r="J139" s="12" t="s">
        <v>333</v>
      </c>
      <c r="K139" s="53" t="s">
        <v>349</v>
      </c>
      <c r="L139" s="53">
        <v>44587</v>
      </c>
      <c r="M139" s="12" t="s">
        <v>2084</v>
      </c>
      <c r="N139" s="12" t="s">
        <v>2637</v>
      </c>
      <c r="O139" s="12" t="s">
        <v>326</v>
      </c>
      <c r="P139" s="12"/>
      <c r="Q139" s="12"/>
      <c r="R139" s="13"/>
      <c r="S139" s="4"/>
    </row>
    <row r="140" spans="2:19" ht="14" outlineLevel="1">
      <c r="B140" s="210"/>
      <c r="C140" s="210"/>
      <c r="D140" s="213"/>
      <c r="E140" s="213"/>
      <c r="F140" s="34"/>
      <c r="G140" s="34"/>
      <c r="H140" s="33" t="s">
        <v>304</v>
      </c>
      <c r="I140" s="31" t="s">
        <v>729</v>
      </c>
      <c r="J140" s="12" t="s">
        <v>333</v>
      </c>
      <c r="K140" s="53" t="s">
        <v>349</v>
      </c>
      <c r="L140" s="53">
        <v>44608</v>
      </c>
      <c r="M140" s="12" t="s">
        <v>2084</v>
      </c>
      <c r="N140" s="12" t="s">
        <v>2654</v>
      </c>
      <c r="O140" s="12" t="s">
        <v>326</v>
      </c>
      <c r="P140" s="12"/>
      <c r="Q140" s="12"/>
      <c r="R140" s="13"/>
      <c r="S140" s="4"/>
    </row>
    <row r="141" spans="2:19" ht="14" outlineLevel="1">
      <c r="B141" s="210"/>
      <c r="C141" s="210"/>
      <c r="D141" s="213"/>
      <c r="E141" s="213"/>
      <c r="F141" s="34"/>
      <c r="G141" s="34"/>
      <c r="H141" s="173" t="s">
        <v>3211</v>
      </c>
      <c r="I141" s="31" t="s">
        <v>729</v>
      </c>
      <c r="J141" s="12" t="s">
        <v>333</v>
      </c>
      <c r="K141" s="53" t="s">
        <v>349</v>
      </c>
      <c r="L141" s="53">
        <v>44796</v>
      </c>
      <c r="M141" s="12" t="s">
        <v>2084</v>
      </c>
      <c r="N141" s="12" t="s">
        <v>3214</v>
      </c>
      <c r="O141" s="12" t="s">
        <v>326</v>
      </c>
      <c r="P141" s="12"/>
      <c r="Q141" s="12"/>
      <c r="R141" s="13"/>
      <c r="S141" s="4"/>
    </row>
    <row r="142" spans="2:19" ht="14" outlineLevel="1">
      <c r="B142" s="210"/>
      <c r="C142" s="210"/>
      <c r="D142" s="213"/>
      <c r="E142" s="213"/>
      <c r="F142" s="34"/>
      <c r="G142" s="34"/>
      <c r="H142" s="109" t="s">
        <v>3374</v>
      </c>
      <c r="I142" s="31" t="s">
        <v>1161</v>
      </c>
      <c r="J142" s="12" t="s">
        <v>333</v>
      </c>
      <c r="K142" s="53" t="s">
        <v>349</v>
      </c>
      <c r="L142" s="53">
        <v>44946</v>
      </c>
      <c r="M142" s="12" t="s">
        <v>2084</v>
      </c>
      <c r="N142" s="12" t="s">
        <v>3395</v>
      </c>
      <c r="O142" s="12" t="s">
        <v>326</v>
      </c>
      <c r="P142" s="12"/>
      <c r="Q142" s="12"/>
      <c r="R142" s="13"/>
      <c r="S142" s="4"/>
    </row>
    <row r="143" spans="2:19" ht="14" outlineLevel="1">
      <c r="B143" s="210"/>
      <c r="C143" s="210"/>
      <c r="D143" s="213"/>
      <c r="E143" s="213"/>
      <c r="F143" s="34"/>
      <c r="G143" s="34"/>
      <c r="H143" s="109" t="s">
        <v>3374</v>
      </c>
      <c r="I143" s="31" t="s">
        <v>917</v>
      </c>
      <c r="J143" s="12" t="s">
        <v>333</v>
      </c>
      <c r="K143" s="53" t="s">
        <v>349</v>
      </c>
      <c r="L143" s="53">
        <v>44972</v>
      </c>
      <c r="M143" s="12" t="s">
        <v>2084</v>
      </c>
      <c r="N143" s="12" t="s">
        <v>3576</v>
      </c>
      <c r="O143" s="12" t="s">
        <v>326</v>
      </c>
      <c r="P143" s="12"/>
      <c r="Q143" s="12"/>
      <c r="R143" s="13"/>
      <c r="S143" s="4"/>
    </row>
    <row r="144" spans="2:19" ht="14" outlineLevel="1">
      <c r="B144" s="210"/>
      <c r="C144" s="210"/>
      <c r="D144" s="213"/>
      <c r="E144" s="213"/>
      <c r="F144" s="34"/>
      <c r="G144" s="34"/>
      <c r="H144" s="109" t="s">
        <v>3374</v>
      </c>
      <c r="I144" s="31" t="s">
        <v>1221</v>
      </c>
      <c r="J144" s="12" t="s">
        <v>333</v>
      </c>
      <c r="K144" s="53" t="s">
        <v>349</v>
      </c>
      <c r="L144" s="53">
        <v>44999</v>
      </c>
      <c r="M144" s="12" t="s">
        <v>2084</v>
      </c>
      <c r="N144" s="12" t="s">
        <v>3614</v>
      </c>
      <c r="O144" s="12" t="s">
        <v>326</v>
      </c>
      <c r="P144" s="12"/>
      <c r="Q144" s="12"/>
      <c r="R144" s="13"/>
      <c r="S144" s="4"/>
    </row>
    <row r="145" spans="2:19" ht="14" outlineLevel="1">
      <c r="B145" s="210"/>
      <c r="C145" s="210"/>
      <c r="D145" s="213"/>
      <c r="E145" s="213"/>
      <c r="F145" s="34"/>
      <c r="G145" s="34"/>
      <c r="H145" s="109" t="s">
        <v>3374</v>
      </c>
      <c r="I145" s="31" t="s">
        <v>2082</v>
      </c>
      <c r="J145" s="12" t="s">
        <v>333</v>
      </c>
      <c r="K145" s="53" t="s">
        <v>349</v>
      </c>
      <c r="L145" s="53">
        <v>45044</v>
      </c>
      <c r="M145" s="12" t="s">
        <v>2084</v>
      </c>
      <c r="N145" s="12" t="s">
        <v>3694</v>
      </c>
      <c r="O145" s="12" t="s">
        <v>326</v>
      </c>
      <c r="P145" s="12"/>
      <c r="Q145" s="12"/>
      <c r="R145" s="13"/>
      <c r="S145" s="4"/>
    </row>
    <row r="146" spans="2:19" ht="14" outlineLevel="1">
      <c r="B146" s="210"/>
      <c r="C146" s="210"/>
      <c r="D146" s="213"/>
      <c r="E146" s="213"/>
      <c r="F146" s="34"/>
      <c r="G146" s="34"/>
      <c r="H146" s="109" t="s">
        <v>3374</v>
      </c>
      <c r="I146" s="31" t="s">
        <v>2169</v>
      </c>
      <c r="J146" s="12" t="s">
        <v>333</v>
      </c>
      <c r="K146" s="53" t="s">
        <v>349</v>
      </c>
      <c r="L146" s="53">
        <v>45084</v>
      </c>
      <c r="M146" s="12" t="s">
        <v>2084</v>
      </c>
      <c r="N146" s="12" t="s">
        <v>3795</v>
      </c>
      <c r="O146" s="12" t="s">
        <v>326</v>
      </c>
      <c r="P146" s="12"/>
      <c r="Q146" s="12"/>
      <c r="R146" s="13"/>
      <c r="S146" s="4"/>
    </row>
    <row r="147" spans="2:19" ht="14" outlineLevel="1">
      <c r="B147" s="210"/>
      <c r="C147" s="210"/>
      <c r="D147" s="213"/>
      <c r="E147" s="213"/>
      <c r="F147" s="34"/>
      <c r="G147" s="34"/>
      <c r="H147" s="109" t="s">
        <v>3374</v>
      </c>
      <c r="I147" s="31" t="s">
        <v>3794</v>
      </c>
      <c r="J147" s="12" t="s">
        <v>333</v>
      </c>
      <c r="K147" s="53" t="s">
        <v>349</v>
      </c>
      <c r="L147" s="53">
        <v>45084</v>
      </c>
      <c r="M147" s="12" t="s">
        <v>2084</v>
      </c>
      <c r="N147" s="12" t="s">
        <v>3795</v>
      </c>
      <c r="O147" s="12" t="s">
        <v>326</v>
      </c>
      <c r="P147" s="12"/>
      <c r="Q147" s="12"/>
      <c r="R147" s="13"/>
      <c r="S147" s="4"/>
    </row>
    <row r="148" spans="2:19" ht="14" outlineLevel="1">
      <c r="B148" s="210"/>
      <c r="C148" s="210"/>
      <c r="D148" s="213"/>
      <c r="E148" s="213"/>
      <c r="F148" s="34"/>
      <c r="G148" s="34"/>
      <c r="H148" s="109" t="s">
        <v>3374</v>
      </c>
      <c r="I148" s="31" t="s">
        <v>2859</v>
      </c>
      <c r="J148" s="12" t="s">
        <v>333</v>
      </c>
      <c r="K148" s="53" t="s">
        <v>349</v>
      </c>
      <c r="L148" s="53">
        <v>45216</v>
      </c>
      <c r="M148" s="12" t="s">
        <v>2084</v>
      </c>
      <c r="N148" s="12" t="s">
        <v>3976</v>
      </c>
      <c r="O148" s="12" t="s">
        <v>326</v>
      </c>
      <c r="P148" s="12"/>
      <c r="Q148" s="12"/>
      <c r="R148" s="13"/>
      <c r="S148" s="4"/>
    </row>
    <row r="149" spans="2:19" outlineLevel="1">
      <c r="B149" s="210"/>
      <c r="C149" s="210"/>
      <c r="D149" s="213"/>
      <c r="E149" s="213"/>
      <c r="F149" s="34"/>
      <c r="G149" s="34"/>
      <c r="H149" s="33"/>
      <c r="I149" s="31"/>
      <c r="J149" s="12"/>
      <c r="K149" s="53"/>
      <c r="L149" s="12"/>
      <c r="M149" s="12"/>
      <c r="N149" s="12"/>
      <c r="O149" s="12"/>
      <c r="P149" s="12"/>
      <c r="Q149" s="12"/>
      <c r="R149" s="13"/>
      <c r="S149" s="4"/>
    </row>
    <row r="150" spans="2:19" ht="14" outlineLevel="1">
      <c r="B150" s="210"/>
      <c r="C150" s="210"/>
      <c r="D150" s="213"/>
      <c r="E150" s="213"/>
      <c r="F150" s="34" t="s">
        <v>35</v>
      </c>
      <c r="G150" s="34"/>
      <c r="H150" s="33" t="s">
        <v>222</v>
      </c>
      <c r="I150" s="31" t="s">
        <v>3</v>
      </c>
      <c r="J150" s="12" t="s">
        <v>333</v>
      </c>
      <c r="K150" s="53">
        <v>44252</v>
      </c>
      <c r="L150" s="53">
        <v>44252</v>
      </c>
      <c r="M150" s="12" t="s">
        <v>2482</v>
      </c>
      <c r="N150" s="12" t="s">
        <v>1094</v>
      </c>
      <c r="O150" s="12" t="s">
        <v>326</v>
      </c>
      <c r="P150" s="12"/>
      <c r="Q150" s="12"/>
      <c r="R150" s="13"/>
      <c r="S150" s="4"/>
    </row>
    <row r="151" spans="2:19" ht="14" outlineLevel="1">
      <c r="B151" s="210"/>
      <c r="C151" s="210"/>
      <c r="D151" s="213"/>
      <c r="E151" s="213"/>
      <c r="F151" s="34"/>
      <c r="G151" s="34"/>
      <c r="H151" s="33" t="s">
        <v>222</v>
      </c>
      <c r="I151" s="31" t="s">
        <v>512</v>
      </c>
      <c r="J151" s="12" t="s">
        <v>333</v>
      </c>
      <c r="K151" s="53" t="s">
        <v>349</v>
      </c>
      <c r="L151" s="53">
        <v>44529</v>
      </c>
      <c r="M151" s="12" t="s">
        <v>2482</v>
      </c>
      <c r="N151" s="12" t="s">
        <v>2481</v>
      </c>
      <c r="O151" s="12" t="s">
        <v>326</v>
      </c>
      <c r="P151" s="12"/>
      <c r="Q151" s="12"/>
      <c r="R151" s="13"/>
      <c r="S151" s="4"/>
    </row>
    <row r="152" spans="2:19" ht="14" outlineLevel="1">
      <c r="B152" s="210"/>
      <c r="C152" s="210"/>
      <c r="D152" s="213"/>
      <c r="E152" s="213"/>
      <c r="F152" s="34"/>
      <c r="G152" s="34"/>
      <c r="H152" s="33" t="s">
        <v>222</v>
      </c>
      <c r="I152" s="31" t="s">
        <v>654</v>
      </c>
      <c r="J152" s="12" t="s">
        <v>333</v>
      </c>
      <c r="K152" s="53" t="s">
        <v>349</v>
      </c>
      <c r="L152" s="53">
        <v>44893</v>
      </c>
      <c r="M152" s="12" t="s">
        <v>2482</v>
      </c>
      <c r="N152" s="12" t="s">
        <v>3342</v>
      </c>
      <c r="O152" s="12" t="s">
        <v>326</v>
      </c>
      <c r="P152" s="12"/>
      <c r="Q152" s="12"/>
      <c r="R152" s="13"/>
      <c r="S152" s="4"/>
    </row>
    <row r="153" spans="2:19" ht="14" outlineLevel="1">
      <c r="B153" s="210"/>
      <c r="C153" s="210"/>
      <c r="D153" s="213"/>
      <c r="E153" s="213"/>
      <c r="F153" s="34"/>
      <c r="G153" s="34"/>
      <c r="H153" s="33" t="s">
        <v>3343</v>
      </c>
      <c r="I153" s="31" t="s">
        <v>654</v>
      </c>
      <c r="J153" s="12" t="s">
        <v>333</v>
      </c>
      <c r="K153" s="53" t="s">
        <v>349</v>
      </c>
      <c r="L153" s="53">
        <v>44893</v>
      </c>
      <c r="M153" s="12" t="s">
        <v>2482</v>
      </c>
      <c r="N153" s="12" t="s">
        <v>3342</v>
      </c>
      <c r="O153" s="12" t="s">
        <v>326</v>
      </c>
      <c r="P153" s="12"/>
      <c r="Q153" s="12"/>
      <c r="R153" s="13"/>
      <c r="S153" s="4"/>
    </row>
    <row r="154" spans="2:19" outlineLevel="1">
      <c r="B154" s="210"/>
      <c r="C154" s="210"/>
      <c r="D154" s="213"/>
      <c r="E154" s="213"/>
      <c r="F154" s="34"/>
      <c r="G154" s="34"/>
      <c r="H154" s="33"/>
      <c r="I154" s="31"/>
      <c r="J154" s="12"/>
      <c r="K154" s="53"/>
      <c r="L154" s="53"/>
      <c r="M154" s="12"/>
      <c r="N154" s="12"/>
      <c r="O154" s="12"/>
      <c r="P154" s="12"/>
      <c r="Q154" s="12"/>
      <c r="R154" s="13"/>
      <c r="S154" s="4"/>
    </row>
    <row r="155" spans="2:19" ht="14" outlineLevel="1">
      <c r="B155" s="210"/>
      <c r="C155" s="210"/>
      <c r="D155" s="213"/>
      <c r="E155" s="213"/>
      <c r="F155" s="34" t="s">
        <v>36</v>
      </c>
      <c r="G155" s="34"/>
      <c r="H155" s="33" t="s">
        <v>309</v>
      </c>
      <c r="I155" s="31" t="s">
        <v>3</v>
      </c>
      <c r="J155" s="12" t="s">
        <v>333</v>
      </c>
      <c r="K155" s="53">
        <v>44104</v>
      </c>
      <c r="L155" s="53">
        <v>44176</v>
      </c>
      <c r="M155" s="12" t="s">
        <v>1671</v>
      </c>
      <c r="N155" s="12" t="s">
        <v>757</v>
      </c>
      <c r="O155" s="12" t="s">
        <v>326</v>
      </c>
      <c r="P155" s="12"/>
      <c r="Q155" s="12"/>
      <c r="R155" s="13"/>
      <c r="S155" s="4"/>
    </row>
    <row r="156" spans="2:19" ht="14" outlineLevel="1">
      <c r="B156" s="210"/>
      <c r="C156" s="210"/>
      <c r="D156" s="213"/>
      <c r="E156" s="213"/>
      <c r="F156" s="34"/>
      <c r="G156" s="34"/>
      <c r="H156" s="33" t="s">
        <v>309</v>
      </c>
      <c r="I156" s="31" t="s">
        <v>512</v>
      </c>
      <c r="J156" s="12" t="s">
        <v>332</v>
      </c>
      <c r="K156" s="53" t="s">
        <v>349</v>
      </c>
      <c r="L156" s="53">
        <v>44187</v>
      </c>
      <c r="M156" s="12" t="s">
        <v>1671</v>
      </c>
      <c r="N156" s="12" t="s">
        <v>846</v>
      </c>
      <c r="O156" s="12" t="s">
        <v>326</v>
      </c>
      <c r="P156" s="12"/>
      <c r="Q156" s="12"/>
      <c r="R156" s="13"/>
      <c r="S156" s="4"/>
    </row>
    <row r="157" spans="2:19" ht="14" outlineLevel="1">
      <c r="B157" s="210"/>
      <c r="C157" s="210"/>
      <c r="D157" s="213"/>
      <c r="E157" s="213"/>
      <c r="F157" s="34"/>
      <c r="G157" s="34"/>
      <c r="H157" s="33" t="s">
        <v>309</v>
      </c>
      <c r="I157" s="31" t="s">
        <v>654</v>
      </c>
      <c r="J157" s="12" t="s">
        <v>332</v>
      </c>
      <c r="K157" s="53" t="s">
        <v>349</v>
      </c>
      <c r="L157" s="53">
        <v>44200</v>
      </c>
      <c r="M157" s="12" t="s">
        <v>1671</v>
      </c>
      <c r="N157" s="12" t="s">
        <v>855</v>
      </c>
      <c r="O157" s="12" t="s">
        <v>326</v>
      </c>
      <c r="P157" s="12"/>
      <c r="Q157" s="12"/>
      <c r="R157" s="13"/>
      <c r="S157" s="4"/>
    </row>
    <row r="158" spans="2:19" ht="14" outlineLevel="1">
      <c r="B158" s="210"/>
      <c r="C158" s="210"/>
      <c r="D158" s="213"/>
      <c r="E158" s="213"/>
      <c r="F158" s="34"/>
      <c r="G158" s="34"/>
      <c r="H158" s="33" t="s">
        <v>309</v>
      </c>
      <c r="I158" s="31" t="s">
        <v>729</v>
      </c>
      <c r="J158" s="12" t="s">
        <v>332</v>
      </c>
      <c r="K158" s="53" t="s">
        <v>349</v>
      </c>
      <c r="L158" s="53">
        <v>44326</v>
      </c>
      <c r="M158" s="12" t="s">
        <v>1671</v>
      </c>
      <c r="N158" s="12" t="s">
        <v>1670</v>
      </c>
      <c r="O158" s="12" t="s">
        <v>326</v>
      </c>
      <c r="P158" s="12"/>
      <c r="Q158" s="12"/>
      <c r="R158" s="13"/>
      <c r="S158" s="4"/>
    </row>
    <row r="159" spans="2:19" ht="14" outlineLevel="1">
      <c r="B159" s="210"/>
      <c r="C159" s="210"/>
      <c r="D159" s="213"/>
      <c r="E159" s="213"/>
      <c r="F159" s="34"/>
      <c r="G159" s="34"/>
      <c r="H159" s="33" t="s">
        <v>309</v>
      </c>
      <c r="I159" s="31" t="s">
        <v>1161</v>
      </c>
      <c r="J159" s="12" t="s">
        <v>332</v>
      </c>
      <c r="K159" s="53" t="s">
        <v>349</v>
      </c>
      <c r="L159" s="53">
        <v>44769</v>
      </c>
      <c r="M159" s="12" t="s">
        <v>1671</v>
      </c>
      <c r="N159" s="12" t="s">
        <v>3135</v>
      </c>
      <c r="O159" s="12" t="s">
        <v>326</v>
      </c>
      <c r="P159" s="12"/>
      <c r="Q159" s="12"/>
      <c r="R159" s="13"/>
      <c r="S159" s="4"/>
    </row>
    <row r="160" spans="2:19" ht="14" outlineLevel="1">
      <c r="B160" s="210"/>
      <c r="C160" s="210"/>
      <c r="D160" s="213"/>
      <c r="E160" s="213"/>
      <c r="F160" s="34"/>
      <c r="G160" s="34"/>
      <c r="H160" s="33" t="s">
        <v>309</v>
      </c>
      <c r="I160" s="31" t="s">
        <v>917</v>
      </c>
      <c r="J160" s="12" t="s">
        <v>332</v>
      </c>
      <c r="K160" s="53" t="s">
        <v>349</v>
      </c>
      <c r="L160" s="53">
        <v>44972</v>
      </c>
      <c r="M160" s="12" t="s">
        <v>1671</v>
      </c>
      <c r="N160" s="12" t="s">
        <v>3576</v>
      </c>
      <c r="O160" s="12" t="s">
        <v>326</v>
      </c>
      <c r="P160" s="12"/>
      <c r="Q160" s="12"/>
      <c r="R160" s="13"/>
      <c r="S160" s="4"/>
    </row>
    <row r="161" spans="2:19" outlineLevel="1">
      <c r="B161" s="210"/>
      <c r="C161" s="210"/>
      <c r="D161" s="213"/>
      <c r="E161" s="213"/>
      <c r="F161" s="34"/>
      <c r="G161" s="34"/>
      <c r="H161" s="33"/>
      <c r="I161" s="31"/>
      <c r="J161" s="12"/>
      <c r="K161" s="53"/>
      <c r="L161" s="53"/>
      <c r="M161" s="12"/>
      <c r="N161" s="12"/>
      <c r="O161" s="12"/>
      <c r="P161" s="12"/>
      <c r="Q161" s="12"/>
      <c r="R161" s="13"/>
      <c r="S161" s="4"/>
    </row>
    <row r="162" spans="2:19" ht="14" outlineLevel="1">
      <c r="B162" s="210"/>
      <c r="C162" s="210"/>
      <c r="D162" s="213"/>
      <c r="E162" s="213"/>
      <c r="F162" s="34" t="s">
        <v>38</v>
      </c>
      <c r="G162" s="34"/>
      <c r="H162" s="33" t="s">
        <v>310</v>
      </c>
      <c r="I162" s="32" t="s">
        <v>654</v>
      </c>
      <c r="J162" s="8" t="s">
        <v>332</v>
      </c>
      <c r="K162" s="53">
        <v>44043</v>
      </c>
      <c r="L162" s="53">
        <v>44186</v>
      </c>
      <c r="M162" s="8" t="s">
        <v>1222</v>
      </c>
      <c r="N162" s="8" t="s">
        <v>813</v>
      </c>
      <c r="O162" s="8" t="s">
        <v>326</v>
      </c>
      <c r="P162" s="12"/>
      <c r="Q162" s="12"/>
      <c r="R162" s="13"/>
      <c r="S162" s="4"/>
    </row>
    <row r="163" spans="2:19" ht="14" outlineLevel="1">
      <c r="B163" s="210"/>
      <c r="C163" s="210"/>
      <c r="D163" s="213"/>
      <c r="E163" s="213"/>
      <c r="F163" s="34" t="s">
        <v>40</v>
      </c>
      <c r="G163" s="34"/>
      <c r="H163" s="33" t="s">
        <v>311</v>
      </c>
      <c r="I163" s="31"/>
      <c r="J163" s="12" t="s">
        <v>333</v>
      </c>
      <c r="K163" s="53">
        <v>44134</v>
      </c>
      <c r="L163" s="53" t="s">
        <v>45</v>
      </c>
      <c r="M163" s="12"/>
      <c r="N163" s="12"/>
      <c r="O163" s="12"/>
      <c r="P163" s="12"/>
      <c r="Q163" s="12"/>
      <c r="R163" s="13"/>
      <c r="S163" s="4"/>
    </row>
    <row r="164" spans="2:19" ht="14" outlineLevel="1">
      <c r="B164" s="210"/>
      <c r="C164" s="210"/>
      <c r="D164" s="213"/>
      <c r="E164" s="213"/>
      <c r="F164" s="34" t="s">
        <v>108</v>
      </c>
      <c r="G164" s="34"/>
      <c r="H164" s="33" t="s">
        <v>312</v>
      </c>
      <c r="I164" s="31" t="s">
        <v>349</v>
      </c>
      <c r="J164" s="12" t="s">
        <v>333</v>
      </c>
      <c r="K164" s="53">
        <v>44252</v>
      </c>
      <c r="L164" s="53">
        <v>44217</v>
      </c>
      <c r="M164" s="71" t="s">
        <v>927</v>
      </c>
      <c r="N164" s="12" t="s">
        <v>929</v>
      </c>
      <c r="O164" s="12" t="s">
        <v>326</v>
      </c>
      <c r="P164" s="12"/>
      <c r="Q164" s="12"/>
      <c r="R164" s="13"/>
      <c r="S164" s="4"/>
    </row>
    <row r="165" spans="2:19" ht="14" outlineLevel="1">
      <c r="B165" s="210"/>
      <c r="C165" s="210"/>
      <c r="D165" s="213"/>
      <c r="E165" s="213"/>
      <c r="F165" s="34"/>
      <c r="G165" s="34"/>
      <c r="H165" s="33" t="s">
        <v>312</v>
      </c>
      <c r="I165" s="80" t="s">
        <v>870</v>
      </c>
      <c r="J165" s="12" t="s">
        <v>332</v>
      </c>
      <c r="K165" s="53" t="s">
        <v>349</v>
      </c>
      <c r="L165" s="53">
        <v>44229</v>
      </c>
      <c r="M165" s="71" t="s">
        <v>1220</v>
      </c>
      <c r="N165" s="12" t="s">
        <v>967</v>
      </c>
      <c r="O165" s="12" t="s">
        <v>326</v>
      </c>
      <c r="P165" s="12"/>
      <c r="Q165" s="12"/>
      <c r="R165" s="13"/>
      <c r="S165" s="4"/>
    </row>
    <row r="166" spans="2:19" ht="14" outlineLevel="1">
      <c r="B166" s="210"/>
      <c r="C166" s="210"/>
      <c r="D166" s="213"/>
      <c r="E166" s="213"/>
      <c r="F166" s="34"/>
      <c r="G166" s="34"/>
      <c r="H166" s="33" t="s">
        <v>312</v>
      </c>
      <c r="I166" s="80" t="s">
        <v>871</v>
      </c>
      <c r="J166" s="12" t="s">
        <v>332</v>
      </c>
      <c r="K166" s="53" t="s">
        <v>349</v>
      </c>
      <c r="L166" s="53">
        <v>44281</v>
      </c>
      <c r="M166" s="71" t="s">
        <v>1220</v>
      </c>
      <c r="N166" s="12" t="s">
        <v>1349</v>
      </c>
      <c r="O166" s="12" t="s">
        <v>326</v>
      </c>
      <c r="P166" s="12"/>
      <c r="Q166" s="12"/>
      <c r="R166" s="13"/>
      <c r="S166" s="4"/>
    </row>
    <row r="167" spans="2:19" ht="14" outlineLevel="1">
      <c r="B167" s="210"/>
      <c r="C167" s="210"/>
      <c r="D167" s="213"/>
      <c r="E167" s="213"/>
      <c r="F167" s="34"/>
      <c r="G167" s="34"/>
      <c r="H167" s="33" t="s">
        <v>312</v>
      </c>
      <c r="I167" s="80" t="s">
        <v>1166</v>
      </c>
      <c r="J167" s="12" t="s">
        <v>332</v>
      </c>
      <c r="K167" s="53" t="s">
        <v>349</v>
      </c>
      <c r="L167" s="53">
        <v>45231</v>
      </c>
      <c r="M167" s="71" t="s">
        <v>1220</v>
      </c>
      <c r="N167" s="12" t="s">
        <v>4078</v>
      </c>
      <c r="O167" s="12" t="s">
        <v>326</v>
      </c>
      <c r="P167" s="12"/>
      <c r="Q167" s="12"/>
      <c r="R167" s="13"/>
      <c r="S167" s="4"/>
    </row>
    <row r="168" spans="2:19" outlineLevel="1">
      <c r="B168" s="210"/>
      <c r="C168" s="210"/>
      <c r="D168" s="213"/>
      <c r="E168" s="213"/>
      <c r="F168" s="34"/>
      <c r="G168" s="34"/>
      <c r="H168" s="33"/>
      <c r="I168" s="80"/>
      <c r="J168" s="12"/>
      <c r="K168" s="53"/>
      <c r="L168" s="53"/>
      <c r="M168" s="71"/>
      <c r="N168" s="12"/>
      <c r="O168" s="12"/>
      <c r="P168" s="12"/>
      <c r="Q168" s="12"/>
      <c r="R168" s="13"/>
      <c r="S168" s="4"/>
    </row>
    <row r="169" spans="2:19" ht="14" outlineLevel="1">
      <c r="B169" s="210"/>
      <c r="C169" s="210"/>
      <c r="D169" s="213"/>
      <c r="E169" s="213"/>
      <c r="F169" s="34" t="s">
        <v>129</v>
      </c>
      <c r="G169" s="34"/>
      <c r="H169" s="33" t="s">
        <v>2083</v>
      </c>
      <c r="I169" s="31" t="s">
        <v>3</v>
      </c>
      <c r="J169" s="12" t="s">
        <v>333</v>
      </c>
      <c r="K169" s="53" t="s">
        <v>349</v>
      </c>
      <c r="L169" s="53">
        <v>44407</v>
      </c>
      <c r="M169" s="12" t="s">
        <v>2086</v>
      </c>
      <c r="N169" s="12" t="s">
        <v>2085</v>
      </c>
      <c r="O169" s="12" t="s">
        <v>326</v>
      </c>
      <c r="P169" s="12"/>
      <c r="Q169" s="12"/>
      <c r="R169" s="13"/>
      <c r="S169" s="4"/>
    </row>
    <row r="170" spans="2:19" ht="14" outlineLevel="1">
      <c r="B170" s="210"/>
      <c r="C170" s="210"/>
      <c r="D170" s="213"/>
      <c r="E170" s="213"/>
      <c r="F170" s="34"/>
      <c r="G170" s="34"/>
      <c r="H170" s="33" t="s">
        <v>2083</v>
      </c>
      <c r="I170" s="31" t="s">
        <v>512</v>
      </c>
      <c r="J170" s="12" t="s">
        <v>333</v>
      </c>
      <c r="K170" s="53" t="s">
        <v>349</v>
      </c>
      <c r="L170" s="53">
        <v>44497</v>
      </c>
      <c r="M170" s="12" t="s">
        <v>2086</v>
      </c>
      <c r="N170" s="12" t="s">
        <v>2379</v>
      </c>
      <c r="O170" s="12" t="s">
        <v>326</v>
      </c>
      <c r="P170" s="12"/>
      <c r="Q170" s="12"/>
      <c r="R170" s="13"/>
      <c r="S170" s="4"/>
    </row>
    <row r="171" spans="2:19" ht="14" outlineLevel="1">
      <c r="B171" s="210"/>
      <c r="C171" s="210"/>
      <c r="D171" s="213"/>
      <c r="E171" s="213"/>
      <c r="F171" s="34"/>
      <c r="G171" s="34"/>
      <c r="H171" s="33" t="s">
        <v>2083</v>
      </c>
      <c r="I171" s="31" t="s">
        <v>730</v>
      </c>
      <c r="J171" s="12" t="s">
        <v>333</v>
      </c>
      <c r="K171" s="53" t="s">
        <v>349</v>
      </c>
      <c r="L171" s="53">
        <v>44972</v>
      </c>
      <c r="M171" s="12" t="s">
        <v>2086</v>
      </c>
      <c r="N171" s="12" t="s">
        <v>3576</v>
      </c>
      <c r="O171" s="12" t="s">
        <v>326</v>
      </c>
      <c r="P171" s="12"/>
      <c r="Q171" s="12"/>
      <c r="R171" s="13"/>
      <c r="S171" s="4"/>
    </row>
    <row r="172" spans="2:19" ht="14" outlineLevel="1">
      <c r="B172" s="210"/>
      <c r="C172" s="210"/>
      <c r="D172" s="213"/>
      <c r="E172" s="213"/>
      <c r="F172" s="34"/>
      <c r="G172" s="34"/>
      <c r="H172" s="33" t="s">
        <v>3591</v>
      </c>
      <c r="I172" s="31" t="s">
        <v>730</v>
      </c>
      <c r="J172" s="12" t="s">
        <v>333</v>
      </c>
      <c r="K172" s="53" t="s">
        <v>349</v>
      </c>
      <c r="L172" s="53">
        <v>44995</v>
      </c>
      <c r="M172" s="12" t="s">
        <v>2086</v>
      </c>
      <c r="N172" s="12" t="s">
        <v>3589</v>
      </c>
      <c r="O172" s="12" t="s">
        <v>326</v>
      </c>
      <c r="P172" s="12"/>
      <c r="Q172" s="12"/>
      <c r="R172" s="13"/>
      <c r="S172" s="4"/>
    </row>
    <row r="173" spans="2:19" outlineLevel="1">
      <c r="B173" s="210"/>
      <c r="C173" s="210"/>
      <c r="D173" s="213"/>
      <c r="E173" s="213"/>
      <c r="F173" s="34"/>
      <c r="G173" s="34"/>
      <c r="H173" s="33"/>
      <c r="I173" s="31"/>
      <c r="J173" s="12"/>
      <c r="K173" s="53"/>
      <c r="L173" s="53"/>
      <c r="M173" s="12"/>
      <c r="N173" s="12"/>
      <c r="O173" s="12"/>
      <c r="P173" s="12"/>
      <c r="Q173" s="12"/>
      <c r="R173" s="13"/>
      <c r="S173" s="4"/>
    </row>
    <row r="174" spans="2:19" ht="14" outlineLevel="1">
      <c r="B174" s="210"/>
      <c r="C174" s="210"/>
      <c r="D174" s="213"/>
      <c r="E174" s="213"/>
      <c r="F174" s="34" t="s">
        <v>134</v>
      </c>
      <c r="G174" s="34"/>
      <c r="H174" s="33" t="s">
        <v>2347</v>
      </c>
      <c r="I174" s="31" t="s">
        <v>3</v>
      </c>
      <c r="J174" s="12" t="s">
        <v>332</v>
      </c>
      <c r="K174" s="53" t="s">
        <v>349</v>
      </c>
      <c r="L174" s="53">
        <v>44480</v>
      </c>
      <c r="M174" s="71" t="s">
        <v>2348</v>
      </c>
      <c r="N174" s="12" t="s">
        <v>2346</v>
      </c>
      <c r="O174" s="12" t="s">
        <v>326</v>
      </c>
      <c r="P174" s="12"/>
      <c r="Q174" s="12"/>
      <c r="R174" s="13"/>
      <c r="S174" s="4"/>
    </row>
    <row r="175" spans="2:19" ht="14" outlineLevel="1">
      <c r="B175" s="210"/>
      <c r="C175" s="210"/>
      <c r="D175" s="213"/>
      <c r="E175" s="213"/>
      <c r="F175" s="34"/>
      <c r="G175" s="34"/>
      <c r="H175" s="33" t="s">
        <v>2347</v>
      </c>
      <c r="I175" s="31" t="s">
        <v>729</v>
      </c>
      <c r="J175" s="12" t="s">
        <v>332</v>
      </c>
      <c r="K175" s="53" t="s">
        <v>349</v>
      </c>
      <c r="L175" s="53">
        <v>44893</v>
      </c>
      <c r="M175" s="71" t="s">
        <v>2348</v>
      </c>
      <c r="N175" s="12" t="s">
        <v>3336</v>
      </c>
      <c r="O175" s="12" t="s">
        <v>326</v>
      </c>
      <c r="P175" s="12"/>
      <c r="Q175" s="12"/>
      <c r="R175" s="13"/>
      <c r="S175" s="4"/>
    </row>
    <row r="176" spans="2:19" ht="14" outlineLevel="1">
      <c r="B176" s="210"/>
      <c r="C176" s="210"/>
      <c r="D176" s="213"/>
      <c r="E176" s="213"/>
      <c r="F176" s="34"/>
      <c r="G176" s="34"/>
      <c r="H176" s="33" t="s">
        <v>2347</v>
      </c>
      <c r="I176" s="31" t="s">
        <v>730</v>
      </c>
      <c r="J176" s="12" t="s">
        <v>332</v>
      </c>
      <c r="K176" s="53" t="s">
        <v>349</v>
      </c>
      <c r="L176" s="53">
        <v>45216</v>
      </c>
      <c r="M176" s="71" t="s">
        <v>2348</v>
      </c>
      <c r="N176" s="12" t="s">
        <v>3976</v>
      </c>
      <c r="O176" s="12" t="s">
        <v>326</v>
      </c>
      <c r="P176" s="12"/>
      <c r="Q176" s="12"/>
      <c r="R176" s="13"/>
      <c r="S176" s="4"/>
    </row>
    <row r="177" spans="2:19" outlineLevel="1">
      <c r="B177" s="210"/>
      <c r="C177" s="210"/>
      <c r="D177" s="213"/>
      <c r="E177" s="213"/>
      <c r="F177" s="34"/>
      <c r="G177" s="34"/>
      <c r="H177" s="33"/>
      <c r="I177" s="31"/>
      <c r="J177" s="12"/>
      <c r="K177" s="53"/>
      <c r="L177" s="53"/>
      <c r="M177" s="71"/>
      <c r="N177" s="12"/>
      <c r="O177" s="12"/>
      <c r="P177" s="12"/>
      <c r="Q177" s="12"/>
      <c r="R177" s="13"/>
      <c r="S177" s="4"/>
    </row>
    <row r="178" spans="2:19" ht="14" outlineLevel="1">
      <c r="B178" s="210"/>
      <c r="C178" s="210"/>
      <c r="D178" s="213"/>
      <c r="E178" s="213"/>
      <c r="F178" s="34" t="s">
        <v>135</v>
      </c>
      <c r="G178" s="34"/>
      <c r="H178" s="33" t="s">
        <v>3212</v>
      </c>
      <c r="I178" s="31" t="s">
        <v>729</v>
      </c>
      <c r="J178" s="12" t="s">
        <v>332</v>
      </c>
      <c r="K178" s="53" t="s">
        <v>349</v>
      </c>
      <c r="L178" s="53">
        <v>44796</v>
      </c>
      <c r="M178" s="12" t="s">
        <v>3213</v>
      </c>
      <c r="N178" s="12" t="s">
        <v>3214</v>
      </c>
      <c r="O178" s="12" t="s">
        <v>326</v>
      </c>
      <c r="P178" s="12"/>
      <c r="Q178" s="12"/>
      <c r="R178" s="13"/>
      <c r="S178" s="4"/>
    </row>
    <row r="179" spans="2:19" ht="14" outlineLevel="1">
      <c r="B179" s="210"/>
      <c r="C179" s="210"/>
      <c r="D179" s="213"/>
      <c r="E179" s="213"/>
      <c r="F179" s="34"/>
      <c r="G179" s="34"/>
      <c r="H179" s="33" t="s">
        <v>3212</v>
      </c>
      <c r="I179" s="31" t="s">
        <v>1161</v>
      </c>
      <c r="J179" s="12" t="s">
        <v>332</v>
      </c>
      <c r="K179" s="53" t="s">
        <v>349</v>
      </c>
      <c r="L179" s="53">
        <v>44946</v>
      </c>
      <c r="M179" s="12" t="s">
        <v>3213</v>
      </c>
      <c r="N179" s="12" t="s">
        <v>3395</v>
      </c>
      <c r="O179" s="12" t="s">
        <v>326</v>
      </c>
      <c r="P179" s="12"/>
      <c r="Q179" s="12"/>
      <c r="R179" s="13"/>
      <c r="S179" s="4"/>
    </row>
    <row r="180" spans="2:19" ht="14" outlineLevel="1">
      <c r="B180" s="210"/>
      <c r="C180" s="210"/>
      <c r="D180" s="213"/>
      <c r="E180" s="213"/>
      <c r="F180" s="34"/>
      <c r="G180" s="34"/>
      <c r="H180" s="33" t="s">
        <v>3212</v>
      </c>
      <c r="I180" s="31" t="s">
        <v>917</v>
      </c>
      <c r="J180" s="12" t="s">
        <v>332</v>
      </c>
      <c r="K180" s="53" t="s">
        <v>349</v>
      </c>
      <c r="L180" s="53">
        <v>44972</v>
      </c>
      <c r="M180" s="12" t="s">
        <v>3213</v>
      </c>
      <c r="N180" s="12" t="s">
        <v>3576</v>
      </c>
      <c r="O180" s="12" t="s">
        <v>326</v>
      </c>
      <c r="P180" s="12"/>
      <c r="Q180" s="12"/>
      <c r="R180" s="13"/>
      <c r="S180" s="4"/>
    </row>
    <row r="181" spans="2:19" ht="14" outlineLevel="1">
      <c r="B181" s="210"/>
      <c r="C181" s="210"/>
      <c r="D181" s="213"/>
      <c r="E181" s="213"/>
      <c r="F181" s="34"/>
      <c r="G181" s="34"/>
      <c r="H181" s="33" t="s">
        <v>3212</v>
      </c>
      <c r="I181" s="31" t="s">
        <v>1221</v>
      </c>
      <c r="J181" s="12" t="s">
        <v>332</v>
      </c>
      <c r="K181" s="53" t="s">
        <v>349</v>
      </c>
      <c r="L181" s="53">
        <v>44999</v>
      </c>
      <c r="M181" s="12" t="s">
        <v>3213</v>
      </c>
      <c r="N181" s="12" t="s">
        <v>3614</v>
      </c>
      <c r="O181" s="12" t="s">
        <v>326</v>
      </c>
      <c r="P181" s="12"/>
      <c r="Q181" s="12"/>
      <c r="R181" s="13"/>
      <c r="S181" s="4"/>
    </row>
    <row r="182" spans="2:19" ht="14" outlineLevel="1">
      <c r="B182" s="210"/>
      <c r="C182" s="210"/>
      <c r="D182" s="213"/>
      <c r="E182" s="213"/>
      <c r="F182" s="34"/>
      <c r="G182" s="34"/>
      <c r="H182" s="33" t="s">
        <v>3212</v>
      </c>
      <c r="I182" s="31" t="s">
        <v>2082</v>
      </c>
      <c r="J182" s="12" t="s">
        <v>332</v>
      </c>
      <c r="K182" s="53" t="s">
        <v>349</v>
      </c>
      <c r="L182" s="53">
        <v>45044</v>
      </c>
      <c r="M182" s="12" t="s">
        <v>3213</v>
      </c>
      <c r="N182" s="12" t="s">
        <v>3694</v>
      </c>
      <c r="O182" s="12" t="s">
        <v>326</v>
      </c>
      <c r="P182" s="12"/>
      <c r="Q182" s="12"/>
      <c r="R182" s="13"/>
      <c r="S182" s="4"/>
    </row>
    <row r="183" spans="2:19" ht="14" outlineLevel="1">
      <c r="B183" s="210"/>
      <c r="C183" s="210"/>
      <c r="D183" s="213"/>
      <c r="E183" s="213"/>
      <c r="F183" s="34"/>
      <c r="G183" s="34"/>
      <c r="H183" s="33" t="s">
        <v>3212</v>
      </c>
      <c r="I183" s="31" t="s">
        <v>2169</v>
      </c>
      <c r="J183" s="12" t="s">
        <v>332</v>
      </c>
      <c r="K183" s="53" t="s">
        <v>349</v>
      </c>
      <c r="L183" s="53">
        <v>45084</v>
      </c>
      <c r="M183" s="12" t="s">
        <v>3213</v>
      </c>
      <c r="N183" s="12" t="s">
        <v>3795</v>
      </c>
      <c r="O183" s="12" t="s">
        <v>326</v>
      </c>
      <c r="P183" s="12"/>
      <c r="Q183" s="12"/>
      <c r="R183" s="13"/>
      <c r="S183" s="4"/>
    </row>
    <row r="184" spans="2:19" ht="14" outlineLevel="1">
      <c r="B184" s="210"/>
      <c r="C184" s="210"/>
      <c r="D184" s="213"/>
      <c r="E184" s="213"/>
      <c r="F184" s="34"/>
      <c r="G184" s="34"/>
      <c r="H184" s="33" t="s">
        <v>3212</v>
      </c>
      <c r="I184" s="31" t="s">
        <v>3794</v>
      </c>
      <c r="J184" s="12" t="s">
        <v>332</v>
      </c>
      <c r="K184" s="53" t="s">
        <v>349</v>
      </c>
      <c r="L184" s="53">
        <v>45084</v>
      </c>
      <c r="M184" s="12" t="s">
        <v>3213</v>
      </c>
      <c r="N184" s="12" t="s">
        <v>3795</v>
      </c>
      <c r="O184" s="12" t="s">
        <v>326</v>
      </c>
      <c r="P184" s="12"/>
      <c r="Q184" s="12"/>
      <c r="R184" s="13"/>
      <c r="S184" s="4"/>
    </row>
    <row r="185" spans="2:19" ht="14" outlineLevel="1">
      <c r="B185" s="210"/>
      <c r="C185" s="210"/>
      <c r="D185" s="213"/>
      <c r="E185" s="213"/>
      <c r="F185" s="34"/>
      <c r="G185" s="34"/>
      <c r="H185" s="33" t="s">
        <v>3212</v>
      </c>
      <c r="I185" s="31" t="s">
        <v>2859</v>
      </c>
      <c r="J185" s="12" t="s">
        <v>332</v>
      </c>
      <c r="K185" s="53" t="s">
        <v>349</v>
      </c>
      <c r="L185" s="53">
        <v>45170</v>
      </c>
      <c r="M185" s="12" t="s">
        <v>3213</v>
      </c>
      <c r="N185" s="12" t="s">
        <v>3848</v>
      </c>
      <c r="O185" s="12" t="s">
        <v>326</v>
      </c>
      <c r="P185" s="12"/>
      <c r="Q185" s="12"/>
      <c r="R185" s="13"/>
      <c r="S185" s="4"/>
    </row>
    <row r="186" spans="2:19" outlineLevel="1">
      <c r="B186" s="210"/>
      <c r="C186" s="210"/>
      <c r="D186" s="213"/>
      <c r="E186" s="213"/>
      <c r="F186" s="34"/>
      <c r="G186" s="34"/>
      <c r="H186" s="33"/>
      <c r="I186" s="31"/>
      <c r="J186" s="12"/>
      <c r="K186" s="53"/>
      <c r="L186" s="53"/>
      <c r="M186" s="12"/>
      <c r="N186" s="12"/>
      <c r="O186" s="12"/>
      <c r="P186" s="12"/>
      <c r="Q186" s="12"/>
      <c r="R186" s="13"/>
      <c r="S186" s="4"/>
    </row>
    <row r="187" spans="2:19" ht="14" outlineLevel="1">
      <c r="B187" s="210"/>
      <c r="C187" s="210"/>
      <c r="D187" s="213"/>
      <c r="E187" s="213"/>
      <c r="F187" s="34" t="s">
        <v>204</v>
      </c>
      <c r="G187" s="34"/>
      <c r="H187" s="33"/>
      <c r="I187" s="31"/>
      <c r="J187" s="12"/>
      <c r="K187" s="53"/>
      <c r="L187" s="53"/>
      <c r="M187" s="71"/>
      <c r="N187" s="12"/>
      <c r="O187" s="12"/>
      <c r="P187" s="12"/>
      <c r="Q187" s="12"/>
      <c r="R187" s="13"/>
      <c r="S187" s="4"/>
    </row>
    <row r="188" spans="2:19" outlineLevel="1">
      <c r="B188" s="210"/>
      <c r="C188" s="210"/>
      <c r="D188" s="213"/>
      <c r="E188" s="213"/>
      <c r="F188" s="34"/>
      <c r="G188" s="34"/>
      <c r="H188" s="33"/>
      <c r="I188" s="31"/>
      <c r="J188" s="12"/>
      <c r="K188" s="53"/>
      <c r="L188" s="53"/>
      <c r="M188" s="71"/>
      <c r="N188" s="12"/>
      <c r="O188" s="12"/>
      <c r="P188" s="12"/>
      <c r="Q188" s="12"/>
      <c r="R188" s="13"/>
      <c r="S188" s="4"/>
    </row>
    <row r="189" spans="2:19" outlineLevel="1">
      <c r="B189" s="210"/>
      <c r="C189" s="210"/>
      <c r="D189" s="213"/>
      <c r="E189" s="213"/>
      <c r="F189" s="34"/>
      <c r="G189" s="34"/>
      <c r="H189" s="33"/>
      <c r="I189" s="80"/>
      <c r="J189" s="12"/>
      <c r="K189" s="53"/>
      <c r="L189" s="53"/>
      <c r="M189" s="71"/>
      <c r="N189" s="12"/>
      <c r="O189" s="12"/>
      <c r="P189" s="12"/>
      <c r="Q189" s="12"/>
      <c r="R189" s="13"/>
      <c r="S189" s="4"/>
    </row>
    <row r="190" spans="2:19" ht="12.75" customHeight="1" outlineLevel="1">
      <c r="B190" s="210"/>
      <c r="C190" s="210"/>
      <c r="D190" s="34" t="s">
        <v>52</v>
      </c>
      <c r="E190" s="233" t="s">
        <v>81</v>
      </c>
      <c r="F190" s="233"/>
      <c r="G190" s="233"/>
      <c r="H190" s="233"/>
      <c r="I190" s="31"/>
      <c r="J190" s="12"/>
      <c r="K190" s="12"/>
      <c r="L190" s="53"/>
      <c r="M190" s="12"/>
      <c r="N190" s="12"/>
      <c r="O190" s="39" t="s">
        <v>26</v>
      </c>
      <c r="P190" s="12"/>
      <c r="Q190" s="39" t="s">
        <v>26</v>
      </c>
      <c r="R190" s="82"/>
      <c r="S190" s="82"/>
    </row>
    <row r="191" spans="2:19" outlineLevel="1">
      <c r="B191" s="210"/>
      <c r="C191" s="210"/>
      <c r="D191" s="212"/>
      <c r="E191" s="234"/>
      <c r="F191" s="82"/>
      <c r="G191" s="82"/>
      <c r="H191" s="82"/>
      <c r="I191" s="34"/>
      <c r="J191" s="39"/>
      <c r="K191" s="39"/>
      <c r="L191" s="53"/>
      <c r="M191" s="34"/>
      <c r="N191" s="34"/>
      <c r="O191" s="39"/>
      <c r="P191" s="39"/>
      <c r="Q191" s="12"/>
      <c r="R191" s="13"/>
      <c r="S191" s="4"/>
    </row>
    <row r="192" spans="2:19" ht="14" outlineLevel="1">
      <c r="B192" s="210"/>
      <c r="C192" s="210"/>
      <c r="D192" s="213"/>
      <c r="E192" s="234"/>
      <c r="F192" s="34" t="s">
        <v>27</v>
      </c>
      <c r="G192" s="34"/>
      <c r="H192" s="33" t="s">
        <v>307</v>
      </c>
      <c r="I192" s="31" t="s">
        <v>3</v>
      </c>
      <c r="J192" s="12" t="s">
        <v>332</v>
      </c>
      <c r="K192" s="53">
        <v>44089</v>
      </c>
      <c r="L192" s="53">
        <v>44081</v>
      </c>
      <c r="M192" s="12" t="s">
        <v>1669</v>
      </c>
      <c r="N192" s="12" t="s">
        <v>393</v>
      </c>
      <c r="O192" s="12" t="s">
        <v>326</v>
      </c>
      <c r="P192" s="12"/>
      <c r="Q192" s="12"/>
      <c r="R192" s="13"/>
      <c r="S192" s="4"/>
    </row>
    <row r="193" spans="2:19" ht="14" outlineLevel="1">
      <c r="B193" s="210"/>
      <c r="C193" s="210"/>
      <c r="D193" s="213"/>
      <c r="E193" s="234"/>
      <c r="F193" s="34"/>
      <c r="G193" s="34"/>
      <c r="H193" s="33" t="s">
        <v>307</v>
      </c>
      <c r="I193" s="31" t="s">
        <v>654</v>
      </c>
      <c r="J193" s="12" t="s">
        <v>332</v>
      </c>
      <c r="K193" s="53" t="s">
        <v>349</v>
      </c>
      <c r="L193" s="53">
        <v>44200</v>
      </c>
      <c r="M193" s="12" t="s">
        <v>1669</v>
      </c>
      <c r="N193" s="12" t="s">
        <v>855</v>
      </c>
      <c r="O193" s="12" t="s">
        <v>326</v>
      </c>
      <c r="P193" s="12"/>
      <c r="Q193" s="12"/>
      <c r="R193" s="13"/>
      <c r="S193" s="4"/>
    </row>
    <row r="194" spans="2:19" ht="14" outlineLevel="1">
      <c r="B194" s="210"/>
      <c r="C194" s="210"/>
      <c r="D194" s="213"/>
      <c r="E194" s="234"/>
      <c r="F194" s="34"/>
      <c r="G194" s="34"/>
      <c r="H194" s="33" t="s">
        <v>307</v>
      </c>
      <c r="I194" s="31" t="s">
        <v>729</v>
      </c>
      <c r="J194" s="12" t="s">
        <v>332</v>
      </c>
      <c r="K194" s="53" t="s">
        <v>349</v>
      </c>
      <c r="L194" s="53">
        <v>44258</v>
      </c>
      <c r="M194" s="12" t="s">
        <v>1669</v>
      </c>
      <c r="N194" s="12" t="s">
        <v>1185</v>
      </c>
      <c r="O194" s="12" t="s">
        <v>326</v>
      </c>
      <c r="P194" s="12"/>
      <c r="Q194" s="12"/>
      <c r="R194" s="13"/>
      <c r="S194" s="4"/>
    </row>
    <row r="195" spans="2:19" ht="14" outlineLevel="1">
      <c r="B195" s="210"/>
      <c r="C195" s="210"/>
      <c r="D195" s="213"/>
      <c r="E195" s="234"/>
      <c r="F195" s="34"/>
      <c r="G195" s="34"/>
      <c r="H195" s="33" t="s">
        <v>307</v>
      </c>
      <c r="I195" s="31" t="s">
        <v>730</v>
      </c>
      <c r="J195" s="12" t="s">
        <v>332</v>
      </c>
      <c r="K195" s="53" t="s">
        <v>349</v>
      </c>
      <c r="L195" s="53">
        <v>44326</v>
      </c>
      <c r="M195" s="12" t="s">
        <v>1669</v>
      </c>
      <c r="N195" s="12" t="s">
        <v>1670</v>
      </c>
      <c r="O195" s="12" t="s">
        <v>326</v>
      </c>
      <c r="P195" s="12"/>
      <c r="Q195" s="12"/>
      <c r="R195" s="13"/>
      <c r="S195" s="4"/>
    </row>
    <row r="196" spans="2:19" ht="14" outlineLevel="1">
      <c r="B196" s="210"/>
      <c r="C196" s="210"/>
      <c r="D196" s="213"/>
      <c r="E196" s="234"/>
      <c r="F196" s="34"/>
      <c r="G196" s="34"/>
      <c r="H196" s="33" t="s">
        <v>307</v>
      </c>
      <c r="I196" s="31" t="s">
        <v>1161</v>
      </c>
      <c r="J196" s="12" t="s">
        <v>332</v>
      </c>
      <c r="K196" s="53" t="s">
        <v>349</v>
      </c>
      <c r="L196" s="53">
        <v>44522</v>
      </c>
      <c r="M196" s="12" t="s">
        <v>2459</v>
      </c>
      <c r="N196" s="12" t="s">
        <v>2460</v>
      </c>
      <c r="O196" s="12" t="s">
        <v>326</v>
      </c>
      <c r="P196" s="12"/>
      <c r="Q196" s="12"/>
      <c r="R196" s="13"/>
      <c r="S196" s="4"/>
    </row>
    <row r="197" spans="2:19" ht="14" outlineLevel="1">
      <c r="B197" s="210"/>
      <c r="C197" s="210"/>
      <c r="D197" s="213"/>
      <c r="E197" s="234"/>
      <c r="F197" s="34"/>
      <c r="G197" s="34"/>
      <c r="H197" s="33" t="s">
        <v>307</v>
      </c>
      <c r="I197" s="31" t="s">
        <v>917</v>
      </c>
      <c r="J197" s="12" t="s">
        <v>332</v>
      </c>
      <c r="K197" s="53" t="s">
        <v>349</v>
      </c>
      <c r="L197" s="53">
        <v>44972</v>
      </c>
      <c r="M197" s="12" t="s">
        <v>2459</v>
      </c>
      <c r="N197" s="12" t="s">
        <v>3576</v>
      </c>
      <c r="O197" s="12" t="s">
        <v>326</v>
      </c>
      <c r="P197" s="12"/>
      <c r="Q197" s="12"/>
      <c r="R197" s="13"/>
      <c r="S197" s="4"/>
    </row>
    <row r="198" spans="2:19" ht="14" outlineLevel="1">
      <c r="B198" s="210"/>
      <c r="C198" s="210"/>
      <c r="D198" s="213"/>
      <c r="E198" s="234"/>
      <c r="F198" s="34"/>
      <c r="G198" s="34"/>
      <c r="H198" s="33" t="s">
        <v>307</v>
      </c>
      <c r="I198" s="31" t="s">
        <v>1221</v>
      </c>
      <c r="J198" s="12" t="s">
        <v>332</v>
      </c>
      <c r="K198" s="53" t="s">
        <v>349</v>
      </c>
      <c r="L198" s="53">
        <v>45216</v>
      </c>
      <c r="M198" s="12" t="s">
        <v>2459</v>
      </c>
      <c r="N198" s="12" t="s">
        <v>3976</v>
      </c>
      <c r="O198" s="12" t="s">
        <v>326</v>
      </c>
      <c r="P198" s="12"/>
      <c r="Q198" s="12"/>
      <c r="R198" s="13"/>
      <c r="S198" s="4"/>
    </row>
    <row r="199" spans="2:19" outlineLevel="1">
      <c r="B199" s="210"/>
      <c r="C199" s="210"/>
      <c r="D199" s="213"/>
      <c r="E199" s="234"/>
      <c r="F199" s="34"/>
      <c r="G199" s="34"/>
      <c r="H199" s="33"/>
      <c r="I199" s="31"/>
      <c r="J199" s="12"/>
      <c r="K199" s="53"/>
      <c r="L199" s="53"/>
      <c r="M199" s="12"/>
      <c r="N199" s="12"/>
      <c r="O199" s="12"/>
      <c r="P199" s="12"/>
      <c r="Q199" s="12"/>
      <c r="R199" s="13"/>
      <c r="S199" s="4"/>
    </row>
    <row r="200" spans="2:19" ht="14" outlineLevel="1">
      <c r="B200" s="210"/>
      <c r="C200" s="210"/>
      <c r="D200" s="213"/>
      <c r="E200" s="234"/>
      <c r="F200" s="34" t="s">
        <v>29</v>
      </c>
      <c r="G200" s="34"/>
      <c r="H200" s="33" t="s">
        <v>308</v>
      </c>
      <c r="I200" s="31" t="s">
        <v>654</v>
      </c>
      <c r="J200" s="12" t="s">
        <v>333</v>
      </c>
      <c r="K200" s="53">
        <v>44104</v>
      </c>
      <c r="L200" s="53">
        <v>44081</v>
      </c>
      <c r="M200" s="12" t="s">
        <v>2162</v>
      </c>
      <c r="N200" s="12" t="s">
        <v>393</v>
      </c>
      <c r="O200" s="12" t="s">
        <v>326</v>
      </c>
      <c r="P200" s="12"/>
      <c r="Q200" s="12"/>
      <c r="R200" s="13"/>
      <c r="S200" s="4"/>
    </row>
    <row r="201" spans="2:19" ht="14" outlineLevel="1">
      <c r="B201" s="210"/>
      <c r="C201" s="210"/>
      <c r="D201" s="213"/>
      <c r="E201" s="234"/>
      <c r="F201" s="34"/>
      <c r="G201" s="34"/>
      <c r="H201" s="33"/>
      <c r="I201" s="31" t="s">
        <v>730</v>
      </c>
      <c r="J201" s="12" t="s">
        <v>333</v>
      </c>
      <c r="K201" s="53" t="s">
        <v>349</v>
      </c>
      <c r="L201" s="53">
        <v>44421</v>
      </c>
      <c r="M201" s="12" t="s">
        <v>2162</v>
      </c>
      <c r="N201" s="12" t="s">
        <v>2161</v>
      </c>
      <c r="O201" s="12" t="s">
        <v>326</v>
      </c>
      <c r="P201" s="12"/>
      <c r="Q201" s="12"/>
      <c r="R201" s="13"/>
      <c r="S201" s="4"/>
    </row>
    <row r="202" spans="2:19" ht="14" outlineLevel="1">
      <c r="B202" s="210"/>
      <c r="C202" s="210"/>
      <c r="D202" s="213"/>
      <c r="E202" s="234"/>
      <c r="F202" s="34"/>
      <c r="G202" s="34"/>
      <c r="H202" s="33"/>
      <c r="I202" s="31" t="s">
        <v>1161</v>
      </c>
      <c r="J202" s="12" t="s">
        <v>333</v>
      </c>
      <c r="K202" s="53" t="s">
        <v>349</v>
      </c>
      <c r="L202" s="53">
        <v>44515</v>
      </c>
      <c r="M202" s="12" t="s">
        <v>2162</v>
      </c>
      <c r="N202" s="12" t="s">
        <v>2438</v>
      </c>
      <c r="O202" s="12" t="s">
        <v>326</v>
      </c>
      <c r="P202" s="12"/>
      <c r="Q202" s="12"/>
      <c r="R202" s="13"/>
      <c r="S202" s="4"/>
    </row>
    <row r="203" spans="2:19" outlineLevel="1">
      <c r="B203" s="211"/>
      <c r="C203" s="211"/>
      <c r="D203" s="214"/>
      <c r="E203" s="234"/>
      <c r="F203" s="34"/>
      <c r="G203" s="34"/>
      <c r="H203" s="33"/>
      <c r="I203" s="31"/>
      <c r="J203" s="12"/>
      <c r="K203" s="53"/>
      <c r="L203" s="53"/>
      <c r="M203" s="12"/>
      <c r="N203" s="12"/>
      <c r="O203" s="12"/>
      <c r="P203" s="12"/>
      <c r="Q203" s="12"/>
      <c r="R203" s="13"/>
      <c r="S203" s="4"/>
    </row>
    <row r="204" spans="2:19" ht="12.75" customHeight="1">
      <c r="B204" s="34" t="s">
        <v>82</v>
      </c>
      <c r="C204" s="218" t="s">
        <v>83</v>
      </c>
      <c r="D204" s="219"/>
      <c r="E204" s="219"/>
      <c r="F204" s="219"/>
      <c r="G204" s="219"/>
      <c r="H204" s="219"/>
      <c r="I204" s="219"/>
      <c r="J204" s="219"/>
      <c r="K204" s="219"/>
      <c r="L204" s="219"/>
      <c r="M204" s="219"/>
      <c r="N204" s="219"/>
      <c r="O204" s="219"/>
      <c r="P204" s="219"/>
      <c r="Q204" s="219"/>
      <c r="R204" s="220"/>
      <c r="S204" s="4"/>
    </row>
    <row r="205" spans="2:19" ht="28">
      <c r="B205" s="209"/>
      <c r="C205" s="209"/>
      <c r="D205" s="34" t="s">
        <v>24</v>
      </c>
      <c r="E205" s="233" t="s">
        <v>78</v>
      </c>
      <c r="F205" s="233"/>
      <c r="G205" s="233"/>
      <c r="H205" s="233"/>
      <c r="I205" s="82"/>
      <c r="J205" s="34"/>
      <c r="K205" s="82"/>
      <c r="L205" s="82"/>
      <c r="M205" s="82"/>
      <c r="N205" s="82"/>
      <c r="O205" s="39" t="s">
        <v>26</v>
      </c>
      <c r="P205" s="116"/>
      <c r="Q205" s="39" t="s">
        <v>26</v>
      </c>
      <c r="R205" s="13"/>
      <c r="S205" s="4"/>
    </row>
    <row r="206" spans="2:19" outlineLevel="1">
      <c r="B206" s="210"/>
      <c r="C206" s="210"/>
      <c r="D206" s="212"/>
      <c r="E206" s="234"/>
      <c r="F206" s="82"/>
      <c r="G206" s="82"/>
      <c r="H206" s="82"/>
      <c r="I206" s="30"/>
      <c r="J206" s="39"/>
      <c r="K206" s="39"/>
      <c r="L206" s="39"/>
      <c r="M206" s="12"/>
      <c r="N206" s="12"/>
      <c r="O206" s="39"/>
      <c r="P206" s="39"/>
      <c r="Q206" s="12"/>
      <c r="R206" s="13"/>
      <c r="S206" s="4"/>
    </row>
    <row r="207" spans="2:19" ht="14" outlineLevel="1">
      <c r="B207" s="210"/>
      <c r="C207" s="210"/>
      <c r="D207" s="213"/>
      <c r="E207" s="234"/>
      <c r="F207" s="34" t="s">
        <v>27</v>
      </c>
      <c r="G207" s="34"/>
      <c r="H207" s="4"/>
      <c r="I207" s="31"/>
      <c r="J207" s="12"/>
      <c r="K207" s="12"/>
      <c r="L207" s="12"/>
      <c r="M207" s="12"/>
      <c r="N207" s="12"/>
      <c r="O207" s="12"/>
      <c r="P207" s="12"/>
      <c r="Q207" s="12"/>
      <c r="R207" s="13"/>
      <c r="S207" s="4"/>
    </row>
    <row r="208" spans="2:19" outlineLevel="1">
      <c r="B208" s="210"/>
      <c r="C208" s="210"/>
      <c r="D208" s="214"/>
      <c r="E208" s="234"/>
      <c r="F208" s="34"/>
      <c r="G208" s="34"/>
      <c r="H208" s="4"/>
      <c r="I208" s="31"/>
      <c r="J208" s="12"/>
      <c r="K208" s="12"/>
      <c r="L208" s="12"/>
      <c r="M208" s="12"/>
      <c r="N208" s="12"/>
      <c r="O208" s="12"/>
      <c r="P208" s="12"/>
      <c r="Q208" s="12"/>
      <c r="R208" s="13"/>
      <c r="S208" s="4"/>
    </row>
    <row r="209" spans="2:19" ht="12.75" customHeight="1" outlineLevel="1">
      <c r="B209" s="210"/>
      <c r="C209" s="210"/>
      <c r="D209" s="34" t="s">
        <v>31</v>
      </c>
      <c r="E209" s="233" t="s">
        <v>79</v>
      </c>
      <c r="F209" s="233"/>
      <c r="G209" s="233"/>
      <c r="H209" s="233"/>
      <c r="I209" s="31"/>
      <c r="J209" s="12"/>
      <c r="K209" s="12"/>
      <c r="L209" s="12"/>
      <c r="M209" s="12"/>
      <c r="N209" s="12"/>
      <c r="O209" s="39" t="s">
        <v>26</v>
      </c>
      <c r="P209" s="12"/>
      <c r="Q209" s="39" t="s">
        <v>26</v>
      </c>
      <c r="R209" s="13"/>
      <c r="S209" s="4"/>
    </row>
    <row r="210" spans="2:19" outlineLevel="1">
      <c r="B210" s="210"/>
      <c r="C210" s="210"/>
      <c r="D210" s="212"/>
      <c r="E210" s="234"/>
      <c r="F210" s="82"/>
      <c r="G210" s="82"/>
      <c r="H210" s="82"/>
      <c r="I210" s="31"/>
      <c r="J210" s="39"/>
      <c r="K210" s="39"/>
      <c r="L210" s="39"/>
      <c r="M210" s="12"/>
      <c r="N210" s="12"/>
      <c r="O210" s="39"/>
      <c r="P210" s="39"/>
      <c r="Q210" s="12"/>
      <c r="R210" s="13"/>
      <c r="S210" s="4"/>
    </row>
    <row r="211" spans="2:19" ht="14" outlineLevel="1">
      <c r="B211" s="210"/>
      <c r="C211" s="210"/>
      <c r="D211" s="213"/>
      <c r="E211" s="234"/>
      <c r="F211" s="34" t="s">
        <v>27</v>
      </c>
      <c r="G211" s="34"/>
      <c r="H211" s="33" t="s">
        <v>296</v>
      </c>
      <c r="I211" s="31" t="s">
        <v>3</v>
      </c>
      <c r="J211" s="12" t="s">
        <v>333</v>
      </c>
      <c r="K211" s="53">
        <v>44074</v>
      </c>
      <c r="L211" s="53">
        <v>44071</v>
      </c>
      <c r="M211" s="12" t="s">
        <v>1346</v>
      </c>
      <c r="N211" s="35" t="s">
        <v>352</v>
      </c>
      <c r="O211" s="12" t="s">
        <v>326</v>
      </c>
      <c r="P211" s="12"/>
      <c r="Q211" s="12"/>
      <c r="R211" s="13"/>
      <c r="S211" s="4"/>
    </row>
    <row r="212" spans="2:19" ht="14" outlineLevel="1">
      <c r="B212" s="210"/>
      <c r="C212" s="210"/>
      <c r="D212" s="213"/>
      <c r="E212" s="234"/>
      <c r="F212" s="34" t="s">
        <v>29</v>
      </c>
      <c r="G212" s="34"/>
      <c r="H212" s="33" t="s">
        <v>84</v>
      </c>
      <c r="I212" s="31" t="s">
        <v>3</v>
      </c>
      <c r="J212" s="12" t="s">
        <v>332</v>
      </c>
      <c r="K212" s="53">
        <v>44242</v>
      </c>
      <c r="L212" s="53">
        <v>44181</v>
      </c>
      <c r="M212" s="12" t="s">
        <v>1643</v>
      </c>
      <c r="N212" s="12" t="s">
        <v>786</v>
      </c>
      <c r="O212" s="12" t="s">
        <v>326</v>
      </c>
      <c r="P212" s="12"/>
      <c r="Q212" s="12"/>
      <c r="R212" s="13"/>
      <c r="S212" s="4"/>
    </row>
    <row r="213" spans="2:19" ht="14" outlineLevel="1">
      <c r="B213" s="210"/>
      <c r="C213" s="210"/>
      <c r="D213" s="213"/>
      <c r="E213" s="234"/>
      <c r="F213" s="34"/>
      <c r="G213" s="34"/>
      <c r="H213" s="33" t="s">
        <v>84</v>
      </c>
      <c r="I213" s="31" t="s">
        <v>2082</v>
      </c>
      <c r="J213" s="12" t="s">
        <v>332</v>
      </c>
      <c r="K213" s="53" t="s">
        <v>349</v>
      </c>
      <c r="L213" s="53">
        <v>44412</v>
      </c>
      <c r="M213" s="12" t="s">
        <v>1643</v>
      </c>
      <c r="N213" s="12" t="s">
        <v>2081</v>
      </c>
      <c r="O213" s="12" t="s">
        <v>326</v>
      </c>
      <c r="P213" s="12"/>
      <c r="Q213" s="12"/>
      <c r="R213" s="13"/>
      <c r="S213" s="4"/>
    </row>
    <row r="214" spans="2:19" ht="14" outlineLevel="1">
      <c r="B214" s="210"/>
      <c r="C214" s="210"/>
      <c r="D214" s="213"/>
      <c r="E214" s="234"/>
      <c r="F214" s="34"/>
      <c r="G214" s="34"/>
      <c r="H214" s="33" t="s">
        <v>84</v>
      </c>
      <c r="I214" s="31" t="s">
        <v>2169</v>
      </c>
      <c r="J214" s="12" t="s">
        <v>332</v>
      </c>
      <c r="K214" s="53" t="s">
        <v>349</v>
      </c>
      <c r="L214" s="53">
        <v>44426</v>
      </c>
      <c r="M214" s="12" t="s">
        <v>1643</v>
      </c>
      <c r="N214" s="12" t="s">
        <v>2170</v>
      </c>
      <c r="O214" s="12" t="s">
        <v>326</v>
      </c>
      <c r="P214" s="12"/>
      <c r="Q214" s="12"/>
      <c r="R214" s="13"/>
      <c r="S214" s="4"/>
    </row>
    <row r="215" spans="2:19" ht="14" outlineLevel="1">
      <c r="B215" s="210"/>
      <c r="C215" s="210"/>
      <c r="D215" s="213"/>
      <c r="E215" s="234"/>
      <c r="F215" s="34"/>
      <c r="G215" s="34"/>
      <c r="H215" s="33" t="s">
        <v>84</v>
      </c>
      <c r="I215" s="31" t="s">
        <v>2859</v>
      </c>
      <c r="J215" s="12" t="s">
        <v>332</v>
      </c>
      <c r="K215" s="53" t="s">
        <v>349</v>
      </c>
      <c r="L215" s="53">
        <v>44662</v>
      </c>
      <c r="M215" s="12" t="s">
        <v>1643</v>
      </c>
      <c r="N215" s="12" t="s">
        <v>2858</v>
      </c>
      <c r="O215" s="12" t="s">
        <v>326</v>
      </c>
      <c r="P215" s="12"/>
      <c r="Q215" s="12"/>
      <c r="R215" s="13"/>
      <c r="S215" s="4"/>
    </row>
    <row r="216" spans="2:19" outlineLevel="1">
      <c r="B216" s="210"/>
      <c r="C216" s="210"/>
      <c r="D216" s="213"/>
      <c r="E216" s="234"/>
      <c r="F216" s="34"/>
      <c r="G216" s="34"/>
      <c r="H216" s="33"/>
      <c r="I216" s="31"/>
      <c r="J216" s="12"/>
      <c r="K216" s="53"/>
      <c r="L216" s="53"/>
      <c r="M216" s="12"/>
      <c r="N216" s="12"/>
      <c r="O216" s="12"/>
      <c r="P216" s="12"/>
      <c r="Q216" s="12"/>
      <c r="R216" s="13"/>
      <c r="S216" s="4"/>
    </row>
    <row r="217" spans="2:19" ht="14" outlineLevel="1">
      <c r="B217" s="210"/>
      <c r="C217" s="210"/>
      <c r="D217" s="213"/>
      <c r="E217" s="234"/>
      <c r="F217" s="34" t="s">
        <v>35</v>
      </c>
      <c r="G217" s="34"/>
      <c r="H217" s="33" t="s">
        <v>297</v>
      </c>
      <c r="I217" s="31" t="s">
        <v>3</v>
      </c>
      <c r="J217" s="12" t="s">
        <v>332</v>
      </c>
      <c r="K217" s="53">
        <v>44242</v>
      </c>
      <c r="L217" s="53">
        <v>44181</v>
      </c>
      <c r="M217" s="12" t="s">
        <v>1644</v>
      </c>
      <c r="N217" s="12" t="s">
        <v>786</v>
      </c>
      <c r="O217" s="12" t="s">
        <v>326</v>
      </c>
      <c r="P217" s="12"/>
      <c r="Q217" s="12"/>
      <c r="R217" s="13"/>
      <c r="S217" s="4"/>
    </row>
    <row r="218" spans="2:19" ht="14" outlineLevel="1">
      <c r="B218" s="210"/>
      <c r="C218" s="210"/>
      <c r="D218" s="213"/>
      <c r="E218" s="234"/>
      <c r="F218" s="34"/>
      <c r="G218" s="34"/>
      <c r="H218" s="33" t="s">
        <v>297</v>
      </c>
      <c r="I218" s="31" t="s">
        <v>512</v>
      </c>
      <c r="J218" s="12" t="s">
        <v>332</v>
      </c>
      <c r="K218" s="53" t="s">
        <v>349</v>
      </c>
      <c r="L218" s="53">
        <v>44320</v>
      </c>
      <c r="M218" s="12" t="s">
        <v>1644</v>
      </c>
      <c r="N218" s="12" t="s">
        <v>1641</v>
      </c>
      <c r="O218" s="12" t="s">
        <v>326</v>
      </c>
      <c r="P218" s="12"/>
      <c r="Q218" s="12"/>
      <c r="R218" s="13"/>
      <c r="S218" s="4"/>
    </row>
    <row r="219" spans="2:19" outlineLevel="1">
      <c r="B219" s="210"/>
      <c r="C219" s="210"/>
      <c r="D219" s="213"/>
      <c r="E219" s="234"/>
      <c r="F219" s="34"/>
      <c r="G219" s="34"/>
      <c r="H219" s="33"/>
      <c r="I219" s="31"/>
      <c r="J219" s="12"/>
      <c r="K219" s="53"/>
      <c r="L219" s="53"/>
      <c r="M219" s="12"/>
      <c r="N219" s="12"/>
      <c r="O219" s="12"/>
      <c r="P219" s="12"/>
      <c r="Q219" s="12"/>
      <c r="R219" s="13"/>
      <c r="S219" s="4"/>
    </row>
    <row r="220" spans="2:19" ht="14" outlineLevel="1">
      <c r="B220" s="210"/>
      <c r="C220" s="210"/>
      <c r="D220" s="213"/>
      <c r="E220" s="234"/>
      <c r="F220" s="34"/>
      <c r="G220" s="34" t="s">
        <v>177</v>
      </c>
      <c r="H220" s="33" t="s">
        <v>1642</v>
      </c>
      <c r="I220" s="31" t="s">
        <v>3</v>
      </c>
      <c r="J220" s="12" t="s">
        <v>332</v>
      </c>
      <c r="K220" s="53" t="s">
        <v>349</v>
      </c>
      <c r="L220" s="53">
        <v>44320</v>
      </c>
      <c r="M220" s="12" t="s">
        <v>1645</v>
      </c>
      <c r="N220" s="12" t="s">
        <v>1641</v>
      </c>
      <c r="O220" s="12" t="s">
        <v>326</v>
      </c>
      <c r="P220" s="12"/>
      <c r="Q220" s="12"/>
      <c r="R220" s="13"/>
      <c r="S220" s="4"/>
    </row>
    <row r="221" spans="2:19" ht="14" outlineLevel="1">
      <c r="B221" s="210"/>
      <c r="C221" s="210"/>
      <c r="D221" s="213"/>
      <c r="E221" s="234"/>
      <c r="F221" s="34"/>
      <c r="G221" s="34"/>
      <c r="H221" s="33" t="s">
        <v>1642</v>
      </c>
      <c r="I221" s="31" t="s">
        <v>512</v>
      </c>
      <c r="J221" s="12" t="s">
        <v>332</v>
      </c>
      <c r="K221" s="53" t="s">
        <v>349</v>
      </c>
      <c r="L221" s="53">
        <v>44662</v>
      </c>
      <c r="M221" s="12" t="s">
        <v>1645</v>
      </c>
      <c r="N221" s="12" t="s">
        <v>2858</v>
      </c>
      <c r="O221" s="12" t="s">
        <v>326</v>
      </c>
      <c r="P221" s="12"/>
      <c r="Q221" s="12"/>
      <c r="R221" s="13"/>
      <c r="S221" s="4"/>
    </row>
    <row r="222" spans="2:19" outlineLevel="1">
      <c r="B222" s="210"/>
      <c r="C222" s="210"/>
      <c r="D222" s="214"/>
      <c r="E222" s="234"/>
      <c r="F222" s="34"/>
      <c r="G222" s="34"/>
      <c r="H222" s="33"/>
      <c r="I222" s="31"/>
      <c r="J222" s="12"/>
      <c r="K222" s="53"/>
      <c r="L222" s="53"/>
      <c r="M222" s="12"/>
      <c r="N222" s="12"/>
      <c r="O222" s="12"/>
      <c r="P222" s="12"/>
      <c r="Q222" s="12"/>
      <c r="R222" s="13"/>
      <c r="S222" s="4"/>
    </row>
    <row r="223" spans="2:19" ht="12.75" customHeight="1" outlineLevel="1">
      <c r="B223" s="210"/>
      <c r="C223" s="210"/>
      <c r="D223" s="34" t="s">
        <v>33</v>
      </c>
      <c r="E223" s="233" t="s">
        <v>302</v>
      </c>
      <c r="F223" s="233"/>
      <c r="G223" s="233"/>
      <c r="H223" s="233"/>
      <c r="I223" s="31"/>
      <c r="J223" s="12"/>
      <c r="K223" s="12"/>
      <c r="L223" s="12"/>
      <c r="M223" s="12"/>
      <c r="N223" s="12"/>
      <c r="O223" s="39" t="s">
        <v>26</v>
      </c>
      <c r="P223" s="12"/>
      <c r="Q223" s="39" t="s">
        <v>26</v>
      </c>
      <c r="R223" s="13"/>
      <c r="S223" s="4"/>
    </row>
    <row r="224" spans="2:19" outlineLevel="1">
      <c r="B224" s="210"/>
      <c r="C224" s="210"/>
      <c r="D224" s="209"/>
      <c r="E224" s="237"/>
      <c r="F224" s="82"/>
      <c r="G224" s="82"/>
      <c r="H224" s="82"/>
      <c r="I224" s="31"/>
      <c r="J224" s="39"/>
      <c r="K224" s="39"/>
      <c r="L224" s="39"/>
      <c r="M224" s="12"/>
      <c r="N224" s="12"/>
      <c r="O224" s="39"/>
      <c r="P224" s="39"/>
      <c r="Q224" s="12"/>
      <c r="R224" s="13"/>
      <c r="S224" s="4"/>
    </row>
    <row r="225" spans="2:19" ht="14" outlineLevel="1">
      <c r="B225" s="210"/>
      <c r="C225" s="210"/>
      <c r="D225" s="210"/>
      <c r="E225" s="237"/>
      <c r="F225" s="34" t="s">
        <v>27</v>
      </c>
      <c r="G225" s="34"/>
      <c r="H225" s="33" t="s">
        <v>318</v>
      </c>
      <c r="I225" s="31" t="s">
        <v>3</v>
      </c>
      <c r="J225" s="12" t="s">
        <v>333</v>
      </c>
      <c r="K225" s="53">
        <v>44134</v>
      </c>
      <c r="L225" s="53">
        <v>44082</v>
      </c>
      <c r="M225" s="12" t="s">
        <v>1672</v>
      </c>
      <c r="N225" s="12" t="s">
        <v>400</v>
      </c>
      <c r="O225" s="12" t="s">
        <v>326</v>
      </c>
      <c r="P225" s="12"/>
      <c r="Q225" s="12"/>
      <c r="R225" s="13"/>
      <c r="S225" s="4"/>
    </row>
    <row r="226" spans="2:19" ht="14" outlineLevel="1">
      <c r="B226" s="210"/>
      <c r="C226" s="210"/>
      <c r="D226" s="210"/>
      <c r="E226" s="237"/>
      <c r="F226" s="34"/>
      <c r="G226" s="34"/>
      <c r="H226" s="33" t="s">
        <v>318</v>
      </c>
      <c r="I226" s="31" t="s">
        <v>512</v>
      </c>
      <c r="J226" s="12" t="s">
        <v>332</v>
      </c>
      <c r="K226" s="53" t="s">
        <v>349</v>
      </c>
      <c r="L226" s="53">
        <v>44146</v>
      </c>
      <c r="M226" s="12" t="s">
        <v>1672</v>
      </c>
      <c r="N226" s="12" t="s">
        <v>584</v>
      </c>
      <c r="O226" s="12" t="s">
        <v>326</v>
      </c>
      <c r="P226" s="12"/>
      <c r="Q226" s="12"/>
      <c r="R226" s="13"/>
      <c r="S226" s="4"/>
    </row>
    <row r="227" spans="2:19" ht="14" outlineLevel="1">
      <c r="B227" s="210"/>
      <c r="C227" s="210"/>
      <c r="D227" s="210"/>
      <c r="E227" s="237"/>
      <c r="F227" s="34"/>
      <c r="G227" s="34"/>
      <c r="H227" s="33" t="s">
        <v>318</v>
      </c>
      <c r="I227" s="31" t="s">
        <v>654</v>
      </c>
      <c r="J227" s="12" t="s">
        <v>332</v>
      </c>
      <c r="K227" s="53" t="s">
        <v>349</v>
      </c>
      <c r="L227" s="53">
        <v>44181</v>
      </c>
      <c r="M227" s="12" t="s">
        <v>1672</v>
      </c>
      <c r="N227" s="12" t="s">
        <v>976</v>
      </c>
      <c r="O227" s="12" t="s">
        <v>326</v>
      </c>
      <c r="P227" s="12"/>
      <c r="Q227" s="12"/>
      <c r="R227" s="13"/>
      <c r="S227" s="4"/>
    </row>
    <row r="228" spans="2:19" ht="14" outlineLevel="1">
      <c r="B228" s="210"/>
      <c r="C228" s="210"/>
      <c r="D228" s="210"/>
      <c r="E228" s="237"/>
      <c r="F228" s="34"/>
      <c r="G228" s="34"/>
      <c r="H228" s="33" t="s">
        <v>318</v>
      </c>
      <c r="I228" s="31" t="s">
        <v>729</v>
      </c>
      <c r="J228" s="12" t="s">
        <v>332</v>
      </c>
      <c r="K228" s="53" t="s">
        <v>349</v>
      </c>
      <c r="L228" s="53">
        <v>44238</v>
      </c>
      <c r="M228" s="12" t="s">
        <v>1672</v>
      </c>
      <c r="N228" s="12" t="s">
        <v>977</v>
      </c>
      <c r="O228" s="12" t="s">
        <v>326</v>
      </c>
      <c r="P228" s="12"/>
      <c r="Q228" s="12"/>
      <c r="R228" s="13"/>
      <c r="S228" s="4"/>
    </row>
    <row r="229" spans="2:19" outlineLevel="1">
      <c r="B229" s="210"/>
      <c r="C229" s="210"/>
      <c r="D229" s="210"/>
      <c r="E229" s="237"/>
      <c r="F229" s="34"/>
      <c r="G229" s="34"/>
      <c r="H229" s="33" t="s">
        <v>2719</v>
      </c>
      <c r="I229" s="31"/>
      <c r="J229" s="12"/>
      <c r="K229" s="53"/>
      <c r="L229" s="53"/>
      <c r="M229" s="12"/>
      <c r="N229" s="12"/>
      <c r="O229" s="12"/>
      <c r="P229" s="12"/>
      <c r="Q229" s="12"/>
      <c r="R229" s="13"/>
      <c r="S229" s="4"/>
    </row>
    <row r="230" spans="2:19" outlineLevel="1">
      <c r="B230" s="210"/>
      <c r="C230" s="210"/>
      <c r="D230" s="210"/>
      <c r="E230" s="237"/>
      <c r="F230" s="34"/>
      <c r="G230" s="34"/>
      <c r="H230" s="33"/>
      <c r="I230" s="31"/>
      <c r="J230" s="12"/>
      <c r="K230" s="53"/>
      <c r="L230" s="53"/>
      <c r="M230" s="12"/>
      <c r="N230" s="12"/>
      <c r="O230" s="12"/>
      <c r="P230" s="12"/>
      <c r="Q230" s="12"/>
      <c r="R230" s="13"/>
      <c r="S230" s="4"/>
    </row>
    <row r="231" spans="2:19" ht="14" outlineLevel="1">
      <c r="B231" s="210"/>
      <c r="C231" s="210"/>
      <c r="D231" s="210"/>
      <c r="E231" s="237"/>
      <c r="F231" s="34" t="s">
        <v>29</v>
      </c>
      <c r="G231" s="34"/>
      <c r="H231" s="33" t="s">
        <v>972</v>
      </c>
      <c r="I231" s="31" t="s">
        <v>3</v>
      </c>
      <c r="J231" s="12" t="s">
        <v>333</v>
      </c>
      <c r="K231" s="53" t="s">
        <v>349</v>
      </c>
      <c r="L231" s="13">
        <v>44236</v>
      </c>
      <c r="M231" s="71" t="s">
        <v>2319</v>
      </c>
      <c r="N231" s="12" t="s">
        <v>975</v>
      </c>
      <c r="O231" s="12" t="s">
        <v>326</v>
      </c>
      <c r="P231" s="12"/>
      <c r="Q231" s="12"/>
      <c r="R231" s="13"/>
      <c r="S231" s="4"/>
    </row>
    <row r="232" spans="2:19" ht="14" outlineLevel="1">
      <c r="B232" s="210"/>
      <c r="C232" s="210"/>
      <c r="D232" s="210"/>
      <c r="E232" s="237"/>
      <c r="F232" s="34" t="s">
        <v>35</v>
      </c>
      <c r="G232" s="34"/>
      <c r="H232" s="33" t="s">
        <v>851</v>
      </c>
      <c r="I232" s="31" t="s">
        <v>3</v>
      </c>
      <c r="J232" s="12" t="s">
        <v>333</v>
      </c>
      <c r="K232" s="53">
        <v>44469</v>
      </c>
      <c r="L232" s="13">
        <v>44474</v>
      </c>
      <c r="M232" s="12" t="s">
        <v>2318</v>
      </c>
      <c r="N232" s="12" t="s">
        <v>2320</v>
      </c>
      <c r="O232" s="12" t="s">
        <v>326</v>
      </c>
      <c r="P232" s="12"/>
      <c r="Q232" s="12"/>
      <c r="R232" s="13"/>
      <c r="S232" s="4"/>
    </row>
    <row r="233" spans="2:19" outlineLevel="1">
      <c r="B233" s="210"/>
      <c r="C233" s="210"/>
      <c r="D233" s="210"/>
      <c r="E233" s="237"/>
      <c r="F233" s="34"/>
      <c r="G233" s="34"/>
      <c r="H233" s="33"/>
      <c r="I233" s="31"/>
      <c r="J233" s="12"/>
      <c r="K233" s="53"/>
      <c r="L233" s="12"/>
      <c r="M233" s="12"/>
      <c r="N233" s="12"/>
      <c r="O233" s="12"/>
      <c r="P233" s="12"/>
      <c r="Q233" s="12"/>
      <c r="R233" s="13"/>
      <c r="S233" s="4"/>
    </row>
    <row r="234" spans="2:19" ht="14" outlineLevel="1">
      <c r="B234" s="210"/>
      <c r="C234" s="210"/>
      <c r="D234" s="210"/>
      <c r="E234" s="237"/>
      <c r="F234" s="34" t="s">
        <v>36</v>
      </c>
      <c r="G234" s="34"/>
      <c r="H234" s="33" t="s">
        <v>317</v>
      </c>
      <c r="I234" s="31" t="s">
        <v>3</v>
      </c>
      <c r="J234" s="12" t="s">
        <v>333</v>
      </c>
      <c r="K234" s="53">
        <v>44081</v>
      </c>
      <c r="L234" s="53">
        <v>44082</v>
      </c>
      <c r="M234" s="12" t="s">
        <v>1672</v>
      </c>
      <c r="N234" s="12" t="s">
        <v>400</v>
      </c>
      <c r="O234" s="12" t="s">
        <v>326</v>
      </c>
      <c r="P234" s="12"/>
      <c r="Q234" s="12"/>
      <c r="R234" s="13"/>
      <c r="S234" s="4"/>
    </row>
    <row r="235" spans="2:19" ht="14" outlineLevel="1">
      <c r="B235" s="210"/>
      <c r="C235" s="210"/>
      <c r="D235" s="210"/>
      <c r="E235" s="237"/>
      <c r="F235" s="34"/>
      <c r="G235" s="34"/>
      <c r="H235" s="33" t="s">
        <v>317</v>
      </c>
      <c r="I235" s="31" t="s">
        <v>512</v>
      </c>
      <c r="J235" s="12" t="s">
        <v>332</v>
      </c>
      <c r="K235" s="53" t="s">
        <v>349</v>
      </c>
      <c r="L235" s="53">
        <v>44146</v>
      </c>
      <c r="M235" s="12" t="s">
        <v>1672</v>
      </c>
      <c r="N235" s="12" t="s">
        <v>584</v>
      </c>
      <c r="O235" s="12" t="s">
        <v>326</v>
      </c>
      <c r="P235" s="12"/>
      <c r="Q235" s="12"/>
      <c r="R235" s="13"/>
      <c r="S235" s="4"/>
    </row>
    <row r="236" spans="2:19" ht="14" outlineLevel="1">
      <c r="B236" s="210"/>
      <c r="C236" s="210"/>
      <c r="D236" s="210"/>
      <c r="E236" s="237"/>
      <c r="F236" s="34"/>
      <c r="G236" s="34"/>
      <c r="H236" s="33" t="s">
        <v>317</v>
      </c>
      <c r="I236" s="31" t="s">
        <v>654</v>
      </c>
      <c r="J236" s="12" t="s">
        <v>332</v>
      </c>
      <c r="K236" s="53" t="s">
        <v>349</v>
      </c>
      <c r="L236" s="53">
        <v>44181</v>
      </c>
      <c r="M236" s="12" t="s">
        <v>1672</v>
      </c>
      <c r="N236" s="12" t="s">
        <v>976</v>
      </c>
      <c r="O236" s="12" t="s">
        <v>326</v>
      </c>
      <c r="P236" s="12"/>
      <c r="Q236" s="12"/>
      <c r="R236" s="13"/>
      <c r="S236" s="4"/>
    </row>
    <row r="237" spans="2:19" ht="14" outlineLevel="1">
      <c r="B237" s="210"/>
      <c r="C237" s="210"/>
      <c r="D237" s="210"/>
      <c r="E237" s="237"/>
      <c r="F237" s="34"/>
      <c r="G237" s="34"/>
      <c r="H237" s="33" t="s">
        <v>317</v>
      </c>
      <c r="I237" s="31" t="s">
        <v>729</v>
      </c>
      <c r="J237" s="12" t="s">
        <v>332</v>
      </c>
      <c r="K237" s="53" t="s">
        <v>349</v>
      </c>
      <c r="L237" s="53">
        <v>44238</v>
      </c>
      <c r="M237" s="12" t="s">
        <v>1672</v>
      </c>
      <c r="N237" s="12" t="s">
        <v>977</v>
      </c>
      <c r="O237" s="12" t="s">
        <v>326</v>
      </c>
      <c r="P237" s="12"/>
      <c r="Q237" s="12"/>
      <c r="R237" s="13"/>
      <c r="S237" s="4"/>
    </row>
    <row r="238" spans="2:19" ht="14" outlineLevel="1">
      <c r="B238" s="210"/>
      <c r="C238" s="210"/>
      <c r="D238" s="210"/>
      <c r="E238" s="237"/>
      <c r="F238" s="34"/>
      <c r="G238" s="34"/>
      <c r="H238" s="33" t="s">
        <v>317</v>
      </c>
      <c r="I238" s="31" t="s">
        <v>730</v>
      </c>
      <c r="J238" s="12" t="s">
        <v>332</v>
      </c>
      <c r="K238" s="53" t="s">
        <v>349</v>
      </c>
      <c r="L238" s="53">
        <v>44326</v>
      </c>
      <c r="M238" s="12" t="s">
        <v>1672</v>
      </c>
      <c r="N238" s="12" t="s">
        <v>1670</v>
      </c>
      <c r="O238" s="12" t="s">
        <v>326</v>
      </c>
      <c r="P238" s="12"/>
      <c r="Q238" s="12"/>
      <c r="R238" s="13"/>
      <c r="S238" s="4"/>
    </row>
    <row r="239" spans="2:19" ht="14" outlineLevel="1">
      <c r="B239" s="210"/>
      <c r="C239" s="210"/>
      <c r="D239" s="210"/>
      <c r="E239" s="237"/>
      <c r="F239" s="34"/>
      <c r="G239" s="34"/>
      <c r="H239" s="33" t="s">
        <v>317</v>
      </c>
      <c r="I239" s="31" t="s">
        <v>1161</v>
      </c>
      <c r="J239" s="12" t="s">
        <v>332</v>
      </c>
      <c r="K239" s="53" t="s">
        <v>349</v>
      </c>
      <c r="L239" s="53">
        <v>44608</v>
      </c>
      <c r="M239" s="12" t="s">
        <v>1672</v>
      </c>
      <c r="N239" s="12" t="s">
        <v>2654</v>
      </c>
      <c r="O239" s="12" t="s">
        <v>326</v>
      </c>
      <c r="P239" s="12"/>
      <c r="Q239" s="12"/>
      <c r="R239" s="13"/>
      <c r="S239" s="4"/>
    </row>
    <row r="240" spans="2:19" ht="14" outlineLevel="1">
      <c r="B240" s="210"/>
      <c r="C240" s="210"/>
      <c r="D240" s="210"/>
      <c r="E240" s="237"/>
      <c r="F240" s="34"/>
      <c r="G240" s="34"/>
      <c r="H240" s="33" t="s">
        <v>317</v>
      </c>
      <c r="I240" s="31" t="s">
        <v>917</v>
      </c>
      <c r="J240" s="12" t="s">
        <v>332</v>
      </c>
      <c r="K240" s="53" t="s">
        <v>349</v>
      </c>
      <c r="L240" s="53">
        <v>44620</v>
      </c>
      <c r="M240" s="12" t="s">
        <v>1672</v>
      </c>
      <c r="N240" s="12" t="s">
        <v>2718</v>
      </c>
      <c r="O240" s="12" t="s">
        <v>326</v>
      </c>
      <c r="P240" s="12"/>
      <c r="Q240" s="12"/>
      <c r="R240" s="13"/>
      <c r="S240" s="4"/>
    </row>
    <row r="241" spans="2:19" ht="14" outlineLevel="1">
      <c r="B241" s="210"/>
      <c r="C241" s="210"/>
      <c r="D241" s="210"/>
      <c r="E241" s="237"/>
      <c r="F241" s="34"/>
      <c r="G241" s="34"/>
      <c r="H241" s="33" t="s">
        <v>317</v>
      </c>
      <c r="I241" s="31" t="s">
        <v>1221</v>
      </c>
      <c r="J241" s="12" t="s">
        <v>332</v>
      </c>
      <c r="K241" s="53" t="s">
        <v>349</v>
      </c>
      <c r="L241" s="53">
        <v>44946</v>
      </c>
      <c r="M241" s="12" t="s">
        <v>1672</v>
      </c>
      <c r="N241" s="12" t="s">
        <v>3395</v>
      </c>
      <c r="O241" s="12" t="s">
        <v>326</v>
      </c>
      <c r="P241" s="12"/>
      <c r="Q241" s="12"/>
      <c r="R241" s="13"/>
      <c r="S241" s="4"/>
    </row>
    <row r="242" spans="2:19" ht="14" outlineLevel="1">
      <c r="B242" s="210"/>
      <c r="C242" s="210"/>
      <c r="D242" s="210"/>
      <c r="E242" s="237"/>
      <c r="F242" s="34"/>
      <c r="G242" s="34"/>
      <c r="H242" s="33" t="s">
        <v>317</v>
      </c>
      <c r="I242" s="31" t="s">
        <v>2082</v>
      </c>
      <c r="J242" s="12" t="s">
        <v>332</v>
      </c>
      <c r="K242" s="53" t="s">
        <v>349</v>
      </c>
      <c r="L242" s="53">
        <v>44972</v>
      </c>
      <c r="M242" s="12" t="s">
        <v>1672</v>
      </c>
      <c r="N242" s="12" t="s">
        <v>3576</v>
      </c>
      <c r="O242" s="12" t="s">
        <v>326</v>
      </c>
      <c r="P242" s="12"/>
      <c r="Q242" s="12"/>
      <c r="R242" s="13"/>
      <c r="S242" s="4"/>
    </row>
    <row r="243" spans="2:19" ht="14" outlineLevel="1">
      <c r="B243" s="210"/>
      <c r="C243" s="210"/>
      <c r="D243" s="210"/>
      <c r="E243" s="237"/>
      <c r="F243" s="34"/>
      <c r="G243" s="34"/>
      <c r="H243" s="33" t="s">
        <v>317</v>
      </c>
      <c r="I243" s="31" t="s">
        <v>2859</v>
      </c>
      <c r="J243" s="12" t="s">
        <v>332</v>
      </c>
      <c r="K243" s="53" t="s">
        <v>349</v>
      </c>
      <c r="L243" s="53">
        <v>45170</v>
      </c>
      <c r="M243" s="12" t="s">
        <v>1672</v>
      </c>
      <c r="N243" s="12" t="s">
        <v>3848</v>
      </c>
      <c r="O243" s="12" t="s">
        <v>326</v>
      </c>
      <c r="P243" s="12"/>
      <c r="Q243" s="12"/>
      <c r="R243" s="13"/>
      <c r="S243" s="4"/>
    </row>
    <row r="244" spans="2:19" outlineLevel="1">
      <c r="B244" s="210"/>
      <c r="C244" s="210"/>
      <c r="D244" s="210"/>
      <c r="E244" s="237"/>
      <c r="F244" s="34"/>
      <c r="G244" s="34"/>
      <c r="H244" s="33"/>
      <c r="I244" s="31"/>
      <c r="J244" s="12"/>
      <c r="K244" s="53"/>
      <c r="L244" s="53"/>
      <c r="M244" s="12"/>
      <c r="N244" s="12"/>
      <c r="O244" s="12"/>
      <c r="P244" s="12"/>
      <c r="Q244" s="12"/>
      <c r="R244" s="13"/>
      <c r="S244" s="4"/>
    </row>
    <row r="245" spans="2:19" ht="14" outlineLevel="1">
      <c r="B245" s="210"/>
      <c r="C245" s="210"/>
      <c r="D245" s="210"/>
      <c r="E245" s="237"/>
      <c r="F245" s="34" t="s">
        <v>38</v>
      </c>
      <c r="G245" s="34"/>
      <c r="H245" s="33" t="s">
        <v>303</v>
      </c>
      <c r="I245" s="31" t="s">
        <v>3</v>
      </c>
      <c r="J245" s="12" t="s">
        <v>333</v>
      </c>
      <c r="K245" s="53">
        <v>44252</v>
      </c>
      <c r="L245" s="53">
        <v>44258</v>
      </c>
      <c r="M245" s="12" t="s">
        <v>3422</v>
      </c>
      <c r="N245" s="12" t="s">
        <v>1190</v>
      </c>
      <c r="O245" s="12" t="s">
        <v>326</v>
      </c>
      <c r="P245" s="12"/>
      <c r="Q245" s="12"/>
      <c r="R245" s="13"/>
      <c r="S245" s="4"/>
    </row>
    <row r="246" spans="2:19" ht="14" outlineLevel="1">
      <c r="B246" s="210"/>
      <c r="C246" s="210"/>
      <c r="D246" s="210"/>
      <c r="E246" s="237"/>
      <c r="F246" s="34"/>
      <c r="G246" s="34"/>
      <c r="H246" s="33" t="s">
        <v>303</v>
      </c>
      <c r="I246" s="31" t="s">
        <v>512</v>
      </c>
      <c r="J246" s="12" t="s">
        <v>333</v>
      </c>
      <c r="K246" s="53" t="s">
        <v>349</v>
      </c>
      <c r="L246" s="53">
        <v>44946</v>
      </c>
      <c r="M246" s="12" t="s">
        <v>3422</v>
      </c>
      <c r="N246" s="12" t="s">
        <v>3395</v>
      </c>
      <c r="O246" s="12" t="s">
        <v>326</v>
      </c>
      <c r="P246" s="12"/>
      <c r="Q246" s="12"/>
      <c r="R246" s="13"/>
      <c r="S246" s="4"/>
    </row>
    <row r="247" spans="2:19" outlineLevel="1">
      <c r="B247" s="210"/>
      <c r="C247" s="210"/>
      <c r="D247" s="211"/>
      <c r="E247" s="237"/>
      <c r="F247" s="34"/>
      <c r="G247" s="34"/>
      <c r="H247" s="33"/>
      <c r="I247" s="35"/>
      <c r="J247" s="12"/>
      <c r="K247" s="53"/>
      <c r="L247" s="53"/>
      <c r="M247" s="12"/>
      <c r="N247" s="12"/>
      <c r="O247" s="12"/>
      <c r="P247" s="12"/>
      <c r="Q247" s="12"/>
      <c r="R247" s="13"/>
      <c r="S247" s="4"/>
    </row>
    <row r="248" spans="2:19" ht="12.75" customHeight="1" outlineLevel="1">
      <c r="B248" s="210"/>
      <c r="C248" s="210"/>
      <c r="D248" s="34" t="s">
        <v>52</v>
      </c>
      <c r="E248" s="233" t="s">
        <v>85</v>
      </c>
      <c r="F248" s="233"/>
      <c r="G248" s="233"/>
      <c r="H248" s="233"/>
      <c r="I248" s="31"/>
      <c r="J248" s="12"/>
      <c r="K248" s="12"/>
      <c r="L248" s="12"/>
      <c r="M248" s="12"/>
      <c r="N248" s="12"/>
      <c r="O248" s="39" t="s">
        <v>26</v>
      </c>
      <c r="P248" s="12"/>
      <c r="Q248" s="39" t="s">
        <v>26</v>
      </c>
      <c r="R248" s="13"/>
      <c r="S248" s="4"/>
    </row>
    <row r="249" spans="2:19" outlineLevel="1">
      <c r="B249" s="210"/>
      <c r="C249" s="210"/>
      <c r="D249" s="247"/>
      <c r="E249" s="250"/>
      <c r="F249" s="82"/>
      <c r="G249" s="82"/>
      <c r="H249" s="82"/>
      <c r="I249" s="30"/>
      <c r="J249" s="39"/>
      <c r="K249" s="39"/>
      <c r="L249" s="39"/>
      <c r="M249" s="12"/>
      <c r="N249" s="12"/>
      <c r="O249" s="39"/>
      <c r="P249" s="39"/>
      <c r="Q249" s="12"/>
      <c r="R249" s="13"/>
      <c r="S249" s="3"/>
    </row>
    <row r="250" spans="2:19" ht="14" outlineLevel="1">
      <c r="B250" s="210"/>
      <c r="C250" s="210"/>
      <c r="D250" s="248"/>
      <c r="E250" s="250"/>
      <c r="F250" s="34" t="s">
        <v>27</v>
      </c>
      <c r="G250" s="34"/>
      <c r="H250" s="4"/>
      <c r="I250" s="35"/>
      <c r="J250" s="12"/>
      <c r="K250" s="12"/>
      <c r="L250" s="12"/>
      <c r="M250" s="12"/>
      <c r="N250" s="12"/>
      <c r="O250" s="12"/>
      <c r="P250" s="12"/>
      <c r="Q250" s="12"/>
      <c r="R250" s="13"/>
      <c r="S250" s="4"/>
    </row>
    <row r="251" spans="2:19" ht="14" outlineLevel="1">
      <c r="B251" s="210"/>
      <c r="C251" s="210"/>
      <c r="D251" s="248"/>
      <c r="E251" s="250"/>
      <c r="F251" s="34" t="s">
        <v>29</v>
      </c>
      <c r="G251" s="34"/>
      <c r="H251" s="4"/>
      <c r="I251" s="35"/>
      <c r="J251" s="12"/>
      <c r="K251" s="12"/>
      <c r="L251" s="12"/>
      <c r="M251" s="12"/>
      <c r="N251" s="12"/>
      <c r="O251" s="12"/>
      <c r="P251" s="12"/>
      <c r="Q251" s="12"/>
      <c r="R251" s="13"/>
      <c r="S251" s="3"/>
    </row>
    <row r="252" spans="2:19" outlineLevel="1">
      <c r="B252" s="211"/>
      <c r="C252" s="211"/>
      <c r="D252" s="249"/>
      <c r="E252" s="250"/>
      <c r="F252" s="34"/>
      <c r="G252" s="34"/>
      <c r="H252" s="4"/>
      <c r="I252" s="35"/>
      <c r="J252" s="12"/>
      <c r="K252" s="12"/>
      <c r="L252" s="12"/>
      <c r="M252" s="12"/>
      <c r="N252" s="12"/>
      <c r="O252" s="12"/>
      <c r="P252" s="12"/>
      <c r="Q252" s="12"/>
      <c r="R252" s="13"/>
      <c r="S252" s="3"/>
    </row>
    <row r="253" spans="2:19" ht="12.75" customHeight="1">
      <c r="B253" s="34" t="s">
        <v>86</v>
      </c>
      <c r="C253" s="218" t="s">
        <v>87</v>
      </c>
      <c r="D253" s="219"/>
      <c r="E253" s="219"/>
      <c r="F253" s="219"/>
      <c r="G253" s="219"/>
      <c r="H253" s="219"/>
      <c r="I253" s="219"/>
      <c r="J253" s="219"/>
      <c r="K253" s="219"/>
      <c r="L253" s="219"/>
      <c r="M253" s="219"/>
      <c r="N253" s="219"/>
      <c r="O253" s="219"/>
      <c r="P253" s="219"/>
      <c r="Q253" s="219"/>
      <c r="R253" s="220"/>
      <c r="S253" s="4"/>
    </row>
    <row r="254" spans="2:19" ht="28">
      <c r="B254" s="209"/>
      <c r="C254" s="209"/>
      <c r="D254" s="135" t="s">
        <v>24</v>
      </c>
      <c r="E254" s="233" t="s">
        <v>88</v>
      </c>
      <c r="F254" s="233"/>
      <c r="G254" s="233"/>
      <c r="H254" s="233"/>
      <c r="I254" s="82"/>
      <c r="J254" s="34"/>
      <c r="K254" s="82"/>
      <c r="L254" s="82"/>
      <c r="M254" s="82"/>
      <c r="N254" s="82"/>
      <c r="O254" s="82"/>
      <c r="P254" s="82"/>
      <c r="Q254" s="39" t="s">
        <v>26</v>
      </c>
      <c r="R254" s="137"/>
      <c r="S254" s="4"/>
    </row>
    <row r="255" spans="2:19" ht="12.75" hidden="1" customHeight="1" outlineLevel="1">
      <c r="B255" s="210"/>
      <c r="C255" s="210"/>
      <c r="D255" s="238"/>
      <c r="E255" s="234"/>
      <c r="F255" s="82"/>
      <c r="G255" s="82"/>
      <c r="H255" s="82"/>
      <c r="I255" s="30"/>
      <c r="J255" s="39"/>
      <c r="K255" s="39"/>
      <c r="L255" s="39"/>
      <c r="M255" s="12"/>
      <c r="N255" s="12"/>
      <c r="O255" s="39" t="s">
        <v>26</v>
      </c>
      <c r="P255" s="39"/>
      <c r="Q255" s="12"/>
      <c r="R255" s="137"/>
      <c r="S255" s="4"/>
    </row>
    <row r="256" spans="2:19" ht="12.75" hidden="1" customHeight="1" outlineLevel="1">
      <c r="B256" s="211"/>
      <c r="C256" s="211"/>
      <c r="D256" s="240"/>
      <c r="E256" s="234"/>
      <c r="F256" s="34" t="s">
        <v>27</v>
      </c>
      <c r="G256" s="34"/>
      <c r="H256" s="4"/>
      <c r="I256" s="31"/>
      <c r="J256" s="12"/>
      <c r="K256" s="12"/>
      <c r="L256" s="53"/>
      <c r="M256" s="12"/>
      <c r="N256" s="12"/>
      <c r="O256" s="12"/>
      <c r="P256" s="12"/>
      <c r="Q256" s="12"/>
      <c r="R256" s="137"/>
      <c r="S256" s="4"/>
    </row>
    <row r="257" spans="2:19" ht="12.75" customHeight="1" collapsed="1">
      <c r="B257" s="34" t="s">
        <v>89</v>
      </c>
      <c r="C257" s="218" t="s">
        <v>90</v>
      </c>
      <c r="D257" s="219"/>
      <c r="E257" s="219"/>
      <c r="F257" s="219"/>
      <c r="G257" s="219"/>
      <c r="H257" s="219"/>
      <c r="I257" s="219"/>
      <c r="J257" s="219"/>
      <c r="K257" s="219"/>
      <c r="L257" s="219"/>
      <c r="M257" s="219"/>
      <c r="N257" s="219"/>
      <c r="O257" s="219"/>
      <c r="P257" s="219"/>
      <c r="Q257" s="219"/>
      <c r="R257" s="220"/>
      <c r="S257" s="4"/>
    </row>
    <row r="258" spans="2:19" ht="28">
      <c r="B258" s="209"/>
      <c r="C258" s="209"/>
      <c r="D258" s="135" t="s">
        <v>24</v>
      </c>
      <c r="E258" s="218" t="s">
        <v>78</v>
      </c>
      <c r="F258" s="219"/>
      <c r="G258" s="219"/>
      <c r="H258" s="220"/>
      <c r="I258" s="82"/>
      <c r="J258" s="34"/>
      <c r="K258" s="82"/>
      <c r="L258" s="82"/>
      <c r="M258" s="82"/>
      <c r="N258" s="82"/>
      <c r="O258" s="39" t="s">
        <v>26</v>
      </c>
      <c r="P258" s="82"/>
      <c r="Q258" s="39" t="s">
        <v>26</v>
      </c>
      <c r="R258" s="137"/>
      <c r="S258" s="4"/>
    </row>
    <row r="259" spans="2:19" outlineLevel="1">
      <c r="B259" s="210"/>
      <c r="C259" s="210"/>
      <c r="D259" s="212"/>
      <c r="E259" s="212"/>
      <c r="F259" s="82"/>
      <c r="G259" s="82"/>
      <c r="H259" s="82"/>
      <c r="I259" s="30"/>
      <c r="J259" s="39"/>
      <c r="K259" s="39"/>
      <c r="L259" s="39"/>
      <c r="M259" s="12"/>
      <c r="N259" s="12"/>
      <c r="O259" s="39"/>
      <c r="P259" s="39"/>
      <c r="Q259" s="12"/>
      <c r="R259" s="13"/>
      <c r="S259" s="3"/>
    </row>
    <row r="260" spans="2:19" ht="14" outlineLevel="1">
      <c r="B260" s="210"/>
      <c r="C260" s="210"/>
      <c r="D260" s="213"/>
      <c r="E260" s="213"/>
      <c r="F260" s="34" t="s">
        <v>27</v>
      </c>
      <c r="G260" s="34"/>
      <c r="H260" s="4"/>
      <c r="I260" s="31"/>
      <c r="J260" s="12"/>
      <c r="K260" s="12"/>
      <c r="L260" s="12"/>
      <c r="M260" s="12"/>
      <c r="N260" s="12"/>
      <c r="O260" s="12"/>
      <c r="P260" s="12"/>
      <c r="Q260" s="12"/>
      <c r="R260" s="13"/>
      <c r="S260" s="3"/>
    </row>
    <row r="261" spans="2:19" ht="14" outlineLevel="1">
      <c r="B261" s="210"/>
      <c r="C261" s="210"/>
      <c r="D261" s="214"/>
      <c r="E261" s="214"/>
      <c r="F261" s="34" t="s">
        <v>29</v>
      </c>
      <c r="G261" s="34"/>
      <c r="H261" s="4"/>
      <c r="I261" s="31"/>
      <c r="J261" s="12"/>
      <c r="K261" s="12"/>
      <c r="L261" s="12"/>
      <c r="M261" s="12"/>
      <c r="N261" s="12"/>
      <c r="O261" s="12"/>
      <c r="P261" s="12"/>
      <c r="Q261" s="12"/>
      <c r="R261" s="13"/>
      <c r="S261" s="3"/>
    </row>
    <row r="262" spans="2:19" ht="12.75" customHeight="1" outlineLevel="1">
      <c r="B262" s="210"/>
      <c r="C262" s="210"/>
      <c r="D262" s="34" t="s">
        <v>31</v>
      </c>
      <c r="E262" s="218" t="s">
        <v>79</v>
      </c>
      <c r="F262" s="219"/>
      <c r="G262" s="219"/>
      <c r="H262" s="220"/>
      <c r="I262" s="31"/>
      <c r="J262" s="12"/>
      <c r="K262" s="12"/>
      <c r="L262" s="12"/>
      <c r="M262" s="12"/>
      <c r="N262" s="12"/>
      <c r="O262" s="12"/>
      <c r="P262" s="12"/>
      <c r="Q262" s="12"/>
      <c r="R262" s="13"/>
      <c r="S262" s="4"/>
    </row>
    <row r="263" spans="2:19" outlineLevel="1">
      <c r="B263" s="210"/>
      <c r="C263" s="210"/>
      <c r="D263" s="212"/>
      <c r="E263" s="212"/>
      <c r="F263" s="82"/>
      <c r="G263" s="82"/>
      <c r="H263" s="82"/>
      <c r="I263" s="30"/>
      <c r="J263" s="12"/>
      <c r="K263" s="12"/>
      <c r="L263" s="12"/>
      <c r="M263" s="12"/>
      <c r="N263" s="12"/>
      <c r="O263" s="12"/>
      <c r="P263" s="12"/>
      <c r="Q263" s="12"/>
      <c r="R263" s="13"/>
      <c r="S263" s="4"/>
    </row>
    <row r="264" spans="2:19" ht="14" outlineLevel="1">
      <c r="B264" s="210"/>
      <c r="C264" s="210"/>
      <c r="D264" s="213"/>
      <c r="E264" s="213"/>
      <c r="F264" s="34" t="s">
        <v>27</v>
      </c>
      <c r="G264" s="34"/>
      <c r="H264" s="33" t="s">
        <v>298</v>
      </c>
      <c r="I264" s="31" t="s">
        <v>3</v>
      </c>
      <c r="J264" s="12" t="s">
        <v>333</v>
      </c>
      <c r="K264" s="53">
        <v>44253</v>
      </c>
      <c r="L264" s="53">
        <v>44258</v>
      </c>
      <c r="M264" s="71" t="s">
        <v>1652</v>
      </c>
      <c r="N264" s="12" t="s">
        <v>1186</v>
      </c>
      <c r="O264" s="12" t="s">
        <v>326</v>
      </c>
      <c r="P264" s="12"/>
      <c r="Q264" s="12"/>
      <c r="R264" s="13"/>
      <c r="S264" s="4"/>
    </row>
    <row r="265" spans="2:19" outlineLevel="1">
      <c r="B265" s="210"/>
      <c r="C265" s="210"/>
      <c r="D265" s="213"/>
      <c r="E265" s="213"/>
      <c r="F265" s="34"/>
      <c r="G265" s="34"/>
      <c r="H265" s="33"/>
      <c r="I265" s="31"/>
      <c r="J265" s="12"/>
      <c r="K265" s="53"/>
      <c r="L265" s="53"/>
      <c r="M265" s="71"/>
      <c r="N265" s="12"/>
      <c r="O265" s="12"/>
      <c r="P265" s="12"/>
      <c r="Q265" s="12"/>
      <c r="R265" s="13"/>
      <c r="S265" s="4"/>
    </row>
    <row r="266" spans="2:19" ht="14" outlineLevel="1">
      <c r="B266" s="210"/>
      <c r="C266" s="210"/>
      <c r="D266" s="213"/>
      <c r="E266" s="213"/>
      <c r="F266" s="34" t="s">
        <v>29</v>
      </c>
      <c r="G266" s="34"/>
      <c r="H266" s="33" t="s">
        <v>1459</v>
      </c>
      <c r="I266" s="31" t="s">
        <v>3</v>
      </c>
      <c r="J266" s="12" t="s">
        <v>333</v>
      </c>
      <c r="K266" s="53">
        <v>44253</v>
      </c>
      <c r="L266" s="53">
        <v>44258</v>
      </c>
      <c r="M266" s="71" t="s">
        <v>1653</v>
      </c>
      <c r="N266" s="12" t="s">
        <v>1186</v>
      </c>
      <c r="O266" s="12" t="s">
        <v>326</v>
      </c>
      <c r="P266" s="12"/>
      <c r="Q266" s="12"/>
      <c r="R266" s="13"/>
      <c r="S266" s="4"/>
    </row>
    <row r="267" spans="2:19" outlineLevel="1">
      <c r="B267" s="210"/>
      <c r="C267" s="210"/>
      <c r="D267" s="213"/>
      <c r="E267" s="213"/>
      <c r="F267" s="34"/>
      <c r="G267" s="34"/>
      <c r="H267" s="33"/>
      <c r="I267" s="31"/>
      <c r="J267" s="12"/>
      <c r="K267" s="53"/>
      <c r="L267" s="53"/>
      <c r="M267" s="71"/>
      <c r="N267" s="12"/>
      <c r="O267" s="12"/>
      <c r="P267" s="12"/>
      <c r="Q267" s="12"/>
      <c r="R267" s="13"/>
      <c r="S267" s="4"/>
    </row>
    <row r="268" spans="2:19" ht="14" outlineLevel="1">
      <c r="B268" s="210"/>
      <c r="C268" s="210"/>
      <c r="D268" s="213"/>
      <c r="E268" s="213"/>
      <c r="F268" s="34"/>
      <c r="G268" s="34" t="s">
        <v>177</v>
      </c>
      <c r="H268" s="109" t="s">
        <v>2410</v>
      </c>
      <c r="I268" s="31" t="s">
        <v>3</v>
      </c>
      <c r="J268" s="12" t="s">
        <v>333</v>
      </c>
      <c r="K268" s="53" t="s">
        <v>50</v>
      </c>
      <c r="L268" s="53">
        <v>44349</v>
      </c>
      <c r="M268" s="71" t="s">
        <v>1653</v>
      </c>
      <c r="N268" s="12" t="s">
        <v>1745</v>
      </c>
      <c r="O268" s="12" t="s">
        <v>326</v>
      </c>
      <c r="P268" s="12"/>
      <c r="Q268" s="12"/>
      <c r="R268" s="13"/>
      <c r="S268" s="4"/>
    </row>
    <row r="269" spans="2:19" ht="14" outlineLevel="1">
      <c r="B269" s="210"/>
      <c r="C269" s="210"/>
      <c r="D269" s="213"/>
      <c r="E269" s="213"/>
      <c r="F269" s="34"/>
      <c r="G269" s="34" t="s">
        <v>181</v>
      </c>
      <c r="H269" s="109" t="s">
        <v>2411</v>
      </c>
      <c r="I269" s="31" t="s">
        <v>3</v>
      </c>
      <c r="J269" s="12" t="s">
        <v>333</v>
      </c>
      <c r="K269" s="53" t="s">
        <v>50</v>
      </c>
      <c r="L269" s="53">
        <v>44505</v>
      </c>
      <c r="M269" s="71" t="s">
        <v>1653</v>
      </c>
      <c r="N269" s="12" t="s">
        <v>2412</v>
      </c>
      <c r="O269" s="12" t="s">
        <v>326</v>
      </c>
      <c r="P269" s="12"/>
      <c r="Q269" s="12"/>
      <c r="R269" s="13"/>
      <c r="S269" s="4"/>
    </row>
    <row r="270" spans="2:19" ht="14" outlineLevel="1">
      <c r="B270" s="210"/>
      <c r="C270" s="210"/>
      <c r="D270" s="213"/>
      <c r="E270" s="213"/>
      <c r="F270" s="34"/>
      <c r="G270" s="34" t="s">
        <v>183</v>
      </c>
      <c r="H270" s="109" t="s">
        <v>3285</v>
      </c>
      <c r="I270" s="31" t="s">
        <v>3</v>
      </c>
      <c r="J270" s="12" t="s">
        <v>333</v>
      </c>
      <c r="K270" s="53" t="s">
        <v>349</v>
      </c>
      <c r="L270" s="53">
        <v>44839</v>
      </c>
      <c r="M270" s="71" t="s">
        <v>1653</v>
      </c>
      <c r="N270" s="12" t="s">
        <v>3286</v>
      </c>
      <c r="O270" s="12" t="s">
        <v>326</v>
      </c>
      <c r="P270" s="12"/>
      <c r="Q270" s="12"/>
      <c r="R270" s="13"/>
      <c r="S270" s="4"/>
    </row>
    <row r="271" spans="2:19" ht="14" outlineLevel="1">
      <c r="B271" s="210"/>
      <c r="C271" s="210"/>
      <c r="D271" s="213"/>
      <c r="E271" s="213"/>
      <c r="F271" s="34"/>
      <c r="G271" s="34" t="s">
        <v>184</v>
      </c>
      <c r="H271" s="109" t="s">
        <v>3599</v>
      </c>
      <c r="I271" s="31" t="s">
        <v>3</v>
      </c>
      <c r="J271" s="12" t="s">
        <v>333</v>
      </c>
      <c r="K271" s="53" t="s">
        <v>349</v>
      </c>
      <c r="L271" s="53">
        <v>44995</v>
      </c>
      <c r="M271" s="71" t="s">
        <v>1653</v>
      </c>
      <c r="N271" s="12" t="s">
        <v>3600</v>
      </c>
      <c r="O271" s="12" t="s">
        <v>326</v>
      </c>
      <c r="P271" s="12"/>
      <c r="Q271" s="12"/>
      <c r="R271" s="13"/>
      <c r="S271" s="4"/>
    </row>
    <row r="272" spans="2:19" ht="14" outlineLevel="1">
      <c r="B272" s="210"/>
      <c r="C272" s="210"/>
      <c r="D272" s="213"/>
      <c r="E272" s="213"/>
      <c r="F272" s="34"/>
      <c r="G272" s="34" t="s">
        <v>386</v>
      </c>
      <c r="H272" s="109" t="s">
        <v>4152</v>
      </c>
      <c r="I272" s="31" t="s">
        <v>3</v>
      </c>
      <c r="J272" s="12" t="s">
        <v>333</v>
      </c>
      <c r="K272" s="53" t="s">
        <v>349</v>
      </c>
      <c r="L272" s="53">
        <v>45271</v>
      </c>
      <c r="M272" s="71" t="s">
        <v>1653</v>
      </c>
      <c r="N272" s="12" t="s">
        <v>4151</v>
      </c>
      <c r="O272" s="12" t="s">
        <v>326</v>
      </c>
      <c r="P272" s="12"/>
      <c r="Q272" s="12"/>
      <c r="R272" s="13"/>
      <c r="S272" s="4"/>
    </row>
    <row r="273" spans="2:19" outlineLevel="1">
      <c r="B273" s="210"/>
      <c r="C273" s="210"/>
      <c r="D273" s="213"/>
      <c r="E273" s="213"/>
      <c r="F273" s="34"/>
      <c r="G273" s="34"/>
      <c r="H273" s="33"/>
      <c r="I273" s="31"/>
      <c r="J273" s="12"/>
      <c r="K273" s="53"/>
      <c r="L273" s="53"/>
      <c r="M273" s="71"/>
      <c r="N273" s="12"/>
      <c r="O273" s="12"/>
      <c r="P273" s="12"/>
      <c r="Q273" s="12"/>
      <c r="R273" s="13"/>
      <c r="S273" s="4"/>
    </row>
    <row r="274" spans="2:19" outlineLevel="1">
      <c r="B274" s="210"/>
      <c r="C274" s="210"/>
      <c r="D274" s="213"/>
      <c r="E274" s="213"/>
      <c r="F274" s="34"/>
      <c r="G274" s="34"/>
      <c r="H274" s="33"/>
      <c r="I274" s="31"/>
      <c r="J274" s="12"/>
      <c r="K274" s="53"/>
      <c r="L274" s="53"/>
      <c r="M274" s="71"/>
      <c r="N274" s="12"/>
      <c r="O274" s="12"/>
      <c r="P274" s="12"/>
      <c r="Q274" s="12"/>
      <c r="R274" s="13"/>
      <c r="S274" s="4"/>
    </row>
    <row r="275" spans="2:19" ht="14" outlineLevel="1">
      <c r="B275" s="210"/>
      <c r="C275" s="210"/>
      <c r="D275" s="213"/>
      <c r="E275" s="213"/>
      <c r="F275" s="34" t="s">
        <v>35</v>
      </c>
      <c r="G275" s="34"/>
      <c r="H275" s="33" t="s">
        <v>299</v>
      </c>
      <c r="I275" s="31" t="s">
        <v>3</v>
      </c>
      <c r="J275" s="12" t="s">
        <v>333</v>
      </c>
      <c r="K275" s="53">
        <v>44253</v>
      </c>
      <c r="L275" s="53">
        <v>44258</v>
      </c>
      <c r="M275" s="71" t="s">
        <v>1654</v>
      </c>
      <c r="N275" s="12" t="s">
        <v>1186</v>
      </c>
      <c r="O275" s="12" t="s">
        <v>326</v>
      </c>
      <c r="P275" s="12"/>
      <c r="Q275" s="12"/>
      <c r="R275" s="13"/>
      <c r="S275" s="4"/>
    </row>
    <row r="276" spans="2:19" ht="14" outlineLevel="1">
      <c r="B276" s="210"/>
      <c r="C276" s="210"/>
      <c r="D276" s="213"/>
      <c r="E276" s="213"/>
      <c r="F276" s="34"/>
      <c r="G276" s="34" t="s">
        <v>177</v>
      </c>
      <c r="H276" s="109" t="s">
        <v>2414</v>
      </c>
      <c r="I276" s="31" t="s">
        <v>3</v>
      </c>
      <c r="J276" s="12" t="s">
        <v>333</v>
      </c>
      <c r="K276" s="53" t="s">
        <v>349</v>
      </c>
      <c r="L276" s="53">
        <v>44349</v>
      </c>
      <c r="M276" s="71" t="s">
        <v>1654</v>
      </c>
      <c r="N276" s="12" t="s">
        <v>1745</v>
      </c>
      <c r="O276" s="12" t="s">
        <v>326</v>
      </c>
      <c r="P276" s="12"/>
      <c r="Q276" s="12"/>
      <c r="R276" s="13"/>
      <c r="S276" s="4"/>
    </row>
    <row r="277" spans="2:19" outlineLevel="1">
      <c r="B277" s="210"/>
      <c r="C277" s="210"/>
      <c r="D277" s="213"/>
      <c r="E277" s="213"/>
      <c r="F277" s="34"/>
      <c r="G277" s="34"/>
      <c r="H277" s="33"/>
      <c r="I277" s="31"/>
      <c r="J277" s="12"/>
      <c r="K277" s="53"/>
      <c r="L277" s="53"/>
      <c r="M277" s="71"/>
      <c r="N277" s="12"/>
      <c r="O277" s="12"/>
      <c r="P277" s="12"/>
      <c r="Q277" s="12"/>
      <c r="R277" s="13"/>
      <c r="S277" s="4"/>
    </row>
    <row r="278" spans="2:19" ht="14" outlineLevel="1">
      <c r="B278" s="210"/>
      <c r="C278" s="210"/>
      <c r="D278" s="213"/>
      <c r="E278" s="213"/>
      <c r="F278" s="34"/>
      <c r="G278" s="34"/>
      <c r="H278" s="33" t="s">
        <v>299</v>
      </c>
      <c r="I278" s="31" t="s">
        <v>512</v>
      </c>
      <c r="J278" s="12" t="s">
        <v>333</v>
      </c>
      <c r="K278" s="53" t="s">
        <v>349</v>
      </c>
      <c r="L278" s="53">
        <v>44481</v>
      </c>
      <c r="M278" s="71" t="s">
        <v>1654</v>
      </c>
      <c r="N278" s="12" t="s">
        <v>2357</v>
      </c>
      <c r="O278" s="12" t="s">
        <v>326</v>
      </c>
      <c r="P278" s="12"/>
      <c r="Q278" s="12"/>
      <c r="R278" s="13"/>
      <c r="S278" s="4"/>
    </row>
    <row r="279" spans="2:19" ht="14" outlineLevel="1">
      <c r="B279" s="210"/>
      <c r="C279" s="210"/>
      <c r="D279" s="213"/>
      <c r="E279" s="213"/>
      <c r="F279" s="34"/>
      <c r="G279" s="34" t="s">
        <v>181</v>
      </c>
      <c r="H279" s="109" t="s">
        <v>2413</v>
      </c>
      <c r="I279" s="31" t="s">
        <v>512</v>
      </c>
      <c r="J279" s="12" t="s">
        <v>333</v>
      </c>
      <c r="K279" s="53" t="s">
        <v>50</v>
      </c>
      <c r="L279" s="53">
        <v>44505</v>
      </c>
      <c r="M279" s="71" t="s">
        <v>1654</v>
      </c>
      <c r="N279" s="12" t="s">
        <v>2412</v>
      </c>
      <c r="O279" s="12" t="s">
        <v>326</v>
      </c>
      <c r="P279" s="12"/>
      <c r="Q279" s="12"/>
      <c r="R279" s="13"/>
      <c r="S279" s="4"/>
    </row>
    <row r="280" spans="2:19" ht="14" outlineLevel="1">
      <c r="B280" s="210"/>
      <c r="C280" s="210"/>
      <c r="D280" s="213"/>
      <c r="E280" s="213"/>
      <c r="F280" s="34"/>
      <c r="G280" s="34" t="s">
        <v>183</v>
      </c>
      <c r="H280" s="109" t="s">
        <v>3287</v>
      </c>
      <c r="I280" s="31" t="s">
        <v>512</v>
      </c>
      <c r="J280" s="12" t="s">
        <v>333</v>
      </c>
      <c r="K280" s="53" t="s">
        <v>349</v>
      </c>
      <c r="L280" s="53">
        <v>44839</v>
      </c>
      <c r="M280" s="71" t="s">
        <v>1654</v>
      </c>
      <c r="N280" s="12" t="s">
        <v>3286</v>
      </c>
      <c r="O280" s="12" t="s">
        <v>326</v>
      </c>
      <c r="P280" s="12"/>
      <c r="Q280" s="12"/>
      <c r="R280" s="13"/>
      <c r="S280" s="4"/>
    </row>
    <row r="281" spans="2:19" ht="14" outlineLevel="1">
      <c r="B281" s="210"/>
      <c r="C281" s="210"/>
      <c r="D281" s="213"/>
      <c r="E281" s="213"/>
      <c r="F281" s="34"/>
      <c r="G281" s="34" t="s">
        <v>184</v>
      </c>
      <c r="H281" s="109" t="s">
        <v>3601</v>
      </c>
      <c r="I281" s="31" t="s">
        <v>512</v>
      </c>
      <c r="J281" s="12" t="s">
        <v>333</v>
      </c>
      <c r="K281" s="53" t="s">
        <v>349</v>
      </c>
      <c r="L281" s="53">
        <v>44995</v>
      </c>
      <c r="M281" s="71" t="s">
        <v>1654</v>
      </c>
      <c r="N281" s="12" t="s">
        <v>3600</v>
      </c>
      <c r="O281" s="12" t="s">
        <v>326</v>
      </c>
      <c r="P281" s="12"/>
      <c r="Q281" s="12"/>
      <c r="R281" s="13"/>
      <c r="S281" s="4"/>
    </row>
    <row r="282" spans="2:19" ht="14" outlineLevel="1">
      <c r="B282" s="210"/>
      <c r="C282" s="210"/>
      <c r="D282" s="213"/>
      <c r="E282" s="213"/>
      <c r="F282" s="34"/>
      <c r="G282" s="34" t="s">
        <v>386</v>
      </c>
      <c r="H282" s="109" t="s">
        <v>4153</v>
      </c>
      <c r="I282" s="31" t="s">
        <v>512</v>
      </c>
      <c r="J282" s="12" t="s">
        <v>333</v>
      </c>
      <c r="K282" s="53" t="s">
        <v>349</v>
      </c>
      <c r="L282" s="53">
        <v>45271</v>
      </c>
      <c r="M282" s="71" t="s">
        <v>1654</v>
      </c>
      <c r="N282" s="12" t="s">
        <v>4151</v>
      </c>
      <c r="O282" s="12" t="s">
        <v>326</v>
      </c>
      <c r="P282" s="12"/>
      <c r="Q282" s="12"/>
      <c r="R282" s="13"/>
      <c r="S282" s="4"/>
    </row>
    <row r="283" spans="2:19" outlineLevel="1">
      <c r="B283" s="210"/>
      <c r="C283" s="210"/>
      <c r="D283" s="213"/>
      <c r="E283" s="213"/>
      <c r="F283" s="34"/>
      <c r="G283" s="34"/>
      <c r="H283" s="33"/>
      <c r="I283" s="31"/>
      <c r="J283" s="12"/>
      <c r="K283" s="53"/>
      <c r="L283" s="53"/>
      <c r="M283" s="71"/>
      <c r="N283" s="12"/>
      <c r="O283" s="12"/>
      <c r="P283" s="12"/>
      <c r="Q283" s="12"/>
      <c r="R283" s="13"/>
      <c r="S283" s="4"/>
    </row>
    <row r="284" spans="2:19" ht="14" outlineLevel="1">
      <c r="B284" s="210"/>
      <c r="C284" s="210"/>
      <c r="D284" s="213"/>
      <c r="E284" s="213"/>
      <c r="F284" s="34" t="s">
        <v>36</v>
      </c>
      <c r="G284" s="34"/>
      <c r="H284" s="33" t="s">
        <v>300</v>
      </c>
      <c r="I284" s="31" t="s">
        <v>3</v>
      </c>
      <c r="J284" s="12" t="s">
        <v>333</v>
      </c>
      <c r="K284" s="53">
        <v>44253</v>
      </c>
      <c r="L284" s="53">
        <v>44258</v>
      </c>
      <c r="M284" s="71" t="s">
        <v>1650</v>
      </c>
      <c r="N284" s="12" t="s">
        <v>1186</v>
      </c>
      <c r="O284" s="12" t="s">
        <v>326</v>
      </c>
      <c r="P284" s="12"/>
      <c r="Q284" s="12"/>
      <c r="R284" s="13"/>
      <c r="S284" s="4"/>
    </row>
    <row r="285" spans="2:19" ht="14" outlineLevel="1">
      <c r="B285" s="210"/>
      <c r="C285" s="210"/>
      <c r="D285" s="213"/>
      <c r="E285" s="213"/>
      <c r="F285" s="34"/>
      <c r="G285" s="34"/>
      <c r="H285" s="33" t="s">
        <v>300</v>
      </c>
      <c r="I285" s="31" t="s">
        <v>512</v>
      </c>
      <c r="J285" s="12" t="s">
        <v>332</v>
      </c>
      <c r="K285" s="53" t="s">
        <v>349</v>
      </c>
      <c r="L285" s="53">
        <v>44321</v>
      </c>
      <c r="M285" s="71" t="s">
        <v>1650</v>
      </c>
      <c r="N285" s="12" t="s">
        <v>1651</v>
      </c>
      <c r="O285" s="12" t="s">
        <v>326</v>
      </c>
      <c r="P285" s="12"/>
      <c r="Q285" s="12"/>
      <c r="R285" s="13"/>
      <c r="S285" s="4"/>
    </row>
    <row r="286" spans="2:19" ht="14" outlineLevel="1">
      <c r="B286" s="210"/>
      <c r="C286" s="210"/>
      <c r="D286" s="213"/>
      <c r="E286" s="213"/>
      <c r="F286" s="34"/>
      <c r="G286" s="34"/>
      <c r="H286" s="33" t="s">
        <v>300</v>
      </c>
      <c r="I286" s="31" t="s">
        <v>654</v>
      </c>
      <c r="J286" s="12" t="s">
        <v>332</v>
      </c>
      <c r="K286" s="53" t="s">
        <v>349</v>
      </c>
      <c r="L286" s="53">
        <v>44481</v>
      </c>
      <c r="M286" s="71" t="s">
        <v>1650</v>
      </c>
      <c r="N286" s="12" t="s">
        <v>2357</v>
      </c>
      <c r="O286" s="12" t="s">
        <v>326</v>
      </c>
      <c r="P286" s="12"/>
      <c r="Q286" s="12"/>
      <c r="R286" s="13"/>
      <c r="S286" s="4"/>
    </row>
    <row r="287" spans="2:19" ht="14" outlineLevel="1">
      <c r="B287" s="210"/>
      <c r="C287" s="210"/>
      <c r="D287" s="213"/>
      <c r="E287" s="213"/>
      <c r="F287" s="34"/>
      <c r="G287" s="34"/>
      <c r="H287" s="33" t="s">
        <v>300</v>
      </c>
      <c r="I287" s="31" t="s">
        <v>729</v>
      </c>
      <c r="J287" s="12" t="s">
        <v>332</v>
      </c>
      <c r="K287" s="53" t="s">
        <v>349</v>
      </c>
      <c r="L287" s="53">
        <v>44816</v>
      </c>
      <c r="M287" s="71" t="s">
        <v>1650</v>
      </c>
      <c r="N287" s="12" t="s">
        <v>3260</v>
      </c>
      <c r="O287" s="12" t="s">
        <v>326</v>
      </c>
      <c r="P287" s="12"/>
      <c r="Q287" s="12"/>
      <c r="R287" s="13"/>
      <c r="S287" s="4"/>
    </row>
    <row r="288" spans="2:19" outlineLevel="1">
      <c r="B288" s="210"/>
      <c r="C288" s="210"/>
      <c r="D288" s="213"/>
      <c r="E288" s="213"/>
      <c r="F288" s="34"/>
      <c r="G288" s="34"/>
      <c r="H288" s="33"/>
      <c r="I288" s="31"/>
      <c r="J288" s="12"/>
      <c r="K288" s="53"/>
      <c r="L288" s="53"/>
      <c r="M288" s="71"/>
      <c r="N288" s="12"/>
      <c r="O288" s="12"/>
      <c r="P288" s="12"/>
      <c r="Q288" s="12"/>
      <c r="R288" s="13"/>
      <c r="S288" s="4"/>
    </row>
    <row r="289" spans="2:19" ht="14" outlineLevel="1">
      <c r="B289" s="210"/>
      <c r="C289" s="210"/>
      <c r="D289" s="213"/>
      <c r="E289" s="213"/>
      <c r="F289" s="34"/>
      <c r="G289" s="34" t="s">
        <v>177</v>
      </c>
      <c r="H289" s="109" t="s">
        <v>2415</v>
      </c>
      <c r="I289" s="31" t="s">
        <v>512</v>
      </c>
      <c r="J289" s="12" t="s">
        <v>333</v>
      </c>
      <c r="K289" s="53" t="s">
        <v>349</v>
      </c>
      <c r="L289" s="53">
        <v>44349</v>
      </c>
      <c r="M289" s="71" t="s">
        <v>1650</v>
      </c>
      <c r="N289" s="12" t="s">
        <v>1745</v>
      </c>
      <c r="O289" s="12" t="s">
        <v>326</v>
      </c>
      <c r="P289" s="12"/>
      <c r="Q289" s="12"/>
      <c r="R289" s="13"/>
      <c r="S289" s="4"/>
    </row>
    <row r="290" spans="2:19" ht="14" outlineLevel="1">
      <c r="B290" s="210"/>
      <c r="C290" s="210"/>
      <c r="D290" s="213"/>
      <c r="E290" s="213"/>
      <c r="F290" s="34"/>
      <c r="G290" s="34"/>
      <c r="H290" s="33" t="s">
        <v>300</v>
      </c>
      <c r="I290" s="31" t="s">
        <v>654</v>
      </c>
      <c r="J290" s="12" t="s">
        <v>333</v>
      </c>
      <c r="K290" s="53" t="s">
        <v>349</v>
      </c>
      <c r="L290" s="53">
        <v>44481</v>
      </c>
      <c r="M290" s="71" t="s">
        <v>1650</v>
      </c>
      <c r="N290" s="12" t="s">
        <v>2357</v>
      </c>
      <c r="O290" s="12" t="s">
        <v>326</v>
      </c>
      <c r="P290" s="12"/>
      <c r="Q290" s="12"/>
      <c r="R290" s="13"/>
      <c r="S290" s="4"/>
    </row>
    <row r="291" spans="2:19" ht="14" outlineLevel="1">
      <c r="B291" s="210"/>
      <c r="C291" s="210"/>
      <c r="D291" s="213"/>
      <c r="E291" s="213"/>
      <c r="F291" s="34"/>
      <c r="G291" s="34" t="s">
        <v>181</v>
      </c>
      <c r="H291" s="109" t="s">
        <v>2416</v>
      </c>
      <c r="I291" s="31" t="s">
        <v>654</v>
      </c>
      <c r="J291" s="12" t="s">
        <v>333</v>
      </c>
      <c r="K291" s="53" t="s">
        <v>50</v>
      </c>
      <c r="L291" s="53">
        <v>44505</v>
      </c>
      <c r="M291" s="71" t="s">
        <v>1650</v>
      </c>
      <c r="N291" s="12" t="s">
        <v>2412</v>
      </c>
      <c r="O291" s="12" t="s">
        <v>326</v>
      </c>
      <c r="P291" s="12"/>
      <c r="Q291" s="12"/>
      <c r="R291" s="13"/>
      <c r="S291" s="4"/>
    </row>
    <row r="292" spans="2:19" ht="14" outlineLevel="1">
      <c r="B292" s="210"/>
      <c r="C292" s="210"/>
      <c r="D292" s="213"/>
      <c r="E292" s="213"/>
      <c r="F292" s="34"/>
      <c r="G292" s="34" t="s">
        <v>183</v>
      </c>
      <c r="H292" s="109" t="s">
        <v>3288</v>
      </c>
      <c r="I292" s="31" t="s">
        <v>654</v>
      </c>
      <c r="J292" s="12" t="s">
        <v>333</v>
      </c>
      <c r="K292" s="53" t="s">
        <v>349</v>
      </c>
      <c r="L292" s="53">
        <v>44839</v>
      </c>
      <c r="M292" s="71" t="s">
        <v>1650</v>
      </c>
      <c r="N292" s="12" t="s">
        <v>3286</v>
      </c>
      <c r="O292" s="12" t="s">
        <v>326</v>
      </c>
      <c r="P292" s="12"/>
      <c r="Q292" s="12"/>
      <c r="R292" s="13"/>
      <c r="S292" s="4"/>
    </row>
    <row r="293" spans="2:19" ht="14" outlineLevel="1">
      <c r="B293" s="210"/>
      <c r="C293" s="210"/>
      <c r="D293" s="213"/>
      <c r="E293" s="213"/>
      <c r="F293" s="34"/>
      <c r="G293" s="34" t="s">
        <v>184</v>
      </c>
      <c r="H293" s="109" t="s">
        <v>3602</v>
      </c>
      <c r="I293" s="31" t="s">
        <v>654</v>
      </c>
      <c r="J293" s="12" t="s">
        <v>333</v>
      </c>
      <c r="K293" s="53" t="s">
        <v>349</v>
      </c>
      <c r="L293" s="53">
        <v>44995</v>
      </c>
      <c r="M293" s="71" t="s">
        <v>1650</v>
      </c>
      <c r="N293" s="12" t="s">
        <v>3600</v>
      </c>
      <c r="O293" s="12" t="s">
        <v>326</v>
      </c>
      <c r="P293" s="12"/>
      <c r="Q293" s="12"/>
      <c r="R293" s="13"/>
      <c r="S293" s="4"/>
    </row>
    <row r="294" spans="2:19" ht="14" outlineLevel="1">
      <c r="B294" s="210"/>
      <c r="C294" s="210"/>
      <c r="D294" s="213"/>
      <c r="E294" s="213"/>
      <c r="F294" s="34"/>
      <c r="G294" s="34" t="s">
        <v>386</v>
      </c>
      <c r="H294" s="109" t="s">
        <v>4154</v>
      </c>
      <c r="I294" s="31" t="s">
        <v>729</v>
      </c>
      <c r="J294" s="12" t="s">
        <v>333</v>
      </c>
      <c r="K294" s="53" t="s">
        <v>349</v>
      </c>
      <c r="L294" s="53">
        <v>45271</v>
      </c>
      <c r="M294" s="71" t="s">
        <v>1650</v>
      </c>
      <c r="N294" s="12" t="s">
        <v>4151</v>
      </c>
      <c r="O294" s="12" t="s">
        <v>326</v>
      </c>
      <c r="P294" s="12"/>
      <c r="Q294" s="12"/>
      <c r="R294" s="13"/>
      <c r="S294" s="4"/>
    </row>
    <row r="295" spans="2:19" outlineLevel="1">
      <c r="B295" s="210"/>
      <c r="C295" s="210"/>
      <c r="D295" s="213"/>
      <c r="E295" s="213"/>
      <c r="F295" s="34"/>
      <c r="G295" s="34"/>
      <c r="H295" s="33"/>
      <c r="I295" s="31"/>
      <c r="J295" s="12"/>
      <c r="K295" s="53"/>
      <c r="L295" s="53"/>
      <c r="M295" s="71"/>
      <c r="N295" s="12"/>
      <c r="O295" s="12"/>
      <c r="P295" s="12"/>
      <c r="Q295" s="12"/>
      <c r="R295" s="13"/>
      <c r="S295" s="4"/>
    </row>
    <row r="296" spans="2:19" ht="14" outlineLevel="1">
      <c r="B296" s="210"/>
      <c r="C296" s="210"/>
      <c r="D296" s="213"/>
      <c r="E296" s="213"/>
      <c r="F296" s="34" t="s">
        <v>38</v>
      </c>
      <c r="G296" s="34"/>
      <c r="H296" s="33" t="s">
        <v>1187</v>
      </c>
      <c r="I296" s="31" t="s">
        <v>3</v>
      </c>
      <c r="J296" s="12" t="s">
        <v>333</v>
      </c>
      <c r="K296" s="53">
        <v>44319</v>
      </c>
      <c r="L296" s="53">
        <v>44258</v>
      </c>
      <c r="M296" s="71" t="s">
        <v>1655</v>
      </c>
      <c r="N296" s="12" t="s">
        <v>1186</v>
      </c>
      <c r="O296" s="12" t="s">
        <v>326</v>
      </c>
      <c r="P296" s="12"/>
      <c r="Q296" s="12"/>
      <c r="R296" s="13"/>
      <c r="S296" s="4"/>
    </row>
    <row r="297" spans="2:19" outlineLevel="1">
      <c r="B297" s="210"/>
      <c r="C297" s="210"/>
      <c r="D297" s="213"/>
      <c r="E297" s="213"/>
      <c r="F297" s="34"/>
      <c r="G297" s="34"/>
      <c r="H297" s="33"/>
      <c r="I297" s="31"/>
      <c r="J297" s="12"/>
      <c r="K297" s="53"/>
      <c r="L297" s="53"/>
      <c r="M297" s="71"/>
      <c r="N297" s="12"/>
      <c r="O297" s="12"/>
      <c r="P297" s="12"/>
      <c r="Q297" s="12"/>
      <c r="R297" s="13"/>
      <c r="S297" s="4"/>
    </row>
    <row r="298" spans="2:19" ht="14" outlineLevel="1">
      <c r="B298" s="210"/>
      <c r="C298" s="210"/>
      <c r="D298" s="213"/>
      <c r="E298" s="213"/>
      <c r="F298" s="34" t="s">
        <v>40</v>
      </c>
      <c r="G298" s="34"/>
      <c r="H298" s="33" t="s">
        <v>1177</v>
      </c>
      <c r="I298" s="31" t="s">
        <v>3</v>
      </c>
      <c r="J298" s="12" t="s">
        <v>333</v>
      </c>
      <c r="K298" s="53">
        <v>44319</v>
      </c>
      <c r="L298" s="53">
        <v>44258</v>
      </c>
      <c r="M298" s="71" t="s">
        <v>1656</v>
      </c>
      <c r="N298" s="12" t="s">
        <v>1186</v>
      </c>
      <c r="O298" s="12" t="s">
        <v>326</v>
      </c>
      <c r="P298" s="12"/>
      <c r="Q298" s="12"/>
      <c r="R298" s="13"/>
      <c r="S298" s="4"/>
    </row>
    <row r="299" spans="2:19" outlineLevel="1">
      <c r="B299" s="210"/>
      <c r="C299" s="210"/>
      <c r="D299" s="213"/>
      <c r="E299" s="213"/>
      <c r="F299" s="34"/>
      <c r="G299" s="34"/>
      <c r="H299" s="33"/>
      <c r="I299" s="31"/>
      <c r="J299" s="12"/>
      <c r="K299" s="53"/>
      <c r="L299" s="53"/>
      <c r="M299" s="71"/>
      <c r="N299" s="12"/>
      <c r="O299" s="12"/>
      <c r="P299" s="12"/>
      <c r="Q299" s="12"/>
      <c r="R299" s="13"/>
      <c r="S299" s="4"/>
    </row>
    <row r="300" spans="2:19" ht="14" outlineLevel="1">
      <c r="B300" s="210"/>
      <c r="C300" s="210"/>
      <c r="D300" s="213"/>
      <c r="E300" s="213"/>
      <c r="F300" s="34" t="s">
        <v>108</v>
      </c>
      <c r="G300" s="34"/>
      <c r="H300" s="33" t="s">
        <v>301</v>
      </c>
      <c r="I300" s="31" t="s">
        <v>3</v>
      </c>
      <c r="J300" s="12" t="s">
        <v>333</v>
      </c>
      <c r="K300" s="53">
        <v>44377</v>
      </c>
      <c r="L300" s="53">
        <v>44376</v>
      </c>
      <c r="M300" s="12" t="s">
        <v>1898</v>
      </c>
      <c r="N300" s="12" t="s">
        <v>1897</v>
      </c>
      <c r="O300" s="12" t="s">
        <v>326</v>
      </c>
      <c r="P300" s="12"/>
      <c r="Q300" s="12"/>
      <c r="R300" s="13"/>
      <c r="S300" s="4" t="s">
        <v>1657</v>
      </c>
    </row>
    <row r="301" spans="2:19" outlineLevel="1">
      <c r="B301" s="210"/>
      <c r="C301" s="210"/>
      <c r="D301" s="213"/>
      <c r="E301" s="213"/>
      <c r="F301" s="34"/>
      <c r="G301" s="34"/>
      <c r="H301" s="33"/>
      <c r="I301" s="31"/>
      <c r="J301" s="12"/>
      <c r="K301" s="53"/>
      <c r="L301" s="12"/>
      <c r="M301" s="12"/>
      <c r="N301" s="12"/>
      <c r="O301" s="12"/>
      <c r="P301" s="12"/>
      <c r="Q301" s="12"/>
      <c r="R301" s="13"/>
      <c r="S301" s="4"/>
    </row>
    <row r="302" spans="2:19" ht="14" outlineLevel="1">
      <c r="B302" s="210"/>
      <c r="C302" s="210"/>
      <c r="D302" s="213"/>
      <c r="E302" s="213"/>
      <c r="F302" s="34" t="s">
        <v>129</v>
      </c>
      <c r="G302" s="34"/>
      <c r="H302" s="33" t="s">
        <v>91</v>
      </c>
      <c r="I302" s="31" t="s">
        <v>3</v>
      </c>
      <c r="J302" s="12" t="s">
        <v>333</v>
      </c>
      <c r="K302" s="53">
        <v>44377</v>
      </c>
      <c r="L302" s="53">
        <v>44376</v>
      </c>
      <c r="M302" s="12" t="s">
        <v>1899</v>
      </c>
      <c r="N302" s="12" t="s">
        <v>1897</v>
      </c>
      <c r="O302" s="12" t="s">
        <v>326</v>
      </c>
      <c r="P302" s="12"/>
      <c r="Q302" s="12"/>
      <c r="R302" s="13"/>
      <c r="S302" s="4" t="s">
        <v>1657</v>
      </c>
    </row>
    <row r="303" spans="2:19" ht="14" outlineLevel="1">
      <c r="B303" s="210"/>
      <c r="C303" s="210"/>
      <c r="D303" s="213"/>
      <c r="E303" s="213"/>
      <c r="F303" s="34"/>
      <c r="G303" s="34"/>
      <c r="H303" s="33" t="s">
        <v>91</v>
      </c>
      <c r="I303" s="31" t="s">
        <v>512</v>
      </c>
      <c r="J303" s="12" t="s">
        <v>333</v>
      </c>
      <c r="K303" s="53" t="s">
        <v>349</v>
      </c>
      <c r="L303" s="53">
        <v>44816</v>
      </c>
      <c r="M303" s="12" t="s">
        <v>1899</v>
      </c>
      <c r="N303" s="12" t="s">
        <v>3260</v>
      </c>
      <c r="O303" s="12" t="s">
        <v>326</v>
      </c>
      <c r="P303" s="12"/>
      <c r="Q303" s="12"/>
      <c r="R303" s="13"/>
      <c r="S303" s="4"/>
    </row>
    <row r="304" spans="2:19" ht="14" outlineLevel="1">
      <c r="B304" s="210"/>
      <c r="C304" s="210"/>
      <c r="D304" s="213"/>
      <c r="E304" s="213"/>
      <c r="F304" s="34"/>
      <c r="G304" s="34"/>
      <c r="H304" s="33" t="s">
        <v>91</v>
      </c>
      <c r="I304" s="31" t="s">
        <v>654</v>
      </c>
      <c r="J304" s="12" t="s">
        <v>333</v>
      </c>
      <c r="K304" s="53" t="s">
        <v>349</v>
      </c>
      <c r="L304" s="53">
        <v>45350</v>
      </c>
      <c r="M304" s="12" t="s">
        <v>1899</v>
      </c>
      <c r="N304" s="12" t="s">
        <v>4253</v>
      </c>
      <c r="O304" s="12" t="s">
        <v>326</v>
      </c>
      <c r="P304" s="12"/>
      <c r="Q304" s="12"/>
      <c r="R304" s="13"/>
      <c r="S304" s="4"/>
    </row>
    <row r="305" spans="2:19" outlineLevel="1">
      <c r="B305" s="210"/>
      <c r="C305" s="210"/>
      <c r="D305" s="213"/>
      <c r="E305" s="213"/>
      <c r="F305" s="34"/>
      <c r="G305" s="34"/>
      <c r="H305" s="33"/>
      <c r="I305" s="31"/>
      <c r="J305" s="12"/>
      <c r="K305" s="53"/>
      <c r="L305" s="53"/>
      <c r="M305" s="12"/>
      <c r="N305" s="12"/>
      <c r="O305" s="12"/>
      <c r="P305" s="12"/>
      <c r="Q305" s="12"/>
      <c r="R305" s="13"/>
      <c r="S305" s="4"/>
    </row>
    <row r="306" spans="2:19" ht="14" outlineLevel="1">
      <c r="B306" s="210"/>
      <c r="C306" s="210"/>
      <c r="D306" s="213"/>
      <c r="E306" s="213"/>
      <c r="F306" s="34"/>
      <c r="G306" s="34" t="s">
        <v>3824</v>
      </c>
      <c r="H306" s="33" t="s">
        <v>3867</v>
      </c>
      <c r="I306" s="31" t="s">
        <v>3</v>
      </c>
      <c r="J306" s="12" t="s">
        <v>333</v>
      </c>
      <c r="K306" s="53" t="s">
        <v>349</v>
      </c>
      <c r="L306" s="53">
        <v>45170</v>
      </c>
      <c r="M306" s="12" t="s">
        <v>3861</v>
      </c>
      <c r="N306" s="12" t="s">
        <v>3865</v>
      </c>
      <c r="O306" s="12" t="s">
        <v>326</v>
      </c>
      <c r="P306" s="12"/>
      <c r="Q306" s="12"/>
      <c r="R306" s="13"/>
      <c r="S306" s="4"/>
    </row>
    <row r="307" spans="2:19" ht="14" outlineLevel="1">
      <c r="B307" s="210"/>
      <c r="C307" s="210"/>
      <c r="D307" s="213"/>
      <c r="E307" s="213"/>
      <c r="F307" s="34"/>
      <c r="G307" s="34"/>
      <c r="H307" s="33" t="s">
        <v>3825</v>
      </c>
      <c r="I307" s="31" t="s">
        <v>512</v>
      </c>
      <c r="J307" s="12" t="s">
        <v>333</v>
      </c>
      <c r="K307" s="53" t="s">
        <v>349</v>
      </c>
      <c r="L307" s="53">
        <v>45170</v>
      </c>
      <c r="M307" s="12" t="s">
        <v>3861</v>
      </c>
      <c r="N307" s="12" t="s">
        <v>3865</v>
      </c>
      <c r="O307" s="12" t="s">
        <v>326</v>
      </c>
      <c r="P307" s="12"/>
      <c r="Q307" s="12"/>
      <c r="R307" s="13"/>
      <c r="S307" s="4"/>
    </row>
    <row r="308" spans="2:19" outlineLevel="1">
      <c r="B308" s="210"/>
      <c r="C308" s="210"/>
      <c r="D308" s="213"/>
      <c r="E308" s="213"/>
      <c r="F308" s="34"/>
      <c r="G308" s="34"/>
      <c r="H308" s="33"/>
      <c r="I308" s="31"/>
      <c r="J308" s="12"/>
      <c r="K308" s="53"/>
      <c r="L308" s="53"/>
      <c r="M308" s="12"/>
      <c r="N308" s="12"/>
      <c r="O308" s="12"/>
      <c r="P308" s="12"/>
      <c r="Q308" s="12"/>
      <c r="R308" s="13"/>
      <c r="S308" s="4"/>
    </row>
    <row r="309" spans="2:19" outlineLevel="1">
      <c r="B309" s="210"/>
      <c r="C309" s="210"/>
      <c r="D309" s="213"/>
      <c r="E309" s="213"/>
      <c r="F309" s="34"/>
      <c r="G309" s="34"/>
      <c r="H309" s="3"/>
      <c r="I309" s="31"/>
      <c r="J309" s="12"/>
      <c r="K309" s="53"/>
      <c r="L309" s="12"/>
      <c r="M309" s="12"/>
      <c r="N309" s="12"/>
      <c r="O309" s="12"/>
      <c r="P309" s="12"/>
      <c r="Q309" s="12"/>
      <c r="R309" s="13"/>
      <c r="S309" s="4"/>
    </row>
    <row r="310" spans="2:19" ht="14" outlineLevel="1">
      <c r="B310" s="210"/>
      <c r="C310" s="210"/>
      <c r="D310" s="213"/>
      <c r="E310" s="213"/>
      <c r="F310" s="34" t="s">
        <v>134</v>
      </c>
      <c r="G310" s="34"/>
      <c r="H310" s="33" t="s">
        <v>1658</v>
      </c>
      <c r="I310" s="31" t="s">
        <v>3</v>
      </c>
      <c r="J310" s="12" t="s">
        <v>333</v>
      </c>
      <c r="K310" s="53" t="s">
        <v>349</v>
      </c>
      <c r="L310" s="53">
        <v>44322</v>
      </c>
      <c r="M310" s="12" t="s">
        <v>1660</v>
      </c>
      <c r="N310" s="12" t="s">
        <v>1662</v>
      </c>
      <c r="O310" s="12" t="s">
        <v>326</v>
      </c>
      <c r="P310" s="12"/>
      <c r="Q310" s="12"/>
      <c r="R310" s="13"/>
      <c r="S310" s="4"/>
    </row>
    <row r="311" spans="2:19" ht="14" outlineLevel="1">
      <c r="B311" s="210"/>
      <c r="C311" s="210"/>
      <c r="D311" s="213"/>
      <c r="E311" s="213"/>
      <c r="F311" s="34"/>
      <c r="G311" s="34"/>
      <c r="H311" s="33" t="s">
        <v>1658</v>
      </c>
      <c r="I311" s="31" t="s">
        <v>512</v>
      </c>
      <c r="J311" s="12" t="s">
        <v>333</v>
      </c>
      <c r="K311" s="53" t="s">
        <v>349</v>
      </c>
      <c r="L311" s="53">
        <v>44412</v>
      </c>
      <c r="M311" s="12" t="s">
        <v>1660</v>
      </c>
      <c r="N311" s="12" t="s">
        <v>2081</v>
      </c>
      <c r="O311" s="12" t="s">
        <v>326</v>
      </c>
      <c r="P311" s="12"/>
      <c r="Q311" s="12"/>
      <c r="R311" s="13"/>
      <c r="S311" s="4"/>
    </row>
    <row r="312" spans="2:19" ht="14" outlineLevel="1">
      <c r="B312" s="210"/>
      <c r="C312" s="210"/>
      <c r="D312" s="213"/>
      <c r="E312" s="213"/>
      <c r="F312" s="34"/>
      <c r="G312" s="34"/>
      <c r="H312" s="33" t="s">
        <v>1658</v>
      </c>
      <c r="I312" s="31" t="s">
        <v>729</v>
      </c>
      <c r="J312" s="12" t="s">
        <v>333</v>
      </c>
      <c r="K312" s="53" t="s">
        <v>349</v>
      </c>
      <c r="L312" s="53">
        <v>44608</v>
      </c>
      <c r="M312" s="12" t="s">
        <v>1660</v>
      </c>
      <c r="N312" s="12" t="s">
        <v>2657</v>
      </c>
      <c r="O312" s="12" t="s">
        <v>326</v>
      </c>
      <c r="P312" s="12"/>
      <c r="Q312" s="12"/>
      <c r="R312" s="13"/>
      <c r="S312" s="4"/>
    </row>
    <row r="313" spans="2:19" outlineLevel="1">
      <c r="B313" s="210"/>
      <c r="C313" s="210"/>
      <c r="D313" s="213"/>
      <c r="E313" s="213"/>
      <c r="F313" s="34"/>
      <c r="G313" s="34"/>
      <c r="H313" s="33"/>
      <c r="I313" s="31"/>
      <c r="J313" s="12"/>
      <c r="K313" s="53"/>
      <c r="L313" s="53"/>
      <c r="M313" s="12"/>
      <c r="N313" s="12"/>
      <c r="O313" s="12"/>
      <c r="P313" s="12"/>
      <c r="Q313" s="12"/>
      <c r="R313" s="13"/>
      <c r="S313" s="4"/>
    </row>
    <row r="314" spans="2:19" ht="14" outlineLevel="1">
      <c r="B314" s="210"/>
      <c r="C314" s="210"/>
      <c r="D314" s="213"/>
      <c r="E314" s="213"/>
      <c r="F314" s="34" t="s">
        <v>135</v>
      </c>
      <c r="G314" s="34"/>
      <c r="H314" s="33" t="s">
        <v>1659</v>
      </c>
      <c r="I314" s="31" t="s">
        <v>3</v>
      </c>
      <c r="J314" s="12" t="s">
        <v>333</v>
      </c>
      <c r="K314" s="53" t="s">
        <v>349</v>
      </c>
      <c r="L314" s="53">
        <v>44322</v>
      </c>
      <c r="M314" s="12" t="s">
        <v>1661</v>
      </c>
      <c r="N314" s="12" t="s">
        <v>1662</v>
      </c>
      <c r="O314" s="12" t="s">
        <v>326</v>
      </c>
      <c r="P314" s="12"/>
      <c r="Q314" s="12"/>
      <c r="R314" s="13"/>
      <c r="S314" s="4"/>
    </row>
    <row r="315" spans="2:19" ht="14" outlineLevel="1">
      <c r="B315" s="210"/>
      <c r="C315" s="210"/>
      <c r="D315" s="213"/>
      <c r="E315" s="213"/>
      <c r="F315" s="34"/>
      <c r="G315" s="34"/>
      <c r="H315" s="33" t="s">
        <v>1659</v>
      </c>
      <c r="I315" s="31" t="s">
        <v>512</v>
      </c>
      <c r="J315" s="12" t="s">
        <v>333</v>
      </c>
      <c r="K315" s="53" t="s">
        <v>349</v>
      </c>
      <c r="L315" s="53">
        <v>44532</v>
      </c>
      <c r="M315" s="12" t="s">
        <v>1661</v>
      </c>
      <c r="N315" s="12" t="s">
        <v>2501</v>
      </c>
      <c r="O315" s="12" t="s">
        <v>326</v>
      </c>
      <c r="P315" s="12"/>
      <c r="Q315" s="12"/>
      <c r="R315" s="13"/>
      <c r="S315" s="4"/>
    </row>
    <row r="316" spans="2:19" ht="14" outlineLevel="1">
      <c r="B316" s="210"/>
      <c r="C316" s="210"/>
      <c r="D316" s="213"/>
      <c r="E316" s="213"/>
      <c r="F316" s="34"/>
      <c r="G316" s="34"/>
      <c r="H316" s="33" t="s">
        <v>1659</v>
      </c>
      <c r="I316" s="31" t="s">
        <v>654</v>
      </c>
      <c r="J316" s="12" t="s">
        <v>333</v>
      </c>
      <c r="K316" s="53" t="s">
        <v>349</v>
      </c>
      <c r="L316" s="53">
        <v>44608</v>
      </c>
      <c r="M316" s="12" t="s">
        <v>1661</v>
      </c>
      <c r="N316" s="12" t="s">
        <v>2657</v>
      </c>
      <c r="O316" s="12" t="s">
        <v>326</v>
      </c>
      <c r="P316" s="12"/>
      <c r="Q316" s="12"/>
      <c r="R316" s="13"/>
      <c r="S316" s="4"/>
    </row>
    <row r="317" spans="2:19" ht="14" outlineLevel="1">
      <c r="B317" s="210"/>
      <c r="C317" s="210"/>
      <c r="D317" s="213"/>
      <c r="E317" s="213"/>
      <c r="F317" s="34"/>
      <c r="G317" s="34"/>
      <c r="H317" s="33" t="s">
        <v>1659</v>
      </c>
      <c r="I317" s="31" t="s">
        <v>729</v>
      </c>
      <c r="J317" s="12" t="s">
        <v>333</v>
      </c>
      <c r="K317" s="53" t="s">
        <v>349</v>
      </c>
      <c r="L317" s="53">
        <v>44816</v>
      </c>
      <c r="M317" s="12" t="s">
        <v>1661</v>
      </c>
      <c r="N317" s="12" t="s">
        <v>3260</v>
      </c>
      <c r="O317" s="12" t="s">
        <v>326</v>
      </c>
      <c r="P317" s="12"/>
      <c r="Q317" s="12"/>
      <c r="R317" s="13"/>
      <c r="S317" s="4"/>
    </row>
    <row r="318" spans="2:19" outlineLevel="1">
      <c r="B318" s="210"/>
      <c r="C318" s="210"/>
      <c r="D318" s="213"/>
      <c r="E318" s="213"/>
      <c r="F318" s="34"/>
      <c r="G318" s="34"/>
      <c r="H318" s="33"/>
      <c r="I318" s="31"/>
      <c r="J318" s="12"/>
      <c r="K318" s="53"/>
      <c r="L318" s="53"/>
      <c r="M318" s="12"/>
      <c r="N318" s="12"/>
      <c r="O318" s="12"/>
      <c r="P318" s="12"/>
      <c r="Q318" s="12"/>
      <c r="R318" s="13"/>
      <c r="S318" s="4"/>
    </row>
    <row r="319" spans="2:19" ht="14" outlineLevel="1">
      <c r="B319" s="210"/>
      <c r="C319" s="210"/>
      <c r="D319" s="213"/>
      <c r="E319" s="213"/>
      <c r="F319" s="34" t="s">
        <v>204</v>
      </c>
      <c r="G319" s="34"/>
      <c r="H319" s="33" t="s">
        <v>1679</v>
      </c>
      <c r="I319" s="31" t="s">
        <v>3</v>
      </c>
      <c r="J319" s="12" t="s">
        <v>333</v>
      </c>
      <c r="K319" s="53">
        <v>44377</v>
      </c>
      <c r="L319" s="53">
        <v>44376</v>
      </c>
      <c r="M319" s="12" t="s">
        <v>1678</v>
      </c>
      <c r="N319" s="12" t="s">
        <v>1897</v>
      </c>
      <c r="O319" s="12" t="s">
        <v>326</v>
      </c>
      <c r="P319" s="12"/>
      <c r="Q319" s="12"/>
      <c r="R319" s="13"/>
      <c r="S319" s="4"/>
    </row>
    <row r="320" spans="2:19" outlineLevel="1">
      <c r="B320" s="210"/>
      <c r="C320" s="210"/>
      <c r="D320" s="213"/>
      <c r="E320" s="213"/>
      <c r="F320" s="34"/>
      <c r="G320" s="34"/>
      <c r="H320" s="33"/>
      <c r="I320" s="31"/>
      <c r="J320" s="12"/>
      <c r="K320" s="53"/>
      <c r="L320" s="53"/>
      <c r="M320" s="12"/>
      <c r="N320" s="12"/>
      <c r="O320" s="12"/>
      <c r="P320" s="12"/>
      <c r="Q320" s="12"/>
      <c r="R320" s="13"/>
      <c r="S320" s="4"/>
    </row>
    <row r="321" spans="2:19" ht="14" outlineLevel="1">
      <c r="B321" s="210"/>
      <c r="C321" s="210"/>
      <c r="D321" s="213"/>
      <c r="E321" s="213"/>
      <c r="F321" s="34" t="s">
        <v>205</v>
      </c>
      <c r="G321" s="34"/>
      <c r="H321" s="33" t="s">
        <v>1680</v>
      </c>
      <c r="I321" s="31" t="s">
        <v>3</v>
      </c>
      <c r="J321" s="12" t="s">
        <v>333</v>
      </c>
      <c r="K321" s="53">
        <v>44377</v>
      </c>
      <c r="L321" s="53">
        <v>44376</v>
      </c>
      <c r="M321" s="12" t="s">
        <v>1681</v>
      </c>
      <c r="N321" s="12" t="s">
        <v>1897</v>
      </c>
      <c r="O321" s="12" t="s">
        <v>326</v>
      </c>
      <c r="P321" s="12"/>
      <c r="Q321" s="12"/>
      <c r="R321" s="13"/>
      <c r="S321" s="4"/>
    </row>
    <row r="322" spans="2:19" ht="14" outlineLevel="1">
      <c r="B322" s="210"/>
      <c r="C322" s="210"/>
      <c r="D322" s="213"/>
      <c r="E322" s="213"/>
      <c r="F322" s="34" t="s">
        <v>206</v>
      </c>
      <c r="G322" s="34"/>
      <c r="H322" s="33" t="s">
        <v>4114</v>
      </c>
      <c r="I322" s="31"/>
      <c r="J322" s="12"/>
      <c r="K322" s="53"/>
      <c r="L322" s="53"/>
      <c r="M322" s="12"/>
      <c r="N322" s="12"/>
      <c r="O322" s="12"/>
      <c r="P322" s="12"/>
      <c r="Q322" s="12"/>
      <c r="R322" s="13"/>
      <c r="S322" s="4"/>
    </row>
    <row r="323" spans="2:19" ht="14" outlineLevel="1">
      <c r="B323" s="210"/>
      <c r="C323" s="210"/>
      <c r="D323" s="213"/>
      <c r="E323" s="213"/>
      <c r="F323" s="34"/>
      <c r="G323" s="34"/>
      <c r="H323" s="109" t="s">
        <v>4143</v>
      </c>
      <c r="I323" s="31" t="s">
        <v>3</v>
      </c>
      <c r="J323" s="12" t="s">
        <v>332</v>
      </c>
      <c r="K323" s="53" t="s">
        <v>349</v>
      </c>
      <c r="L323" s="53">
        <v>45258</v>
      </c>
      <c r="M323" s="53" t="s">
        <v>349</v>
      </c>
      <c r="N323" s="12" t="s">
        <v>4140</v>
      </c>
      <c r="O323" s="12" t="s">
        <v>326</v>
      </c>
      <c r="P323" s="12"/>
      <c r="Q323" s="12"/>
      <c r="R323" s="13"/>
      <c r="S323" s="4"/>
    </row>
    <row r="324" spans="2:19" outlineLevel="1">
      <c r="B324" s="210"/>
      <c r="C324" s="210"/>
      <c r="D324" s="213"/>
      <c r="E324" s="213"/>
      <c r="F324" s="34"/>
      <c r="G324" s="34"/>
      <c r="H324" s="33"/>
      <c r="I324" s="31"/>
      <c r="J324" s="12"/>
      <c r="K324" s="53"/>
      <c r="L324" s="53"/>
      <c r="M324" s="12"/>
      <c r="N324" s="12"/>
      <c r="O324" s="12"/>
      <c r="P324" s="12"/>
      <c r="Q324" s="12"/>
      <c r="R324" s="13"/>
      <c r="S324" s="4"/>
    </row>
    <row r="325" spans="2:19" ht="12.75" customHeight="1" outlineLevel="1">
      <c r="B325" s="210"/>
      <c r="C325" s="210"/>
      <c r="D325" s="34" t="s">
        <v>33</v>
      </c>
      <c r="E325" s="218" t="s">
        <v>80</v>
      </c>
      <c r="F325" s="219"/>
      <c r="G325" s="219"/>
      <c r="H325" s="220"/>
      <c r="I325" s="31"/>
      <c r="J325" s="12"/>
      <c r="K325" s="12"/>
      <c r="L325" s="12"/>
      <c r="M325" s="12"/>
      <c r="N325" s="12"/>
      <c r="O325" s="12"/>
      <c r="P325" s="12"/>
      <c r="Q325" s="12"/>
      <c r="R325" s="13"/>
      <c r="S325" s="4"/>
    </row>
    <row r="326" spans="2:19" outlineLevel="1">
      <c r="B326" s="210"/>
      <c r="C326" s="210"/>
      <c r="D326" s="238"/>
      <c r="E326" s="234"/>
      <c r="F326" s="82"/>
      <c r="G326" s="82"/>
      <c r="H326" s="82"/>
      <c r="I326" s="30"/>
      <c r="J326" s="12"/>
      <c r="K326" s="12"/>
      <c r="L326" s="12"/>
      <c r="M326" s="138"/>
      <c r="N326" s="12"/>
      <c r="O326" s="12"/>
      <c r="P326" s="12"/>
      <c r="Q326" s="12"/>
      <c r="R326" s="13"/>
      <c r="S326" s="4"/>
    </row>
    <row r="327" spans="2:19" ht="14" outlineLevel="1">
      <c r="B327" s="210"/>
      <c r="C327" s="210"/>
      <c r="D327" s="239"/>
      <c r="E327" s="234"/>
      <c r="F327" s="34" t="s">
        <v>27</v>
      </c>
      <c r="G327" s="34"/>
      <c r="H327" s="4" t="s">
        <v>1697</v>
      </c>
      <c r="I327" s="31" t="s">
        <v>3</v>
      </c>
      <c r="J327" s="12" t="s">
        <v>333</v>
      </c>
      <c r="K327" s="53" t="s">
        <v>349</v>
      </c>
      <c r="L327" s="53">
        <v>44529</v>
      </c>
      <c r="M327" s="71" t="s">
        <v>2480</v>
      </c>
      <c r="N327" s="12" t="s">
        <v>2481</v>
      </c>
      <c r="O327" s="12" t="s">
        <v>326</v>
      </c>
      <c r="P327" s="12"/>
      <c r="Q327" s="12"/>
      <c r="R327" s="13"/>
      <c r="S327" s="4"/>
    </row>
    <row r="328" spans="2:19" ht="14" outlineLevel="1">
      <c r="B328" s="210"/>
      <c r="C328" s="210"/>
      <c r="D328" s="239"/>
      <c r="E328" s="234"/>
      <c r="F328" s="34"/>
      <c r="G328" s="34"/>
      <c r="H328" s="4" t="s">
        <v>1697</v>
      </c>
      <c r="I328" s="31" t="s">
        <v>729</v>
      </c>
      <c r="J328" s="12" t="s">
        <v>333</v>
      </c>
      <c r="K328" s="53" t="s">
        <v>349</v>
      </c>
      <c r="L328" s="53">
        <v>44893</v>
      </c>
      <c r="M328" s="71" t="s">
        <v>2480</v>
      </c>
      <c r="N328" s="12" t="s">
        <v>3336</v>
      </c>
      <c r="O328" s="12" t="s">
        <v>326</v>
      </c>
      <c r="P328" s="12"/>
      <c r="Q328" s="12"/>
      <c r="R328" s="13"/>
      <c r="S328" s="4"/>
    </row>
    <row r="329" spans="2:19" ht="14" outlineLevel="1">
      <c r="B329" s="210"/>
      <c r="C329" s="210"/>
      <c r="D329" s="239"/>
      <c r="E329" s="234"/>
      <c r="F329" s="34"/>
      <c r="G329" s="34"/>
      <c r="H329" s="4" t="s">
        <v>3345</v>
      </c>
      <c r="I329" s="31" t="s">
        <v>729</v>
      </c>
      <c r="J329" s="12" t="s">
        <v>333</v>
      </c>
      <c r="K329" s="53" t="s">
        <v>349</v>
      </c>
      <c r="L329" s="53">
        <v>44894</v>
      </c>
      <c r="M329" s="71" t="s">
        <v>2480</v>
      </c>
      <c r="N329" s="12" t="s">
        <v>3344</v>
      </c>
      <c r="O329" s="12" t="s">
        <v>326</v>
      </c>
      <c r="P329" s="12"/>
      <c r="Q329" s="12"/>
      <c r="R329" s="13"/>
      <c r="S329" s="4"/>
    </row>
    <row r="330" spans="2:19" ht="14" outlineLevel="1">
      <c r="B330" s="210"/>
      <c r="C330" s="210"/>
      <c r="D330" s="239"/>
      <c r="E330" s="234"/>
      <c r="F330" s="34"/>
      <c r="G330" s="34"/>
      <c r="H330" s="4" t="s">
        <v>1697</v>
      </c>
      <c r="I330" s="31" t="s">
        <v>1161</v>
      </c>
      <c r="J330" s="12" t="s">
        <v>333</v>
      </c>
      <c r="K330" s="53" t="s">
        <v>349</v>
      </c>
      <c r="L330" s="53">
        <v>45216</v>
      </c>
      <c r="M330" s="71" t="s">
        <v>2480</v>
      </c>
      <c r="N330" s="12" t="s">
        <v>3976</v>
      </c>
      <c r="O330" s="12" t="s">
        <v>326</v>
      </c>
      <c r="P330" s="12"/>
      <c r="Q330" s="12"/>
      <c r="R330" s="13"/>
      <c r="S330" s="4"/>
    </row>
    <row r="331" spans="2:19" ht="14" outlineLevel="1">
      <c r="B331" s="210"/>
      <c r="C331" s="210"/>
      <c r="D331" s="239"/>
      <c r="E331" s="234"/>
      <c r="F331" s="34"/>
      <c r="G331" s="34"/>
      <c r="H331" s="4" t="s">
        <v>3345</v>
      </c>
      <c r="I331" s="31" t="s">
        <v>1161</v>
      </c>
      <c r="J331" s="12" t="s">
        <v>333</v>
      </c>
      <c r="K331" s="53" t="s">
        <v>349</v>
      </c>
      <c r="L331" s="53">
        <v>45307</v>
      </c>
      <c r="M331" s="71" t="s">
        <v>2480</v>
      </c>
      <c r="N331" s="12" t="s">
        <v>4212</v>
      </c>
      <c r="O331" s="12" t="s">
        <v>326</v>
      </c>
      <c r="P331" s="12"/>
      <c r="Q331" s="12"/>
      <c r="R331" s="13"/>
      <c r="S331" s="4"/>
    </row>
    <row r="332" spans="2:19" outlineLevel="1">
      <c r="B332" s="210"/>
      <c r="C332" s="210"/>
      <c r="D332" s="239"/>
      <c r="E332" s="234"/>
      <c r="F332" s="34"/>
      <c r="G332" s="34"/>
      <c r="H332" s="4"/>
      <c r="I332" s="31"/>
      <c r="J332" s="12"/>
      <c r="K332" s="53"/>
      <c r="L332" s="53"/>
      <c r="M332" s="71"/>
      <c r="N332" s="12"/>
      <c r="O332" s="12"/>
      <c r="P332" s="12"/>
      <c r="Q332" s="12"/>
      <c r="R332" s="13"/>
      <c r="S332" s="4"/>
    </row>
    <row r="333" spans="2:19" ht="14" outlineLevel="1">
      <c r="B333" s="210"/>
      <c r="C333" s="210"/>
      <c r="D333" s="239"/>
      <c r="E333" s="234"/>
      <c r="F333" s="34" t="s">
        <v>29</v>
      </c>
      <c r="G333" s="34"/>
      <c r="H333" s="4" t="s">
        <v>1698</v>
      </c>
      <c r="I333" s="31" t="s">
        <v>3</v>
      </c>
      <c r="J333" s="12" t="s">
        <v>333</v>
      </c>
      <c r="K333" s="53" t="s">
        <v>349</v>
      </c>
      <c r="L333" s="53">
        <v>44529</v>
      </c>
      <c r="M333" s="71" t="s">
        <v>2479</v>
      </c>
      <c r="N333" s="12" t="s">
        <v>2481</v>
      </c>
      <c r="O333" s="12" t="s">
        <v>326</v>
      </c>
      <c r="P333" s="12"/>
      <c r="Q333" s="12"/>
      <c r="R333" s="13"/>
      <c r="S333" s="4"/>
    </row>
    <row r="334" spans="2:19" ht="14" outlineLevel="1">
      <c r="B334" s="210"/>
      <c r="C334" s="210"/>
      <c r="D334" s="239"/>
      <c r="E334" s="234"/>
      <c r="F334" s="34"/>
      <c r="G334" s="34"/>
      <c r="H334" s="4" t="s">
        <v>3351</v>
      </c>
      <c r="I334" s="31" t="s">
        <v>654</v>
      </c>
      <c r="J334" s="12" t="s">
        <v>333</v>
      </c>
      <c r="K334" s="53" t="s">
        <v>349</v>
      </c>
      <c r="L334" s="53">
        <v>44910</v>
      </c>
      <c r="M334" s="71" t="s">
        <v>2479</v>
      </c>
      <c r="N334" s="12" t="s">
        <v>3350</v>
      </c>
      <c r="O334" s="12" t="s">
        <v>326</v>
      </c>
      <c r="P334" s="12"/>
      <c r="Q334" s="12"/>
      <c r="R334" s="13"/>
      <c r="S334" s="4"/>
    </row>
    <row r="335" spans="2:19" ht="14" outlineLevel="1">
      <c r="B335" s="210"/>
      <c r="C335" s="210"/>
      <c r="D335" s="239"/>
      <c r="E335" s="234"/>
      <c r="F335" s="34"/>
      <c r="G335" s="34"/>
      <c r="H335" s="4" t="s">
        <v>1698</v>
      </c>
      <c r="I335" s="31" t="s">
        <v>729</v>
      </c>
      <c r="J335" s="12" t="s">
        <v>333</v>
      </c>
      <c r="K335" s="53" t="s">
        <v>349</v>
      </c>
      <c r="L335" s="53">
        <v>45170</v>
      </c>
      <c r="M335" s="71" t="s">
        <v>2479</v>
      </c>
      <c r="N335" s="12" t="s">
        <v>3848</v>
      </c>
      <c r="O335" s="12" t="s">
        <v>326</v>
      </c>
      <c r="P335" s="12"/>
      <c r="Q335" s="12"/>
      <c r="R335" s="13"/>
      <c r="S335" s="4"/>
    </row>
    <row r="336" spans="2:19" ht="14" outlineLevel="1">
      <c r="B336" s="210"/>
      <c r="C336" s="210"/>
      <c r="D336" s="239"/>
      <c r="E336" s="234"/>
      <c r="F336" s="34"/>
      <c r="G336" s="34"/>
      <c r="H336" s="4" t="s">
        <v>3351</v>
      </c>
      <c r="I336" s="31" t="s">
        <v>729</v>
      </c>
      <c r="J336" s="12" t="s">
        <v>333</v>
      </c>
      <c r="K336" s="53" t="s">
        <v>349</v>
      </c>
      <c r="L336" s="53">
        <v>45307</v>
      </c>
      <c r="M336" s="71" t="s">
        <v>2479</v>
      </c>
      <c r="N336" s="12" t="s">
        <v>4212</v>
      </c>
      <c r="O336" s="12" t="s">
        <v>326</v>
      </c>
      <c r="P336" s="12"/>
      <c r="Q336" s="12"/>
      <c r="R336" s="13"/>
      <c r="S336" s="4"/>
    </row>
    <row r="337" spans="2:19" outlineLevel="1">
      <c r="B337" s="210"/>
      <c r="C337" s="210"/>
      <c r="D337" s="239"/>
      <c r="E337" s="234"/>
      <c r="F337" s="34"/>
      <c r="G337" s="34"/>
      <c r="H337" s="4"/>
      <c r="I337" s="31"/>
      <c r="J337" s="12"/>
      <c r="K337" s="53"/>
      <c r="L337" s="12"/>
      <c r="M337" s="138"/>
      <c r="N337" s="12"/>
      <c r="O337" s="12"/>
      <c r="P337" s="12"/>
      <c r="Q337" s="12"/>
      <c r="R337" s="13"/>
      <c r="S337" s="4"/>
    </row>
    <row r="338" spans="2:19" ht="14" outlineLevel="1">
      <c r="B338" s="210"/>
      <c r="C338" s="210"/>
      <c r="D338" s="239"/>
      <c r="E338" s="234"/>
      <c r="F338" s="34" t="s">
        <v>35</v>
      </c>
      <c r="G338" s="34"/>
      <c r="H338" s="4" t="s">
        <v>2389</v>
      </c>
      <c r="I338" s="31"/>
      <c r="J338" s="12"/>
      <c r="K338" s="53"/>
      <c r="L338" s="12"/>
      <c r="M338" s="138"/>
      <c r="N338" s="12"/>
      <c r="O338" s="12"/>
      <c r="P338" s="12"/>
      <c r="Q338" s="12"/>
      <c r="R338" s="13"/>
      <c r="S338" s="4"/>
    </row>
    <row r="339" spans="2:19" ht="14" outlineLevel="1">
      <c r="B339" s="210"/>
      <c r="C339" s="210"/>
      <c r="D339" s="239"/>
      <c r="E339" s="234"/>
      <c r="F339" s="34"/>
      <c r="G339" s="34" t="s">
        <v>176</v>
      </c>
      <c r="H339" s="101" t="s">
        <v>2391</v>
      </c>
      <c r="I339" s="31" t="s">
        <v>3</v>
      </c>
      <c r="J339" s="12" t="s">
        <v>333</v>
      </c>
      <c r="K339" s="53" t="s">
        <v>349</v>
      </c>
      <c r="L339" s="53">
        <v>44498</v>
      </c>
      <c r="M339" s="71" t="s">
        <v>2398</v>
      </c>
      <c r="N339" s="71" t="s">
        <v>2402</v>
      </c>
      <c r="O339" s="12" t="s">
        <v>326</v>
      </c>
      <c r="P339" s="12"/>
      <c r="Q339" s="12"/>
      <c r="R339" s="13"/>
      <c r="S339" s="4"/>
    </row>
    <row r="340" spans="2:19" ht="14" outlineLevel="1">
      <c r="B340" s="210"/>
      <c r="C340" s="210"/>
      <c r="D340" s="239"/>
      <c r="E340" s="234"/>
      <c r="F340" s="34"/>
      <c r="G340" s="34" t="s">
        <v>177</v>
      </c>
      <c r="H340" s="101" t="s">
        <v>3196</v>
      </c>
      <c r="I340" s="31" t="s">
        <v>3</v>
      </c>
      <c r="J340" s="12" t="s">
        <v>333</v>
      </c>
      <c r="K340" s="53" t="s">
        <v>349</v>
      </c>
      <c r="L340" s="53">
        <v>44789</v>
      </c>
      <c r="M340" s="162" t="s">
        <v>3199</v>
      </c>
      <c r="N340" s="71" t="s">
        <v>3202</v>
      </c>
      <c r="O340" s="12" t="s">
        <v>326</v>
      </c>
      <c r="P340" s="12"/>
      <c r="Q340" s="12"/>
      <c r="R340" s="13"/>
      <c r="S340" s="4"/>
    </row>
    <row r="341" spans="2:19" ht="14" outlineLevel="1">
      <c r="B341" s="210"/>
      <c r="C341" s="210"/>
      <c r="D341" s="239"/>
      <c r="E341" s="234"/>
      <c r="F341" s="34"/>
      <c r="G341" s="34" t="s">
        <v>181</v>
      </c>
      <c r="H341" s="101" t="s">
        <v>3197</v>
      </c>
      <c r="I341" s="31" t="s">
        <v>3</v>
      </c>
      <c r="J341" s="12" t="s">
        <v>333</v>
      </c>
      <c r="K341" s="53" t="s">
        <v>349</v>
      </c>
      <c r="L341" s="53">
        <v>44789</v>
      </c>
      <c r="M341" s="162" t="s">
        <v>3200</v>
      </c>
      <c r="N341" s="71" t="s">
        <v>3202</v>
      </c>
      <c r="O341" s="12" t="s">
        <v>326</v>
      </c>
      <c r="P341" s="12"/>
      <c r="Q341" s="12"/>
      <c r="R341" s="13"/>
      <c r="S341" s="4"/>
    </row>
    <row r="342" spans="2:19" ht="14" outlineLevel="1">
      <c r="B342" s="210"/>
      <c r="C342" s="210"/>
      <c r="D342" s="239"/>
      <c r="E342" s="234"/>
      <c r="F342" s="34"/>
      <c r="G342" s="34" t="s">
        <v>183</v>
      </c>
      <c r="H342" s="101" t="s">
        <v>3198</v>
      </c>
      <c r="I342" s="31" t="s">
        <v>3</v>
      </c>
      <c r="J342" s="12" t="s">
        <v>333</v>
      </c>
      <c r="K342" s="53" t="s">
        <v>349</v>
      </c>
      <c r="L342" s="53">
        <v>44789</v>
      </c>
      <c r="M342" s="162" t="s">
        <v>3201</v>
      </c>
      <c r="N342" s="71" t="s">
        <v>3202</v>
      </c>
      <c r="O342" s="12" t="s">
        <v>326</v>
      </c>
      <c r="P342" s="12"/>
      <c r="Q342" s="12"/>
      <c r="R342" s="13"/>
      <c r="S342" s="4"/>
    </row>
    <row r="343" spans="2:19" outlineLevel="1">
      <c r="B343" s="210"/>
      <c r="C343" s="210"/>
      <c r="D343" s="239"/>
      <c r="E343" s="234"/>
      <c r="F343" s="34"/>
      <c r="G343" s="34"/>
      <c r="H343" s="101"/>
      <c r="I343" s="31"/>
      <c r="J343" s="12"/>
      <c r="K343" s="53"/>
      <c r="L343" s="12"/>
      <c r="M343" s="138"/>
      <c r="N343" s="12"/>
      <c r="O343" s="12"/>
      <c r="P343" s="12"/>
      <c r="Q343" s="12"/>
      <c r="R343" s="13"/>
      <c r="S343" s="4"/>
    </row>
    <row r="344" spans="2:19" ht="14" outlineLevel="1">
      <c r="B344" s="210"/>
      <c r="C344" s="210"/>
      <c r="D344" s="239"/>
      <c r="E344" s="234"/>
      <c r="F344" s="34" t="s">
        <v>36</v>
      </c>
      <c r="G344" s="34"/>
      <c r="H344" s="4" t="s">
        <v>2390</v>
      </c>
      <c r="I344" s="31"/>
      <c r="J344" s="12"/>
      <c r="K344" s="53"/>
      <c r="L344" s="12"/>
      <c r="M344" s="138"/>
      <c r="N344" s="12"/>
      <c r="O344" s="12"/>
      <c r="P344" s="12"/>
      <c r="Q344" s="12"/>
      <c r="R344" s="13"/>
      <c r="S344" s="4"/>
    </row>
    <row r="345" spans="2:19" ht="14" outlineLevel="1">
      <c r="B345" s="210"/>
      <c r="C345" s="210"/>
      <c r="D345" s="239"/>
      <c r="E345" s="234"/>
      <c r="F345" s="34"/>
      <c r="G345" s="34" t="s">
        <v>176</v>
      </c>
      <c r="H345" s="101" t="s">
        <v>2404</v>
      </c>
      <c r="I345" s="31" t="s">
        <v>3</v>
      </c>
      <c r="J345" s="12" t="s">
        <v>333</v>
      </c>
      <c r="K345" s="53" t="s">
        <v>349</v>
      </c>
      <c r="L345" s="53">
        <v>44498</v>
      </c>
      <c r="M345" s="71" t="s">
        <v>2401</v>
      </c>
      <c r="N345" s="71" t="s">
        <v>2402</v>
      </c>
      <c r="O345" s="12" t="s">
        <v>326</v>
      </c>
      <c r="P345" s="12"/>
      <c r="Q345" s="12"/>
      <c r="R345" s="13"/>
      <c r="S345" s="4"/>
    </row>
    <row r="346" spans="2:19" ht="14" outlineLevel="1">
      <c r="B346" s="210"/>
      <c r="C346" s="210"/>
      <c r="D346" s="239"/>
      <c r="E346" s="234"/>
      <c r="F346" s="34"/>
      <c r="G346" s="34"/>
      <c r="H346" s="101" t="s">
        <v>2404</v>
      </c>
      <c r="I346" s="31" t="s">
        <v>512</v>
      </c>
      <c r="J346" s="12" t="s">
        <v>333</v>
      </c>
      <c r="K346" s="53" t="s">
        <v>349</v>
      </c>
      <c r="L346" s="53">
        <v>44789</v>
      </c>
      <c r="M346" s="71" t="s">
        <v>2401</v>
      </c>
      <c r="N346" s="71" t="s">
        <v>3202</v>
      </c>
      <c r="O346" s="12" t="s">
        <v>326</v>
      </c>
      <c r="P346" s="12"/>
      <c r="Q346" s="12"/>
      <c r="R346" s="13"/>
      <c r="S346" s="4"/>
    </row>
    <row r="347" spans="2:19" outlineLevel="1">
      <c r="B347" s="210"/>
      <c r="C347" s="210"/>
      <c r="D347" s="239"/>
      <c r="E347" s="234"/>
      <c r="F347" s="34"/>
      <c r="G347" s="34"/>
      <c r="H347" s="101"/>
      <c r="I347" s="31"/>
      <c r="J347" s="12"/>
      <c r="K347" s="53"/>
      <c r="L347" s="53"/>
      <c r="M347" s="71"/>
      <c r="N347" s="71"/>
      <c r="O347" s="12"/>
      <c r="P347" s="12"/>
      <c r="Q347" s="12"/>
      <c r="R347" s="13"/>
      <c r="S347" s="4"/>
    </row>
    <row r="348" spans="2:19" ht="14" outlineLevel="1">
      <c r="B348" s="210"/>
      <c r="C348" s="210"/>
      <c r="D348" s="239"/>
      <c r="E348" s="234"/>
      <c r="F348" s="34"/>
      <c r="G348" s="34" t="s">
        <v>177</v>
      </c>
      <c r="H348" s="153" t="s">
        <v>2392</v>
      </c>
      <c r="I348" s="31" t="s">
        <v>3</v>
      </c>
      <c r="J348" s="12" t="s">
        <v>333</v>
      </c>
      <c r="K348" s="53" t="s">
        <v>349</v>
      </c>
      <c r="L348" s="53">
        <v>44498</v>
      </c>
      <c r="M348" s="71" t="s">
        <v>2399</v>
      </c>
      <c r="N348" s="71" t="s">
        <v>2402</v>
      </c>
      <c r="O348" s="12" t="s">
        <v>326</v>
      </c>
      <c r="P348" s="12"/>
      <c r="Q348" s="12"/>
      <c r="R348" s="13"/>
      <c r="S348" s="4"/>
    </row>
    <row r="349" spans="2:19" ht="14" outlineLevel="1">
      <c r="B349" s="210"/>
      <c r="C349" s="210"/>
      <c r="D349" s="239"/>
      <c r="E349" s="234"/>
      <c r="F349" s="34"/>
      <c r="G349" s="34" t="s">
        <v>181</v>
      </c>
      <c r="H349" s="153" t="s">
        <v>2393</v>
      </c>
      <c r="I349" s="31" t="s">
        <v>3</v>
      </c>
      <c r="J349" s="12" t="s">
        <v>333</v>
      </c>
      <c r="K349" s="53" t="s">
        <v>349</v>
      </c>
      <c r="L349" s="53">
        <v>44498</v>
      </c>
      <c r="M349" s="71" t="s">
        <v>2400</v>
      </c>
      <c r="N349" s="71" t="s">
        <v>2402</v>
      </c>
      <c r="O349" s="12" t="s">
        <v>326</v>
      </c>
      <c r="P349" s="12"/>
      <c r="Q349" s="12"/>
      <c r="R349" s="13"/>
      <c r="S349" s="4"/>
    </row>
    <row r="350" spans="2:19" ht="14" outlineLevel="1">
      <c r="B350" s="210"/>
      <c r="C350" s="210"/>
      <c r="D350" s="239"/>
      <c r="E350" s="234"/>
      <c r="F350" s="34"/>
      <c r="G350" s="34" t="s">
        <v>183</v>
      </c>
      <c r="H350" s="153" t="s">
        <v>2447</v>
      </c>
      <c r="I350" s="31" t="s">
        <v>3</v>
      </c>
      <c r="J350" s="12" t="s">
        <v>333</v>
      </c>
      <c r="K350" s="53" t="s">
        <v>349</v>
      </c>
      <c r="L350" s="53">
        <v>44515</v>
      </c>
      <c r="M350" s="162" t="s">
        <v>2449</v>
      </c>
      <c r="N350" s="71" t="s">
        <v>2451</v>
      </c>
      <c r="O350" s="12" t="s">
        <v>326</v>
      </c>
      <c r="P350" s="12"/>
      <c r="Q350" s="12"/>
      <c r="R350" s="13"/>
      <c r="S350" s="4"/>
    </row>
    <row r="351" spans="2:19" ht="14" outlineLevel="1">
      <c r="B351" s="210"/>
      <c r="C351" s="210"/>
      <c r="D351" s="239"/>
      <c r="E351" s="234"/>
      <c r="F351" s="34"/>
      <c r="G351" s="34"/>
      <c r="H351" s="153" t="s">
        <v>2447</v>
      </c>
      <c r="I351" s="31" t="s">
        <v>512</v>
      </c>
      <c r="J351" s="12" t="s">
        <v>333</v>
      </c>
      <c r="K351" s="53" t="s">
        <v>349</v>
      </c>
      <c r="L351" s="53">
        <v>44789</v>
      </c>
      <c r="M351" s="162" t="s">
        <v>2449</v>
      </c>
      <c r="N351" s="71" t="s">
        <v>3202</v>
      </c>
      <c r="O351" s="12" t="s">
        <v>326</v>
      </c>
      <c r="P351" s="12"/>
      <c r="Q351" s="12"/>
      <c r="R351" s="13"/>
      <c r="S351" s="4"/>
    </row>
    <row r="352" spans="2:19" outlineLevel="1">
      <c r="B352" s="210"/>
      <c r="C352" s="210"/>
      <c r="D352" s="239"/>
      <c r="E352" s="234"/>
      <c r="F352" s="34"/>
      <c r="G352" s="34"/>
      <c r="H352" s="153"/>
      <c r="I352" s="31"/>
      <c r="J352" s="12"/>
      <c r="K352" s="53"/>
      <c r="L352" s="53"/>
      <c r="M352" s="162"/>
      <c r="N352" s="71"/>
      <c r="O352" s="12"/>
      <c r="P352" s="12"/>
      <c r="Q352" s="12"/>
      <c r="R352" s="13"/>
      <c r="S352" s="4"/>
    </row>
    <row r="353" spans="2:19" ht="14" outlineLevel="1">
      <c r="B353" s="210"/>
      <c r="C353" s="210"/>
      <c r="D353" s="239"/>
      <c r="E353" s="234"/>
      <c r="F353" s="34"/>
      <c r="G353" s="34" t="s">
        <v>184</v>
      </c>
      <c r="H353" s="153" t="s">
        <v>2448</v>
      </c>
      <c r="I353" s="31" t="s">
        <v>512</v>
      </c>
      <c r="J353" s="12" t="s">
        <v>333</v>
      </c>
      <c r="K353" s="53" t="s">
        <v>349</v>
      </c>
      <c r="L353" s="53">
        <v>44515</v>
      </c>
      <c r="M353" s="162" t="s">
        <v>2450</v>
      </c>
      <c r="N353" s="71" t="s">
        <v>2451</v>
      </c>
      <c r="O353" s="12" t="s">
        <v>326</v>
      </c>
      <c r="P353" s="12"/>
      <c r="Q353" s="12"/>
      <c r="R353" s="13"/>
      <c r="S353" s="4"/>
    </row>
    <row r="354" spans="2:19" ht="14" outlineLevel="1">
      <c r="B354" s="210"/>
      <c r="C354" s="210"/>
      <c r="D354" s="239"/>
      <c r="E354" s="234"/>
      <c r="F354" s="34"/>
      <c r="G354" s="34"/>
      <c r="H354" s="153" t="s">
        <v>2448</v>
      </c>
      <c r="I354" s="31" t="s">
        <v>654</v>
      </c>
      <c r="J354" s="12" t="s">
        <v>333</v>
      </c>
      <c r="K354" s="53" t="s">
        <v>349</v>
      </c>
      <c r="L354" s="53">
        <v>44701</v>
      </c>
      <c r="M354" s="162" t="s">
        <v>2450</v>
      </c>
      <c r="N354" s="71" t="s">
        <v>2915</v>
      </c>
      <c r="O354" s="12" t="s">
        <v>326</v>
      </c>
      <c r="P354" s="12"/>
      <c r="Q354" s="12"/>
      <c r="R354" s="13"/>
      <c r="S354" s="4"/>
    </row>
    <row r="355" spans="2:19" outlineLevel="1">
      <c r="B355" s="210"/>
      <c r="C355" s="210"/>
      <c r="D355" s="239"/>
      <c r="E355" s="234"/>
      <c r="F355" s="34"/>
      <c r="G355" s="34"/>
      <c r="H355" s="153"/>
      <c r="I355" s="31"/>
      <c r="J355" s="12"/>
      <c r="K355" s="53"/>
      <c r="L355" s="53"/>
      <c r="M355" s="162"/>
      <c r="N355" s="71"/>
      <c r="O355" s="12"/>
      <c r="P355" s="12"/>
      <c r="Q355" s="12"/>
      <c r="R355" s="13"/>
      <c r="S355" s="4"/>
    </row>
    <row r="356" spans="2:19" ht="14" outlineLevel="1">
      <c r="B356" s="210"/>
      <c r="C356" s="210"/>
      <c r="D356" s="239"/>
      <c r="E356" s="234"/>
      <c r="F356" s="34" t="s">
        <v>38</v>
      </c>
      <c r="G356" s="34"/>
      <c r="H356" s="70" t="s">
        <v>2558</v>
      </c>
      <c r="I356" s="31" t="s">
        <v>3</v>
      </c>
      <c r="J356" s="12" t="s">
        <v>332</v>
      </c>
      <c r="K356" s="53" t="s">
        <v>349</v>
      </c>
      <c r="L356" s="53">
        <v>44540</v>
      </c>
      <c r="M356" s="162" t="s">
        <v>2556</v>
      </c>
      <c r="N356" s="71" t="s">
        <v>2557</v>
      </c>
      <c r="O356" s="12" t="s">
        <v>326</v>
      </c>
      <c r="P356" s="12"/>
      <c r="Q356" s="12"/>
      <c r="R356" s="13"/>
      <c r="S356" s="4"/>
    </row>
    <row r="357" spans="2:19" outlineLevel="1">
      <c r="B357" s="210"/>
      <c r="C357" s="210"/>
      <c r="D357" s="239"/>
      <c r="E357" s="234"/>
      <c r="F357" s="34"/>
      <c r="G357" s="34"/>
      <c r="H357" s="153"/>
      <c r="I357" s="31"/>
      <c r="J357" s="12"/>
      <c r="K357" s="53"/>
      <c r="L357" s="53"/>
      <c r="M357" s="162"/>
      <c r="N357" s="71"/>
      <c r="O357" s="12"/>
      <c r="P357" s="12"/>
      <c r="Q357" s="12"/>
      <c r="R357" s="13"/>
      <c r="S357" s="4"/>
    </row>
    <row r="358" spans="2:19" ht="14" outlineLevel="1">
      <c r="B358" s="210"/>
      <c r="C358" s="210"/>
      <c r="D358" s="239"/>
      <c r="E358" s="234"/>
      <c r="F358" s="34" t="s">
        <v>40</v>
      </c>
      <c r="G358" s="34"/>
      <c r="H358" s="153"/>
      <c r="I358" s="31"/>
      <c r="J358" s="12"/>
      <c r="K358" s="53"/>
      <c r="L358" s="53"/>
      <c r="M358" s="162"/>
      <c r="N358" s="71"/>
      <c r="O358" s="12"/>
      <c r="P358" s="12"/>
      <c r="Q358" s="12"/>
      <c r="R358" s="13"/>
      <c r="S358" s="4"/>
    </row>
    <row r="359" spans="2:19" ht="14" outlineLevel="1">
      <c r="B359" s="210"/>
      <c r="C359" s="210"/>
      <c r="D359" s="239"/>
      <c r="E359" s="234"/>
      <c r="F359" s="34"/>
      <c r="G359" s="34" t="s">
        <v>176</v>
      </c>
      <c r="H359" s="70" t="s">
        <v>2734</v>
      </c>
      <c r="I359" s="53" t="s">
        <v>349</v>
      </c>
      <c r="J359" s="12" t="s">
        <v>333</v>
      </c>
      <c r="K359" s="53" t="s">
        <v>349</v>
      </c>
      <c r="L359" s="53">
        <v>44623</v>
      </c>
      <c r="M359" s="53" t="s">
        <v>349</v>
      </c>
      <c r="N359" s="71" t="s">
        <v>2749</v>
      </c>
      <c r="O359" s="12" t="s">
        <v>326</v>
      </c>
      <c r="P359" s="12"/>
      <c r="Q359" s="12"/>
      <c r="R359" s="13"/>
      <c r="S359" s="4"/>
    </row>
    <row r="360" spans="2:19" ht="14" outlineLevel="1">
      <c r="B360" s="210"/>
      <c r="C360" s="210"/>
      <c r="D360" s="239"/>
      <c r="E360" s="234"/>
      <c r="F360" s="34"/>
      <c r="G360" s="34" t="s">
        <v>177</v>
      </c>
      <c r="H360" s="70" t="s">
        <v>2735</v>
      </c>
      <c r="I360" s="53" t="s">
        <v>349</v>
      </c>
      <c r="J360" s="12" t="s">
        <v>333</v>
      </c>
      <c r="K360" s="53" t="s">
        <v>349</v>
      </c>
      <c r="L360" s="53">
        <v>44623</v>
      </c>
      <c r="M360" s="53" t="s">
        <v>349</v>
      </c>
      <c r="N360" s="71" t="s">
        <v>2749</v>
      </c>
      <c r="O360" s="12" t="s">
        <v>326</v>
      </c>
      <c r="P360" s="12"/>
      <c r="Q360" s="12"/>
      <c r="R360" s="13"/>
      <c r="S360" s="4"/>
    </row>
    <row r="361" spans="2:19" ht="14" outlineLevel="1">
      <c r="B361" s="210"/>
      <c r="C361" s="210"/>
      <c r="D361" s="239"/>
      <c r="E361" s="234"/>
      <c r="F361" s="34"/>
      <c r="G361" s="34" t="s">
        <v>181</v>
      </c>
      <c r="H361" s="70" t="s">
        <v>2736</v>
      </c>
      <c r="I361" s="53" t="s">
        <v>349</v>
      </c>
      <c r="J361" s="12" t="s">
        <v>333</v>
      </c>
      <c r="K361" s="53" t="s">
        <v>349</v>
      </c>
      <c r="L361" s="53">
        <v>44623</v>
      </c>
      <c r="M361" s="53" t="s">
        <v>349</v>
      </c>
      <c r="N361" s="71" t="s">
        <v>2749</v>
      </c>
      <c r="O361" s="12" t="s">
        <v>326</v>
      </c>
      <c r="P361" s="12"/>
      <c r="Q361" s="12"/>
      <c r="R361" s="13"/>
      <c r="S361" s="4"/>
    </row>
    <row r="362" spans="2:19" ht="14" outlineLevel="1">
      <c r="B362" s="210"/>
      <c r="C362" s="210"/>
      <c r="D362" s="239"/>
      <c r="E362" s="234"/>
      <c r="F362" s="34"/>
      <c r="G362" s="34" t="s">
        <v>183</v>
      </c>
      <c r="H362" s="70" t="s">
        <v>2737</v>
      </c>
      <c r="I362" s="53" t="s">
        <v>349</v>
      </c>
      <c r="J362" s="12" t="s">
        <v>333</v>
      </c>
      <c r="K362" s="53" t="s">
        <v>349</v>
      </c>
      <c r="L362" s="53">
        <v>44623</v>
      </c>
      <c r="M362" s="53" t="s">
        <v>349</v>
      </c>
      <c r="N362" s="71" t="s">
        <v>2749</v>
      </c>
      <c r="O362" s="12" t="s">
        <v>326</v>
      </c>
      <c r="P362" s="12"/>
      <c r="Q362" s="12"/>
      <c r="R362" s="13"/>
      <c r="S362" s="4"/>
    </row>
    <row r="363" spans="2:19" ht="14" outlineLevel="1">
      <c r="B363" s="210"/>
      <c r="C363" s="210"/>
      <c r="D363" s="239"/>
      <c r="E363" s="234"/>
      <c r="F363" s="34"/>
      <c r="G363" s="34" t="s">
        <v>184</v>
      </c>
      <c r="H363" s="70" t="s">
        <v>2738</v>
      </c>
      <c r="I363" s="53" t="s">
        <v>349</v>
      </c>
      <c r="J363" s="12" t="s">
        <v>333</v>
      </c>
      <c r="K363" s="53" t="s">
        <v>349</v>
      </c>
      <c r="L363" s="53">
        <v>44623</v>
      </c>
      <c r="M363" s="53" t="s">
        <v>349</v>
      </c>
      <c r="N363" s="71" t="s">
        <v>2749</v>
      </c>
      <c r="O363" s="12" t="s">
        <v>326</v>
      </c>
      <c r="P363" s="12"/>
      <c r="Q363" s="12"/>
      <c r="R363" s="13"/>
      <c r="S363" s="4"/>
    </row>
    <row r="364" spans="2:19" ht="14" outlineLevel="1">
      <c r="B364" s="210"/>
      <c r="C364" s="210"/>
      <c r="D364" s="239"/>
      <c r="E364" s="234"/>
      <c r="F364" s="34"/>
      <c r="G364" s="34"/>
      <c r="H364" s="70"/>
      <c r="I364" s="31" t="s">
        <v>512</v>
      </c>
      <c r="J364" s="12" t="s">
        <v>333</v>
      </c>
      <c r="K364" s="53" t="s">
        <v>349</v>
      </c>
      <c r="L364" s="53">
        <v>44650</v>
      </c>
      <c r="M364" s="53" t="s">
        <v>349</v>
      </c>
      <c r="N364" s="71" t="s">
        <v>2798</v>
      </c>
      <c r="O364" s="12" t="s">
        <v>326</v>
      </c>
      <c r="P364" s="12"/>
      <c r="Q364" s="12"/>
      <c r="R364" s="13"/>
      <c r="S364" s="4"/>
    </row>
    <row r="365" spans="2:19" ht="14" outlineLevel="1">
      <c r="B365" s="210"/>
      <c r="C365" s="210"/>
      <c r="D365" s="239"/>
      <c r="E365" s="234"/>
      <c r="F365" s="34"/>
      <c r="G365" s="34" t="s">
        <v>386</v>
      </c>
      <c r="H365" s="70" t="s">
        <v>2739</v>
      </c>
      <c r="I365" s="53" t="s">
        <v>349</v>
      </c>
      <c r="J365" s="12" t="s">
        <v>333</v>
      </c>
      <c r="K365" s="53" t="s">
        <v>349</v>
      </c>
      <c r="L365" s="53">
        <v>44623</v>
      </c>
      <c r="M365" s="53" t="s">
        <v>349</v>
      </c>
      <c r="N365" s="71" t="s">
        <v>2749</v>
      </c>
      <c r="O365" s="12" t="s">
        <v>326</v>
      </c>
      <c r="P365" s="12"/>
      <c r="Q365" s="12"/>
      <c r="R365" s="13"/>
      <c r="S365" s="4"/>
    </row>
    <row r="366" spans="2:19" ht="14" outlineLevel="1">
      <c r="B366" s="210"/>
      <c r="C366" s="210"/>
      <c r="D366" s="239"/>
      <c r="E366" s="234"/>
      <c r="F366" s="34"/>
      <c r="G366" s="34" t="s">
        <v>935</v>
      </c>
      <c r="H366" s="70" t="s">
        <v>2740</v>
      </c>
      <c r="I366" s="53" t="s">
        <v>349</v>
      </c>
      <c r="J366" s="12" t="s">
        <v>333</v>
      </c>
      <c r="K366" s="53" t="s">
        <v>349</v>
      </c>
      <c r="L366" s="53">
        <v>44623</v>
      </c>
      <c r="M366" s="53" t="s">
        <v>349</v>
      </c>
      <c r="N366" s="71" t="s">
        <v>2749</v>
      </c>
      <c r="O366" s="12" t="s">
        <v>326</v>
      </c>
      <c r="P366" s="12"/>
      <c r="Q366" s="12"/>
      <c r="R366" s="13"/>
      <c r="S366" s="4"/>
    </row>
    <row r="367" spans="2:19" ht="14" outlineLevel="1">
      <c r="B367" s="210"/>
      <c r="C367" s="210"/>
      <c r="D367" s="239"/>
      <c r="E367" s="234"/>
      <c r="F367" s="34"/>
      <c r="G367" s="34"/>
      <c r="H367" s="70"/>
      <c r="I367" s="31" t="s">
        <v>512</v>
      </c>
      <c r="J367" s="12" t="s">
        <v>333</v>
      </c>
      <c r="K367" s="53" t="s">
        <v>349</v>
      </c>
      <c r="L367" s="53">
        <v>44650</v>
      </c>
      <c r="M367" s="53" t="s">
        <v>349</v>
      </c>
      <c r="N367" s="71" t="s">
        <v>2798</v>
      </c>
      <c r="O367" s="12" t="s">
        <v>326</v>
      </c>
      <c r="P367" s="12"/>
      <c r="Q367" s="12"/>
      <c r="R367" s="13"/>
      <c r="S367" s="4"/>
    </row>
    <row r="368" spans="2:19" ht="14" outlineLevel="1">
      <c r="B368" s="210"/>
      <c r="C368" s="210"/>
      <c r="D368" s="239"/>
      <c r="E368" s="234"/>
      <c r="F368" s="34"/>
      <c r="G368" s="34" t="s">
        <v>1058</v>
      </c>
      <c r="H368" s="70" t="s">
        <v>2741</v>
      </c>
      <c r="I368" s="53" t="s">
        <v>349</v>
      </c>
      <c r="J368" s="12" t="s">
        <v>333</v>
      </c>
      <c r="K368" s="53" t="s">
        <v>349</v>
      </c>
      <c r="L368" s="53">
        <v>44623</v>
      </c>
      <c r="M368" s="53" t="s">
        <v>349</v>
      </c>
      <c r="N368" s="71" t="s">
        <v>2749</v>
      </c>
      <c r="O368" s="12" t="s">
        <v>326</v>
      </c>
      <c r="P368" s="12"/>
      <c r="Q368" s="12"/>
      <c r="R368" s="13"/>
      <c r="S368" s="4"/>
    </row>
    <row r="369" spans="2:19" ht="14" outlineLevel="1">
      <c r="B369" s="210"/>
      <c r="C369" s="210"/>
      <c r="D369" s="239"/>
      <c r="E369" s="234"/>
      <c r="F369" s="34"/>
      <c r="G369" s="34" t="s">
        <v>1059</v>
      </c>
      <c r="H369" s="70" t="s">
        <v>2742</v>
      </c>
      <c r="I369" s="53" t="s">
        <v>349</v>
      </c>
      <c r="J369" s="12" t="s">
        <v>333</v>
      </c>
      <c r="K369" s="53" t="s">
        <v>349</v>
      </c>
      <c r="L369" s="53">
        <v>44623</v>
      </c>
      <c r="M369" s="53" t="s">
        <v>349</v>
      </c>
      <c r="N369" s="71" t="s">
        <v>2749</v>
      </c>
      <c r="O369" s="12" t="s">
        <v>326</v>
      </c>
      <c r="P369" s="12"/>
      <c r="Q369" s="12"/>
      <c r="R369" s="13"/>
      <c r="S369" s="4"/>
    </row>
    <row r="370" spans="2:19" ht="14" outlineLevel="1">
      <c r="B370" s="210"/>
      <c r="C370" s="210"/>
      <c r="D370" s="239"/>
      <c r="E370" s="234"/>
      <c r="F370" s="34"/>
      <c r="G370" s="34" t="s">
        <v>1060</v>
      </c>
      <c r="H370" s="70" t="s">
        <v>2743</v>
      </c>
      <c r="I370" s="53" t="s">
        <v>349</v>
      </c>
      <c r="J370" s="12" t="s">
        <v>333</v>
      </c>
      <c r="K370" s="53" t="s">
        <v>349</v>
      </c>
      <c r="L370" s="53">
        <v>44623</v>
      </c>
      <c r="M370" s="53" t="s">
        <v>349</v>
      </c>
      <c r="N370" s="71" t="s">
        <v>2749</v>
      </c>
      <c r="O370" s="12" t="s">
        <v>326</v>
      </c>
      <c r="P370" s="12"/>
      <c r="Q370" s="12"/>
      <c r="R370" s="13"/>
      <c r="S370" s="4"/>
    </row>
    <row r="371" spans="2:19" ht="14" outlineLevel="1">
      <c r="B371" s="210"/>
      <c r="C371" s="210"/>
      <c r="D371" s="239"/>
      <c r="E371" s="234"/>
      <c r="F371" s="34"/>
      <c r="G371" s="34" t="s">
        <v>1393</v>
      </c>
      <c r="H371" s="70" t="s">
        <v>2744</v>
      </c>
      <c r="I371" s="53" t="s">
        <v>349</v>
      </c>
      <c r="J371" s="12" t="s">
        <v>333</v>
      </c>
      <c r="K371" s="53" t="s">
        <v>349</v>
      </c>
      <c r="L371" s="53">
        <v>44623</v>
      </c>
      <c r="M371" s="53" t="s">
        <v>349</v>
      </c>
      <c r="N371" s="71" t="s">
        <v>2749</v>
      </c>
      <c r="O371" s="12" t="s">
        <v>326</v>
      </c>
      <c r="P371" s="12"/>
      <c r="Q371" s="12"/>
      <c r="R371" s="13"/>
      <c r="S371" s="4"/>
    </row>
    <row r="372" spans="2:19" ht="14" outlineLevel="1">
      <c r="B372" s="210"/>
      <c r="C372" s="210"/>
      <c r="D372" s="239"/>
      <c r="E372" s="234"/>
      <c r="F372" s="34"/>
      <c r="G372" s="34" t="s">
        <v>1934</v>
      </c>
      <c r="H372" s="70" t="s">
        <v>2745</v>
      </c>
      <c r="I372" s="53" t="s">
        <v>349</v>
      </c>
      <c r="J372" s="12" t="s">
        <v>333</v>
      </c>
      <c r="K372" s="53" t="s">
        <v>349</v>
      </c>
      <c r="L372" s="53">
        <v>44623</v>
      </c>
      <c r="M372" s="53" t="s">
        <v>349</v>
      </c>
      <c r="N372" s="71" t="s">
        <v>2749</v>
      </c>
      <c r="O372" s="12" t="s">
        <v>326</v>
      </c>
      <c r="P372" s="12"/>
      <c r="Q372" s="12"/>
      <c r="R372" s="13"/>
      <c r="S372" s="4"/>
    </row>
    <row r="373" spans="2:19" ht="14" outlineLevel="1">
      <c r="B373" s="210"/>
      <c r="C373" s="210"/>
      <c r="D373" s="239"/>
      <c r="E373" s="234"/>
      <c r="F373" s="34"/>
      <c r="G373" s="34" t="s">
        <v>1935</v>
      </c>
      <c r="H373" s="70" t="s">
        <v>2746</v>
      </c>
      <c r="I373" s="53" t="s">
        <v>349</v>
      </c>
      <c r="J373" s="12" t="s">
        <v>333</v>
      </c>
      <c r="K373" s="53" t="s">
        <v>349</v>
      </c>
      <c r="L373" s="53">
        <v>44623</v>
      </c>
      <c r="M373" s="53" t="s">
        <v>349</v>
      </c>
      <c r="N373" s="71" t="s">
        <v>2749</v>
      </c>
      <c r="O373" s="12" t="s">
        <v>326</v>
      </c>
      <c r="P373" s="12"/>
      <c r="Q373" s="12"/>
      <c r="R373" s="13"/>
      <c r="S373" s="4"/>
    </row>
    <row r="374" spans="2:19" ht="14" outlineLevel="1">
      <c r="B374" s="210"/>
      <c r="C374" s="210"/>
      <c r="D374" s="239"/>
      <c r="E374" s="234"/>
      <c r="F374" s="34"/>
      <c r="G374" s="34" t="s">
        <v>1936</v>
      </c>
      <c r="H374" s="70" t="s">
        <v>2747</v>
      </c>
      <c r="I374" s="53" t="s">
        <v>349</v>
      </c>
      <c r="J374" s="12" t="s">
        <v>333</v>
      </c>
      <c r="K374" s="53" t="s">
        <v>349</v>
      </c>
      <c r="L374" s="53">
        <v>44623</v>
      </c>
      <c r="M374" s="53" t="s">
        <v>349</v>
      </c>
      <c r="N374" s="71" t="s">
        <v>2749</v>
      </c>
      <c r="O374" s="12" t="s">
        <v>326</v>
      </c>
      <c r="P374" s="12"/>
      <c r="Q374" s="12"/>
      <c r="R374" s="13"/>
      <c r="S374" s="4"/>
    </row>
    <row r="375" spans="2:19" ht="14" outlineLevel="1">
      <c r="B375" s="210"/>
      <c r="C375" s="210"/>
      <c r="D375" s="239"/>
      <c r="E375" s="234"/>
      <c r="F375" s="34"/>
      <c r="G375" s="34" t="s">
        <v>1937</v>
      </c>
      <c r="H375" s="70" t="s">
        <v>2748</v>
      </c>
      <c r="I375" s="53" t="s">
        <v>349</v>
      </c>
      <c r="J375" s="12" t="s">
        <v>333</v>
      </c>
      <c r="K375" s="53" t="s">
        <v>349</v>
      </c>
      <c r="L375" s="53">
        <v>44623</v>
      </c>
      <c r="M375" s="53" t="s">
        <v>349</v>
      </c>
      <c r="N375" s="71" t="s">
        <v>2749</v>
      </c>
      <c r="O375" s="12" t="s">
        <v>326</v>
      </c>
      <c r="P375" s="12"/>
      <c r="Q375" s="12"/>
      <c r="R375" s="13"/>
      <c r="S375" s="4"/>
    </row>
    <row r="376" spans="2:19" outlineLevel="1">
      <c r="B376" s="210"/>
      <c r="C376" s="210"/>
      <c r="D376" s="239"/>
      <c r="E376" s="234"/>
      <c r="F376" s="34"/>
      <c r="G376" s="34"/>
      <c r="H376" s="70"/>
      <c r="I376" s="53"/>
      <c r="J376" s="12"/>
      <c r="K376" s="53"/>
      <c r="L376" s="53"/>
      <c r="M376" s="171"/>
      <c r="N376" s="71"/>
      <c r="O376" s="12"/>
      <c r="P376" s="12"/>
      <c r="Q376" s="12"/>
      <c r="R376" s="13"/>
      <c r="S376" s="4"/>
    </row>
    <row r="377" spans="2:19" ht="14" outlineLevel="1">
      <c r="B377" s="210"/>
      <c r="C377" s="210"/>
      <c r="D377" s="239"/>
      <c r="E377" s="234"/>
      <c r="F377" s="34" t="s">
        <v>108</v>
      </c>
      <c r="G377" s="34"/>
      <c r="H377" s="33" t="s">
        <v>2916</v>
      </c>
      <c r="I377" s="31" t="s">
        <v>512</v>
      </c>
      <c r="J377" s="12" t="s">
        <v>333</v>
      </c>
      <c r="K377" s="53" t="s">
        <v>349</v>
      </c>
      <c r="L377" s="53">
        <v>44701</v>
      </c>
      <c r="M377" s="12" t="s">
        <v>2917</v>
      </c>
      <c r="N377" s="71" t="s">
        <v>2915</v>
      </c>
      <c r="O377" s="12" t="s">
        <v>326</v>
      </c>
      <c r="P377" s="12"/>
      <c r="Q377" s="12"/>
      <c r="R377" s="13"/>
      <c r="S377" s="4"/>
    </row>
    <row r="378" spans="2:19" outlineLevel="1">
      <c r="B378" s="210"/>
      <c r="C378" s="210"/>
      <c r="D378" s="239"/>
      <c r="E378" s="234"/>
      <c r="F378" s="34"/>
      <c r="G378" s="34"/>
      <c r="H378" s="33"/>
      <c r="I378" s="31"/>
      <c r="J378" s="12"/>
      <c r="K378" s="53"/>
      <c r="L378" s="53"/>
      <c r="M378" s="138"/>
      <c r="N378" s="71"/>
      <c r="O378" s="12"/>
      <c r="P378" s="12"/>
      <c r="Q378" s="12"/>
      <c r="R378" s="13"/>
      <c r="S378" s="4"/>
    </row>
    <row r="379" spans="2:19" ht="14" outlineLevel="1">
      <c r="B379" s="210"/>
      <c r="C379" s="210"/>
      <c r="D379" s="239"/>
      <c r="E379" s="234"/>
      <c r="F379" s="34" t="s">
        <v>129</v>
      </c>
      <c r="G379" s="34"/>
      <c r="H379" s="33" t="s">
        <v>3300</v>
      </c>
      <c r="I379" s="31"/>
      <c r="J379" s="12"/>
      <c r="K379" s="53"/>
      <c r="L379" s="53"/>
      <c r="M379" s="138"/>
      <c r="N379" s="71"/>
      <c r="O379" s="12"/>
      <c r="P379" s="12"/>
      <c r="Q379" s="12"/>
      <c r="R379" s="13"/>
      <c r="S379" s="4"/>
    </row>
    <row r="380" spans="2:19" ht="14" outlineLevel="1">
      <c r="B380" s="210"/>
      <c r="C380" s="210"/>
      <c r="D380" s="239"/>
      <c r="E380" s="234"/>
      <c r="F380" s="34"/>
      <c r="G380" s="34" t="s">
        <v>177</v>
      </c>
      <c r="H380" s="33" t="s">
        <v>3303</v>
      </c>
      <c r="I380" s="31" t="s">
        <v>512</v>
      </c>
      <c r="J380" s="12" t="s">
        <v>332</v>
      </c>
      <c r="K380" s="53" t="s">
        <v>349</v>
      </c>
      <c r="L380" s="53">
        <v>44851</v>
      </c>
      <c r="M380" s="138" t="s">
        <v>2917</v>
      </c>
      <c r="N380" s="71" t="s">
        <v>3299</v>
      </c>
      <c r="O380" s="12" t="s">
        <v>326</v>
      </c>
      <c r="P380" s="12"/>
      <c r="Q380" s="12"/>
      <c r="R380" s="13"/>
      <c r="S380" s="4"/>
    </row>
    <row r="381" spans="2:19" ht="14" outlineLevel="1">
      <c r="B381" s="210"/>
      <c r="C381" s="210"/>
      <c r="D381" s="239"/>
      <c r="E381" s="234"/>
      <c r="F381" s="34"/>
      <c r="G381" s="34" t="s">
        <v>181</v>
      </c>
      <c r="H381" s="33" t="s">
        <v>3304</v>
      </c>
      <c r="I381" s="31" t="s">
        <v>3</v>
      </c>
      <c r="J381" s="12" t="s">
        <v>332</v>
      </c>
      <c r="K381" s="53" t="s">
        <v>349</v>
      </c>
      <c r="L381" s="53">
        <v>44851</v>
      </c>
      <c r="M381" s="138" t="s">
        <v>3301</v>
      </c>
      <c r="N381" s="71" t="s">
        <v>3299</v>
      </c>
      <c r="O381" s="12" t="s">
        <v>326</v>
      </c>
      <c r="P381" s="12"/>
      <c r="Q381" s="12"/>
      <c r="R381" s="13"/>
      <c r="S381" s="4"/>
    </row>
    <row r="382" spans="2:19" ht="14" outlineLevel="1">
      <c r="B382" s="210"/>
      <c r="C382" s="210"/>
      <c r="D382" s="239"/>
      <c r="E382" s="234"/>
      <c r="F382" s="34"/>
      <c r="G382" s="34" t="s">
        <v>183</v>
      </c>
      <c r="H382" s="33" t="s">
        <v>3305</v>
      </c>
      <c r="I382" s="31" t="s">
        <v>729</v>
      </c>
      <c r="J382" s="12" t="s">
        <v>332</v>
      </c>
      <c r="K382" s="53" t="s">
        <v>349</v>
      </c>
      <c r="L382" s="53">
        <v>44851</v>
      </c>
      <c r="M382" s="138" t="s">
        <v>2556</v>
      </c>
      <c r="N382" s="71" t="s">
        <v>3299</v>
      </c>
      <c r="O382" s="12" t="s">
        <v>326</v>
      </c>
      <c r="P382" s="12"/>
      <c r="Q382" s="12"/>
      <c r="R382" s="13"/>
      <c r="S382" s="4"/>
    </row>
    <row r="383" spans="2:19" ht="14" outlineLevel="1">
      <c r="B383" s="210"/>
      <c r="C383" s="210"/>
      <c r="D383" s="239"/>
      <c r="E383" s="234"/>
      <c r="F383" s="34"/>
      <c r="G383" s="34" t="s">
        <v>184</v>
      </c>
      <c r="H383" s="33" t="s">
        <v>3306</v>
      </c>
      <c r="I383" s="31" t="s">
        <v>654</v>
      </c>
      <c r="J383" s="12" t="s">
        <v>332</v>
      </c>
      <c r="K383" s="53" t="s">
        <v>349</v>
      </c>
      <c r="L383" s="53">
        <v>44851</v>
      </c>
      <c r="M383" s="138" t="s">
        <v>3302</v>
      </c>
      <c r="N383" s="71" t="s">
        <v>3299</v>
      </c>
      <c r="O383" s="12" t="s">
        <v>326</v>
      </c>
      <c r="P383" s="12"/>
      <c r="Q383" s="12"/>
      <c r="R383" s="13"/>
      <c r="S383" s="4"/>
    </row>
    <row r="384" spans="2:19" outlineLevel="1">
      <c r="B384" s="210"/>
      <c r="C384" s="210"/>
      <c r="D384" s="239"/>
      <c r="E384" s="234"/>
      <c r="F384" s="34"/>
      <c r="G384" s="34"/>
      <c r="H384" s="153"/>
      <c r="I384" s="31"/>
      <c r="J384" s="12"/>
      <c r="K384" s="53"/>
      <c r="L384" s="53"/>
      <c r="M384" s="162"/>
      <c r="N384" s="71"/>
      <c r="O384" s="12"/>
      <c r="P384" s="12"/>
      <c r="Q384" s="12"/>
      <c r="R384" s="13"/>
      <c r="S384" s="4"/>
    </row>
    <row r="385" spans="2:19" ht="12.75" customHeight="1" outlineLevel="1">
      <c r="B385" s="210"/>
      <c r="C385" s="210"/>
      <c r="D385" s="135" t="s">
        <v>52</v>
      </c>
      <c r="E385" s="233" t="s">
        <v>85</v>
      </c>
      <c r="F385" s="233"/>
      <c r="G385" s="233"/>
      <c r="H385" s="233"/>
      <c r="I385" s="31"/>
      <c r="J385" s="12"/>
      <c r="K385" s="12"/>
      <c r="L385" s="12"/>
      <c r="M385" s="138"/>
      <c r="N385" s="12"/>
      <c r="O385" s="12"/>
      <c r="P385" s="12"/>
      <c r="Q385" s="12"/>
      <c r="R385" s="13"/>
      <c r="S385" s="4"/>
    </row>
    <row r="386" spans="2:19" outlineLevel="1">
      <c r="B386" s="210"/>
      <c r="C386" s="210"/>
      <c r="D386" s="238"/>
      <c r="E386" s="234"/>
      <c r="F386" s="82"/>
      <c r="G386" s="82"/>
      <c r="H386" s="82"/>
      <c r="I386" s="30"/>
      <c r="J386" s="12"/>
      <c r="K386" s="12"/>
      <c r="L386" s="12"/>
      <c r="M386" s="138"/>
      <c r="N386" s="12"/>
      <c r="O386" s="12"/>
      <c r="P386" s="12"/>
      <c r="Q386" s="12"/>
      <c r="R386" s="13"/>
      <c r="S386" s="4"/>
    </row>
    <row r="387" spans="2:19" ht="14" outlineLevel="1">
      <c r="B387" s="210"/>
      <c r="C387" s="210"/>
      <c r="D387" s="239"/>
      <c r="E387" s="234"/>
      <c r="F387" s="34" t="s">
        <v>27</v>
      </c>
      <c r="G387" s="34"/>
      <c r="H387" s="4"/>
      <c r="I387" s="31"/>
      <c r="J387" s="12"/>
      <c r="K387" s="12"/>
      <c r="L387" s="12"/>
      <c r="M387" s="138"/>
      <c r="N387" s="12"/>
      <c r="O387" s="12"/>
      <c r="P387" s="12"/>
      <c r="Q387" s="12"/>
      <c r="R387" s="13"/>
      <c r="S387" s="4"/>
    </row>
    <row r="388" spans="2:19" ht="14" outlineLevel="1">
      <c r="B388" s="211"/>
      <c r="C388" s="211"/>
      <c r="D388" s="240"/>
      <c r="E388" s="234"/>
      <c r="F388" s="34" t="s">
        <v>29</v>
      </c>
      <c r="G388" s="34"/>
      <c r="H388" s="4"/>
      <c r="I388" s="31"/>
      <c r="J388" s="12"/>
      <c r="K388" s="12"/>
      <c r="L388" s="12"/>
      <c r="M388" s="138"/>
      <c r="N388" s="12"/>
      <c r="O388" s="12"/>
      <c r="P388" s="12"/>
      <c r="Q388" s="12"/>
      <c r="R388" s="13"/>
      <c r="S388" s="4"/>
    </row>
    <row r="389" spans="2:19" ht="12.75" customHeight="1">
      <c r="B389" s="34" t="s">
        <v>92</v>
      </c>
      <c r="C389" s="218" t="s">
        <v>93</v>
      </c>
      <c r="D389" s="219"/>
      <c r="E389" s="219"/>
      <c r="F389" s="219"/>
      <c r="G389" s="219"/>
      <c r="H389" s="219"/>
      <c r="I389" s="219"/>
      <c r="J389" s="219"/>
      <c r="K389" s="219"/>
      <c r="L389" s="219"/>
      <c r="M389" s="219"/>
      <c r="N389" s="219"/>
      <c r="O389" s="219"/>
      <c r="P389" s="219"/>
      <c r="Q389" s="219"/>
      <c r="R389" s="220"/>
      <c r="S389" s="4"/>
    </row>
    <row r="390" spans="2:19" ht="12.75" customHeight="1">
      <c r="B390" s="252"/>
      <c r="C390" s="237"/>
      <c r="D390" s="34" t="s">
        <v>24</v>
      </c>
      <c r="E390" s="233" t="s">
        <v>94</v>
      </c>
      <c r="F390" s="233"/>
      <c r="G390" s="233"/>
      <c r="H390" s="233"/>
      <c r="I390" s="82"/>
      <c r="J390" s="34"/>
      <c r="K390" s="82"/>
      <c r="L390" s="82"/>
      <c r="M390" s="116"/>
      <c r="N390" s="116"/>
      <c r="O390" s="39" t="s">
        <v>26</v>
      </c>
      <c r="P390" s="116"/>
      <c r="Q390" s="39" t="s">
        <v>26</v>
      </c>
      <c r="R390" s="13"/>
      <c r="S390" s="4"/>
    </row>
    <row r="391" spans="2:19" ht="12.75" customHeight="1" outlineLevel="1">
      <c r="B391" s="253"/>
      <c r="C391" s="237"/>
      <c r="D391" s="234"/>
      <c r="E391" s="234"/>
      <c r="F391" s="82"/>
      <c r="G391" s="82"/>
      <c r="H391" s="82"/>
      <c r="I391" s="30"/>
      <c r="J391" s="39"/>
      <c r="K391" s="39"/>
      <c r="L391" s="39"/>
      <c r="M391" s="138"/>
      <c r="N391" s="12"/>
      <c r="O391" s="39"/>
      <c r="P391" s="39"/>
      <c r="Q391" s="12"/>
      <c r="R391" s="13"/>
      <c r="S391" s="4"/>
    </row>
    <row r="392" spans="2:19" ht="12.75" customHeight="1" outlineLevel="1">
      <c r="B392" s="253"/>
      <c r="C392" s="237"/>
      <c r="D392" s="234"/>
      <c r="E392" s="234"/>
      <c r="F392" s="34" t="s">
        <v>27</v>
      </c>
      <c r="G392" s="34"/>
      <c r="H392" s="4" t="s">
        <v>2729</v>
      </c>
      <c r="I392" s="31"/>
      <c r="J392" s="12"/>
      <c r="K392" s="12"/>
      <c r="L392" s="12"/>
      <c r="M392" s="138"/>
      <c r="N392" s="12"/>
      <c r="O392" s="12"/>
      <c r="P392" s="12"/>
      <c r="Q392" s="12"/>
      <c r="R392" s="13"/>
      <c r="S392" s="4"/>
    </row>
    <row r="393" spans="2:19" ht="12.75" customHeight="1" outlineLevel="1">
      <c r="B393" s="253"/>
      <c r="C393" s="237"/>
      <c r="D393" s="234"/>
      <c r="E393" s="234"/>
      <c r="F393" s="34"/>
      <c r="G393" s="34"/>
      <c r="H393" s="109" t="s">
        <v>2624</v>
      </c>
      <c r="I393" s="53" t="s">
        <v>349</v>
      </c>
      <c r="J393" s="12" t="s">
        <v>333</v>
      </c>
      <c r="K393" s="53" t="s">
        <v>349</v>
      </c>
      <c r="L393" s="53">
        <v>44622</v>
      </c>
      <c r="M393" s="71">
        <v>4780479</v>
      </c>
      <c r="N393" s="12" t="s">
        <v>2733</v>
      </c>
      <c r="O393" s="12" t="s">
        <v>326</v>
      </c>
      <c r="P393" s="12"/>
      <c r="Q393" s="12"/>
      <c r="R393" s="13"/>
      <c r="S393" s="4"/>
    </row>
    <row r="394" spans="2:19" ht="12.75" customHeight="1" outlineLevel="1">
      <c r="B394" s="253"/>
      <c r="C394" s="237"/>
      <c r="D394" s="234"/>
      <c r="E394" s="234"/>
      <c r="F394" s="34"/>
      <c r="G394" s="34"/>
      <c r="H394" s="109" t="s">
        <v>2625</v>
      </c>
      <c r="I394" s="53" t="s">
        <v>349</v>
      </c>
      <c r="J394" s="12" t="s">
        <v>333</v>
      </c>
      <c r="K394" s="53" t="s">
        <v>349</v>
      </c>
      <c r="L394" s="53">
        <v>44622</v>
      </c>
      <c r="M394" s="71">
        <v>5041782</v>
      </c>
      <c r="N394" s="12" t="s">
        <v>2733</v>
      </c>
      <c r="O394" s="12" t="s">
        <v>326</v>
      </c>
      <c r="P394" s="12"/>
      <c r="Q394" s="12"/>
      <c r="R394" s="13"/>
      <c r="S394" s="4"/>
    </row>
    <row r="395" spans="2:19" ht="12.75" customHeight="1" outlineLevel="1">
      <c r="B395" s="253"/>
      <c r="C395" s="237"/>
      <c r="D395" s="234"/>
      <c r="E395" s="234"/>
      <c r="F395" s="34"/>
      <c r="G395" s="34"/>
      <c r="H395" s="109" t="s">
        <v>3329</v>
      </c>
      <c r="I395" s="53" t="s">
        <v>349</v>
      </c>
      <c r="J395" s="12" t="s">
        <v>333</v>
      </c>
      <c r="K395" s="53" t="s">
        <v>349</v>
      </c>
      <c r="L395" s="53">
        <v>44866</v>
      </c>
      <c r="M395" s="138">
        <v>5452981</v>
      </c>
      <c r="N395" s="12" t="s">
        <v>3331</v>
      </c>
      <c r="O395" s="12" t="s">
        <v>326</v>
      </c>
      <c r="P395" s="12"/>
      <c r="Q395" s="12"/>
      <c r="R395" s="13"/>
      <c r="S395" s="4"/>
    </row>
    <row r="396" spans="2:19" ht="12.75" customHeight="1" outlineLevel="1">
      <c r="B396" s="253"/>
      <c r="C396" s="237"/>
      <c r="D396" s="234"/>
      <c r="E396" s="234"/>
      <c r="F396" s="34"/>
      <c r="G396" s="34"/>
      <c r="H396" s="109" t="s">
        <v>3625</v>
      </c>
      <c r="I396" s="53" t="s">
        <v>349</v>
      </c>
      <c r="J396" s="12" t="s">
        <v>333</v>
      </c>
      <c r="K396" s="53" t="s">
        <v>349</v>
      </c>
      <c r="L396" s="53">
        <v>45009</v>
      </c>
      <c r="M396" s="138" t="s">
        <v>3623</v>
      </c>
      <c r="N396" s="12" t="s">
        <v>3626</v>
      </c>
      <c r="O396" s="12" t="s">
        <v>326</v>
      </c>
      <c r="P396" s="12"/>
      <c r="Q396" s="12"/>
      <c r="R396" s="13"/>
      <c r="S396" s="4"/>
    </row>
    <row r="397" spans="2:19" ht="12.75" customHeight="1" outlineLevel="1">
      <c r="B397" s="253"/>
      <c r="C397" s="237"/>
      <c r="D397" s="234"/>
      <c r="E397" s="234"/>
      <c r="F397" s="34"/>
      <c r="G397" s="34"/>
      <c r="H397" s="109" t="s">
        <v>4213</v>
      </c>
      <c r="I397" s="53" t="s">
        <v>349</v>
      </c>
      <c r="J397" s="12" t="s">
        <v>333</v>
      </c>
      <c r="K397" s="53" t="s">
        <v>349</v>
      </c>
      <c r="L397" s="53">
        <v>45310</v>
      </c>
      <c r="M397" s="138" t="s">
        <v>4214</v>
      </c>
      <c r="N397" s="12" t="s">
        <v>4215</v>
      </c>
      <c r="O397" s="12" t="s">
        <v>326</v>
      </c>
      <c r="P397" s="12"/>
      <c r="Q397" s="12"/>
      <c r="R397" s="13"/>
      <c r="S397" s="4"/>
    </row>
    <row r="398" spans="2:19" ht="12.75" customHeight="1" outlineLevel="1">
      <c r="B398" s="253"/>
      <c r="C398" s="237"/>
      <c r="D398" s="234"/>
      <c r="E398" s="234"/>
      <c r="F398" s="34"/>
      <c r="G398" s="34"/>
      <c r="H398" s="109"/>
      <c r="I398" s="31"/>
      <c r="J398" s="12"/>
      <c r="K398" s="12"/>
      <c r="L398" s="12"/>
      <c r="M398" s="138"/>
      <c r="N398" s="12"/>
      <c r="O398" s="12"/>
      <c r="P398" s="12"/>
      <c r="Q398" s="12"/>
      <c r="R398" s="13"/>
      <c r="S398" s="4"/>
    </row>
    <row r="399" spans="2:19" ht="12.75" customHeight="1" outlineLevel="1">
      <c r="B399" s="253"/>
      <c r="C399" s="237"/>
      <c r="D399" s="234"/>
      <c r="E399" s="234"/>
      <c r="F399" s="34" t="s">
        <v>29</v>
      </c>
      <c r="G399" s="34"/>
      <c r="H399" s="4" t="s">
        <v>2730</v>
      </c>
      <c r="I399" s="31"/>
      <c r="J399" s="12"/>
      <c r="K399" s="12"/>
      <c r="L399" s="12"/>
      <c r="M399" s="138"/>
      <c r="N399" s="12"/>
      <c r="O399" s="12"/>
      <c r="P399" s="12"/>
      <c r="Q399" s="12"/>
      <c r="R399" s="13"/>
      <c r="S399" s="4"/>
    </row>
    <row r="400" spans="2:19" ht="12.75" customHeight="1" outlineLevel="1">
      <c r="B400" s="253"/>
      <c r="C400" s="237"/>
      <c r="D400" s="234"/>
      <c r="E400" s="234"/>
      <c r="F400" s="34"/>
      <c r="G400" s="34"/>
      <c r="H400" s="109" t="s">
        <v>2624</v>
      </c>
      <c r="I400" s="53" t="s">
        <v>349</v>
      </c>
      <c r="J400" s="12" t="s">
        <v>333</v>
      </c>
      <c r="K400" s="53" t="s">
        <v>349</v>
      </c>
      <c r="L400" s="12"/>
      <c r="M400" s="138"/>
      <c r="N400" s="12"/>
      <c r="O400" s="12"/>
      <c r="P400" s="12"/>
      <c r="Q400" s="12"/>
      <c r="R400" s="13"/>
      <c r="S400" s="4"/>
    </row>
    <row r="401" spans="2:19" ht="12.75" customHeight="1" outlineLevel="1">
      <c r="B401" s="253"/>
      <c r="C401" s="237"/>
      <c r="D401" s="234"/>
      <c r="E401" s="234"/>
      <c r="F401" s="34"/>
      <c r="G401" s="34"/>
      <c r="H401" s="109" t="s">
        <v>2625</v>
      </c>
      <c r="I401" s="53" t="s">
        <v>349</v>
      </c>
      <c r="J401" s="12" t="s">
        <v>333</v>
      </c>
      <c r="K401" s="53" t="s">
        <v>349</v>
      </c>
      <c r="L401" s="12"/>
      <c r="M401" s="138"/>
      <c r="N401" s="12"/>
      <c r="O401" s="12"/>
      <c r="P401" s="12"/>
      <c r="Q401" s="12"/>
      <c r="R401" s="13"/>
      <c r="S401" s="4"/>
    </row>
    <row r="402" spans="2:19" ht="12.75" customHeight="1" outlineLevel="1">
      <c r="B402" s="253"/>
      <c r="C402" s="237"/>
      <c r="D402" s="234"/>
      <c r="E402" s="234"/>
      <c r="F402" s="34"/>
      <c r="G402" s="34"/>
      <c r="H402" s="109"/>
      <c r="I402" s="53"/>
      <c r="J402" s="12"/>
      <c r="K402" s="53"/>
      <c r="L402" s="12"/>
      <c r="M402" s="138"/>
      <c r="N402" s="12"/>
      <c r="O402" s="12"/>
      <c r="P402" s="12"/>
      <c r="Q402" s="12"/>
      <c r="R402" s="13"/>
      <c r="S402" s="4"/>
    </row>
    <row r="403" spans="2:19" ht="12.75" customHeight="1" outlineLevel="1">
      <c r="B403" s="253"/>
      <c r="C403" s="237"/>
      <c r="D403" s="234"/>
      <c r="E403" s="234"/>
      <c r="F403" s="34" t="s">
        <v>35</v>
      </c>
      <c r="G403" s="34"/>
      <c r="H403" s="43" t="s">
        <v>3577</v>
      </c>
      <c r="I403" s="53" t="s">
        <v>349</v>
      </c>
      <c r="J403" s="12" t="s">
        <v>333</v>
      </c>
      <c r="K403" s="53" t="s">
        <v>349</v>
      </c>
      <c r="L403" s="53">
        <v>44972</v>
      </c>
      <c r="M403" s="138" t="s">
        <v>3547</v>
      </c>
      <c r="N403" s="12" t="s">
        <v>3576</v>
      </c>
      <c r="O403" s="12" t="s">
        <v>326</v>
      </c>
      <c r="P403" s="12"/>
      <c r="Q403" s="12"/>
      <c r="R403" s="13"/>
      <c r="S403" s="4"/>
    </row>
    <row r="404" spans="2:19" ht="12.75" customHeight="1" outlineLevel="1">
      <c r="B404" s="253"/>
      <c r="C404" s="237"/>
      <c r="D404" s="234"/>
      <c r="E404" s="234"/>
      <c r="F404" s="34"/>
      <c r="G404" s="34"/>
      <c r="H404" s="4"/>
      <c r="I404" s="31"/>
      <c r="J404" s="12"/>
      <c r="K404" s="12"/>
      <c r="L404" s="12"/>
      <c r="M404" s="138"/>
      <c r="N404" s="12"/>
      <c r="O404" s="12"/>
      <c r="P404" s="12"/>
      <c r="Q404" s="12"/>
      <c r="R404" s="13"/>
      <c r="S404" s="4"/>
    </row>
    <row r="405" spans="2:19" ht="12.75" customHeight="1" outlineLevel="1">
      <c r="B405" s="254"/>
      <c r="C405" s="237"/>
      <c r="D405" s="234"/>
      <c r="E405" s="234"/>
      <c r="F405" s="34"/>
      <c r="G405" s="34"/>
      <c r="H405" s="4"/>
      <c r="I405" s="31"/>
      <c r="J405" s="12"/>
      <c r="K405" s="12"/>
      <c r="L405" s="12"/>
      <c r="M405" s="12"/>
      <c r="N405" s="12"/>
      <c r="O405" s="12"/>
      <c r="P405" s="12"/>
      <c r="Q405" s="12"/>
      <c r="R405" s="13"/>
      <c r="S405" s="4"/>
    </row>
    <row r="406" spans="2:19" ht="18.75" customHeight="1">
      <c r="B406" s="215" t="s">
        <v>95</v>
      </c>
      <c r="C406" s="216"/>
      <c r="D406" s="216"/>
      <c r="E406" s="216"/>
      <c r="F406" s="216"/>
      <c r="G406" s="216"/>
      <c r="H406" s="216"/>
      <c r="I406" s="216"/>
      <c r="J406" s="216"/>
      <c r="K406" s="216"/>
      <c r="L406" s="216"/>
      <c r="M406" s="216"/>
      <c r="N406" s="216"/>
      <c r="O406" s="216"/>
      <c r="P406" s="216"/>
      <c r="Q406" s="216"/>
      <c r="R406" s="216"/>
      <c r="S406" s="217"/>
    </row>
    <row r="407" spans="2:19" ht="12.75" customHeight="1">
      <c r="B407" s="34" t="s">
        <v>96</v>
      </c>
      <c r="C407" s="218" t="s">
        <v>97</v>
      </c>
      <c r="D407" s="219"/>
      <c r="E407" s="219"/>
      <c r="F407" s="219"/>
      <c r="G407" s="219"/>
      <c r="H407" s="219"/>
      <c r="I407" s="219"/>
      <c r="J407" s="219"/>
      <c r="K407" s="219"/>
      <c r="L407" s="219"/>
      <c r="M407" s="219"/>
      <c r="N407" s="219"/>
      <c r="O407" s="219"/>
      <c r="P407" s="219"/>
      <c r="Q407" s="219"/>
      <c r="R407" s="220"/>
      <c r="S407" s="4"/>
    </row>
    <row r="408" spans="2:19" ht="28">
      <c r="B408" s="209"/>
      <c r="C408" s="237"/>
      <c r="D408" s="34" t="s">
        <v>24</v>
      </c>
      <c r="E408" s="82"/>
      <c r="F408" s="82"/>
      <c r="G408" s="82"/>
      <c r="H408" s="82"/>
      <c r="I408" s="30"/>
      <c r="J408" s="39"/>
      <c r="K408" s="39"/>
      <c r="L408" s="39"/>
      <c r="M408" s="12"/>
      <c r="N408" s="12"/>
      <c r="O408" s="39" t="s">
        <v>26</v>
      </c>
      <c r="P408" s="39"/>
      <c r="Q408" s="39" t="s">
        <v>26</v>
      </c>
      <c r="R408" s="13"/>
      <c r="S408" s="4"/>
    </row>
    <row r="409" spans="2:19" ht="12.75" hidden="1" customHeight="1" outlineLevel="1">
      <c r="B409" s="210"/>
      <c r="C409" s="237"/>
      <c r="D409" s="234"/>
      <c r="E409" s="234"/>
      <c r="F409" s="34" t="s">
        <v>27</v>
      </c>
      <c r="G409" s="34"/>
      <c r="H409" s="4"/>
      <c r="I409" s="31"/>
      <c r="J409" s="12"/>
      <c r="K409" s="12"/>
      <c r="L409" s="12"/>
      <c r="M409" s="12"/>
      <c r="N409" s="12"/>
      <c r="O409" s="12"/>
      <c r="P409" s="12"/>
      <c r="Q409" s="12"/>
      <c r="R409" s="13"/>
      <c r="S409" s="4"/>
    </row>
    <row r="410" spans="2:19" ht="12.75" hidden="1" customHeight="1" outlineLevel="1">
      <c r="B410" s="210"/>
      <c r="C410" s="237"/>
      <c r="D410" s="234"/>
      <c r="E410" s="234"/>
      <c r="F410" s="34"/>
      <c r="G410" s="34"/>
      <c r="H410" s="4"/>
      <c r="I410" s="31"/>
      <c r="J410" s="12"/>
      <c r="K410" s="12"/>
      <c r="L410" s="12"/>
      <c r="M410" s="12"/>
      <c r="N410" s="12"/>
      <c r="O410" s="12"/>
      <c r="P410" s="12"/>
      <c r="Q410" s="12"/>
      <c r="R410" s="13"/>
      <c r="S410" s="4"/>
    </row>
    <row r="411" spans="2:19" ht="12.75" hidden="1" customHeight="1" outlineLevel="1">
      <c r="B411" s="210"/>
      <c r="C411" s="237"/>
      <c r="D411" s="34" t="s">
        <v>31</v>
      </c>
      <c r="E411" s="82"/>
      <c r="F411" s="82"/>
      <c r="G411" s="82"/>
      <c r="H411" s="82"/>
      <c r="I411" s="30"/>
      <c r="J411" s="39"/>
      <c r="K411" s="39"/>
      <c r="L411" s="39"/>
      <c r="M411" s="12"/>
      <c r="N411" s="12"/>
      <c r="O411" s="39" t="s">
        <v>26</v>
      </c>
      <c r="P411" s="39"/>
      <c r="Q411" s="39" t="s">
        <v>26</v>
      </c>
      <c r="R411" s="13"/>
      <c r="S411" s="4"/>
    </row>
    <row r="412" spans="2:19" ht="12.75" hidden="1" customHeight="1" outlineLevel="1">
      <c r="B412" s="210"/>
      <c r="C412" s="237"/>
      <c r="D412" s="234"/>
      <c r="E412" s="234"/>
      <c r="F412" s="34" t="s">
        <v>27</v>
      </c>
      <c r="G412" s="34"/>
      <c r="H412" s="4"/>
      <c r="I412" s="31"/>
      <c r="J412" s="12"/>
      <c r="K412" s="12"/>
      <c r="L412" s="12"/>
      <c r="M412" s="12"/>
      <c r="N412" s="12"/>
      <c r="O412" s="12"/>
      <c r="P412" s="12"/>
      <c r="Q412" s="12"/>
      <c r="R412" s="13"/>
      <c r="S412" s="4"/>
    </row>
    <row r="413" spans="2:19" ht="12.75" hidden="1" customHeight="1" outlineLevel="1">
      <c r="B413" s="211"/>
      <c r="C413" s="237"/>
      <c r="D413" s="234"/>
      <c r="E413" s="234"/>
      <c r="F413" s="34"/>
      <c r="G413" s="34"/>
      <c r="H413" s="4"/>
      <c r="I413" s="31"/>
      <c r="J413" s="12"/>
      <c r="K413" s="12"/>
      <c r="L413" s="12"/>
      <c r="M413" s="12"/>
      <c r="N413" s="12"/>
      <c r="O413" s="12"/>
      <c r="P413" s="12"/>
      <c r="Q413" s="12"/>
      <c r="R413" s="13"/>
      <c r="S413" s="4"/>
    </row>
    <row r="414" spans="2:19" ht="12.75" customHeight="1" collapsed="1">
      <c r="B414" s="34" t="s">
        <v>98</v>
      </c>
      <c r="C414" s="218" t="s">
        <v>99</v>
      </c>
      <c r="D414" s="219"/>
      <c r="E414" s="219"/>
      <c r="F414" s="219"/>
      <c r="G414" s="219"/>
      <c r="H414" s="219"/>
      <c r="I414" s="219"/>
      <c r="J414" s="219"/>
      <c r="K414" s="219"/>
      <c r="L414" s="219"/>
      <c r="M414" s="219"/>
      <c r="N414" s="219"/>
      <c r="O414" s="219"/>
      <c r="P414" s="219"/>
      <c r="Q414" s="219"/>
      <c r="R414" s="220"/>
      <c r="S414" s="4"/>
    </row>
    <row r="415" spans="2:19" ht="12.75" customHeight="1">
      <c r="B415" s="209"/>
      <c r="C415" s="209"/>
      <c r="D415" s="34" t="s">
        <v>24</v>
      </c>
      <c r="E415" s="218" t="s">
        <v>100</v>
      </c>
      <c r="F415" s="219"/>
      <c r="G415" s="219"/>
      <c r="H415" s="220"/>
      <c r="I415" s="30"/>
      <c r="J415" s="34"/>
      <c r="K415" s="34"/>
      <c r="L415" s="34"/>
      <c r="M415" s="12"/>
      <c r="N415" s="12"/>
      <c r="O415" s="34" t="s">
        <v>324</v>
      </c>
      <c r="P415" s="34"/>
      <c r="Q415" s="34" t="s">
        <v>324</v>
      </c>
      <c r="R415" s="13"/>
      <c r="S415" s="4"/>
    </row>
    <row r="416" spans="2:19" ht="25.5" hidden="1" customHeight="1" outlineLevel="1">
      <c r="B416" s="210"/>
      <c r="C416" s="210"/>
      <c r="D416" s="12"/>
      <c r="E416" s="139"/>
      <c r="F416" s="34" t="s">
        <v>27</v>
      </c>
      <c r="G416" s="34"/>
      <c r="H416" s="4" t="s">
        <v>101</v>
      </c>
      <c r="I416" s="31"/>
      <c r="J416" s="12"/>
      <c r="K416" s="12"/>
      <c r="L416" s="12"/>
      <c r="M416" s="12"/>
      <c r="N416" s="12"/>
      <c r="O416" s="12" t="s">
        <v>324</v>
      </c>
      <c r="P416" s="12"/>
      <c r="Q416" s="12" t="s">
        <v>324</v>
      </c>
      <c r="R416" s="13"/>
      <c r="S416" s="4" t="s">
        <v>325</v>
      </c>
    </row>
    <row r="417" spans="2:19" ht="12.75" hidden="1" customHeight="1" outlineLevel="1">
      <c r="B417" s="210"/>
      <c r="C417" s="210"/>
      <c r="D417" s="34" t="s">
        <v>31</v>
      </c>
      <c r="E417" s="218" t="s">
        <v>102</v>
      </c>
      <c r="F417" s="219"/>
      <c r="G417" s="219"/>
      <c r="H417" s="220"/>
      <c r="I417" s="30"/>
      <c r="J417" s="12"/>
      <c r="K417" s="12"/>
      <c r="L417" s="12"/>
      <c r="M417" s="12"/>
      <c r="N417" s="12"/>
      <c r="O417" s="12"/>
      <c r="P417" s="12"/>
      <c r="Q417" s="12"/>
      <c r="R417" s="13"/>
      <c r="S417" s="4"/>
    </row>
    <row r="418" spans="2:19" ht="12.75" hidden="1" customHeight="1" outlineLevel="1">
      <c r="B418" s="210"/>
      <c r="C418" s="210"/>
      <c r="D418" s="212"/>
      <c r="E418" s="212"/>
      <c r="F418" s="34" t="s">
        <v>27</v>
      </c>
      <c r="G418" s="34"/>
      <c r="H418" s="4" t="s">
        <v>103</v>
      </c>
      <c r="I418" s="31"/>
      <c r="J418" s="12"/>
      <c r="K418" s="12"/>
      <c r="L418" s="12"/>
      <c r="M418" s="12"/>
      <c r="N418" s="12"/>
      <c r="O418" s="12" t="s">
        <v>324</v>
      </c>
      <c r="P418" s="12"/>
      <c r="Q418" s="12" t="s">
        <v>324</v>
      </c>
      <c r="R418" s="13"/>
      <c r="S418" s="4" t="s">
        <v>325</v>
      </c>
    </row>
    <row r="419" spans="2:19" ht="12.75" hidden="1" customHeight="1" outlineLevel="1">
      <c r="B419" s="210"/>
      <c r="C419" s="210"/>
      <c r="D419" s="213"/>
      <c r="E419" s="213"/>
      <c r="F419" s="34" t="s">
        <v>29</v>
      </c>
      <c r="G419" s="34"/>
      <c r="H419" s="4"/>
      <c r="I419" s="31"/>
      <c r="J419" s="12"/>
      <c r="K419" s="12"/>
      <c r="L419" s="12"/>
      <c r="M419" s="12"/>
      <c r="N419" s="12"/>
      <c r="O419" s="12" t="s">
        <v>324</v>
      </c>
      <c r="P419" s="12"/>
      <c r="Q419" s="12" t="s">
        <v>324</v>
      </c>
      <c r="R419" s="13"/>
      <c r="S419" s="4" t="s">
        <v>325</v>
      </c>
    </row>
    <row r="420" spans="2:19" ht="12.75" hidden="1" customHeight="1" outlineLevel="1">
      <c r="B420" s="210"/>
      <c r="C420" s="210"/>
      <c r="D420" s="213"/>
      <c r="E420" s="213"/>
      <c r="F420" s="34" t="s">
        <v>35</v>
      </c>
      <c r="G420" s="34"/>
      <c r="H420" s="4" t="s">
        <v>104</v>
      </c>
      <c r="I420" s="31"/>
      <c r="J420" s="12"/>
      <c r="K420" s="12"/>
      <c r="L420" s="12"/>
      <c r="M420" s="12"/>
      <c r="N420" s="12"/>
      <c r="O420" s="12" t="s">
        <v>324</v>
      </c>
      <c r="P420" s="12"/>
      <c r="Q420" s="12" t="s">
        <v>324</v>
      </c>
      <c r="R420" s="13"/>
      <c r="S420" s="4" t="s">
        <v>325</v>
      </c>
    </row>
    <row r="421" spans="2:19" ht="12.75" hidden="1" customHeight="1" outlineLevel="1">
      <c r="B421" s="210"/>
      <c r="C421" s="210"/>
      <c r="D421" s="214"/>
      <c r="E421" s="214"/>
      <c r="F421" s="34" t="s">
        <v>36</v>
      </c>
      <c r="G421" s="34"/>
      <c r="H421" s="4"/>
      <c r="I421" s="31"/>
      <c r="J421" s="12"/>
      <c r="K421" s="12"/>
      <c r="L421" s="12"/>
      <c r="M421" s="12"/>
      <c r="N421" s="12"/>
      <c r="O421" s="12"/>
      <c r="P421" s="12"/>
      <c r="Q421" s="12"/>
      <c r="R421" s="13"/>
      <c r="S421" s="4" t="s">
        <v>325</v>
      </c>
    </row>
    <row r="422" spans="2:19" ht="12.75" hidden="1" customHeight="1" outlineLevel="1">
      <c r="B422" s="210"/>
      <c r="C422" s="210"/>
      <c r="D422" s="34" t="s">
        <v>33</v>
      </c>
      <c r="E422" s="218" t="s">
        <v>105</v>
      </c>
      <c r="F422" s="219"/>
      <c r="G422" s="219"/>
      <c r="H422" s="220"/>
      <c r="I422" s="30"/>
      <c r="J422" s="12"/>
      <c r="K422" s="12"/>
      <c r="L422" s="12"/>
      <c r="M422" s="12"/>
      <c r="N422" s="12"/>
      <c r="O422" s="12"/>
      <c r="P422" s="12"/>
      <c r="Q422" s="12"/>
      <c r="R422" s="13"/>
      <c r="S422" s="4"/>
    </row>
    <row r="423" spans="2:19" ht="12.75" hidden="1" customHeight="1" outlineLevel="1">
      <c r="B423" s="210"/>
      <c r="C423" s="210"/>
      <c r="D423" s="12"/>
      <c r="E423" s="3"/>
      <c r="F423" s="34" t="s">
        <v>27</v>
      </c>
      <c r="G423" s="34"/>
      <c r="H423" s="4" t="s">
        <v>106</v>
      </c>
      <c r="I423" s="31"/>
      <c r="J423" s="12"/>
      <c r="K423" s="12"/>
      <c r="L423" s="12"/>
      <c r="M423" s="12"/>
      <c r="N423" s="12"/>
      <c r="O423" s="12" t="s">
        <v>324</v>
      </c>
      <c r="P423" s="12"/>
      <c r="Q423" s="12" t="s">
        <v>324</v>
      </c>
      <c r="R423" s="13"/>
      <c r="S423" s="4" t="s">
        <v>325</v>
      </c>
    </row>
    <row r="424" spans="2:19" ht="12.75" hidden="1" customHeight="1" outlineLevel="1">
      <c r="B424" s="210"/>
      <c r="C424" s="210"/>
      <c r="D424" s="34" t="s">
        <v>52</v>
      </c>
      <c r="E424" s="218" t="s">
        <v>107</v>
      </c>
      <c r="F424" s="219"/>
      <c r="G424" s="219"/>
      <c r="H424" s="220"/>
      <c r="I424" s="30"/>
      <c r="J424" s="12"/>
      <c r="K424" s="12"/>
      <c r="L424" s="12"/>
      <c r="M424" s="12"/>
      <c r="N424" s="12"/>
      <c r="O424" s="12"/>
      <c r="P424" s="12"/>
      <c r="Q424" s="12"/>
      <c r="R424" s="13"/>
      <c r="S424" s="4"/>
    </row>
    <row r="425" spans="2:19" ht="12.75" hidden="1" customHeight="1" outlineLevel="1">
      <c r="B425" s="210"/>
      <c r="C425" s="210"/>
      <c r="D425" s="212"/>
      <c r="E425" s="212"/>
      <c r="F425" s="34" t="s">
        <v>27</v>
      </c>
      <c r="G425" s="34"/>
      <c r="H425" s="4" t="s">
        <v>1574</v>
      </c>
      <c r="I425" s="31"/>
      <c r="J425" s="12"/>
      <c r="K425" s="12"/>
      <c r="L425" s="12"/>
      <c r="M425" s="12"/>
      <c r="N425" s="12"/>
      <c r="O425" s="12" t="s">
        <v>324</v>
      </c>
      <c r="P425" s="12"/>
      <c r="Q425" s="12" t="s">
        <v>324</v>
      </c>
      <c r="R425" s="13"/>
      <c r="S425" s="4" t="s">
        <v>325</v>
      </c>
    </row>
    <row r="426" spans="2:19" ht="12.75" hidden="1" customHeight="1" outlineLevel="1">
      <c r="B426" s="210"/>
      <c r="C426" s="210"/>
      <c r="D426" s="213"/>
      <c r="E426" s="213"/>
      <c r="F426" s="34"/>
      <c r="G426" s="34"/>
      <c r="H426" s="4"/>
      <c r="I426" s="31"/>
      <c r="J426" s="12"/>
      <c r="K426" s="12"/>
      <c r="L426" s="12"/>
      <c r="M426" s="12"/>
      <c r="N426" s="12"/>
      <c r="O426" s="12"/>
      <c r="P426" s="12"/>
      <c r="Q426" s="12"/>
      <c r="R426" s="13"/>
      <c r="S426" s="4"/>
    </row>
    <row r="427" spans="2:19" ht="12.75" hidden="1" customHeight="1" outlineLevel="1">
      <c r="B427" s="210"/>
      <c r="C427" s="210"/>
      <c r="D427" s="213"/>
      <c r="E427" s="213"/>
      <c r="F427" s="34" t="s">
        <v>29</v>
      </c>
      <c r="G427" s="34"/>
      <c r="H427" s="4" t="s">
        <v>511</v>
      </c>
      <c r="I427" s="31" t="s">
        <v>512</v>
      </c>
      <c r="J427" s="12"/>
      <c r="K427" s="12"/>
      <c r="L427" s="12"/>
      <c r="M427" s="12"/>
      <c r="N427" s="12"/>
      <c r="O427" s="12" t="s">
        <v>324</v>
      </c>
      <c r="P427" s="12"/>
      <c r="Q427" s="12" t="s">
        <v>324</v>
      </c>
      <c r="R427" s="13"/>
      <c r="S427" s="4" t="s">
        <v>325</v>
      </c>
    </row>
    <row r="428" spans="2:19" ht="12.75" hidden="1" customHeight="1" outlineLevel="1">
      <c r="B428" s="210"/>
      <c r="C428" s="210"/>
      <c r="D428" s="213"/>
      <c r="E428" s="213"/>
      <c r="F428" s="34"/>
      <c r="G428" s="34"/>
      <c r="H428" s="4" t="s">
        <v>511</v>
      </c>
      <c r="I428" s="31" t="s">
        <v>654</v>
      </c>
      <c r="J428" s="12"/>
      <c r="K428" s="12"/>
      <c r="L428" s="12"/>
      <c r="M428" s="12"/>
      <c r="N428" s="12"/>
      <c r="O428" s="12"/>
      <c r="P428" s="12"/>
      <c r="Q428" s="12"/>
      <c r="R428" s="13"/>
      <c r="S428" s="4"/>
    </row>
    <row r="429" spans="2:19" ht="12.75" hidden="1" customHeight="1" outlineLevel="1">
      <c r="B429" s="210"/>
      <c r="C429" s="210"/>
      <c r="D429" s="213"/>
      <c r="E429" s="213"/>
      <c r="F429" s="34"/>
      <c r="G429" s="34"/>
      <c r="H429" s="4" t="s">
        <v>511</v>
      </c>
      <c r="I429" s="31" t="s">
        <v>729</v>
      </c>
      <c r="J429" s="12"/>
      <c r="K429" s="12"/>
      <c r="L429" s="12"/>
      <c r="M429" s="12"/>
      <c r="N429" s="12"/>
      <c r="O429" s="12"/>
      <c r="P429" s="12"/>
      <c r="Q429" s="12"/>
      <c r="R429" s="13"/>
      <c r="S429" s="4"/>
    </row>
    <row r="430" spans="2:19" ht="12.75" hidden="1" customHeight="1" outlineLevel="1">
      <c r="B430" s="210"/>
      <c r="C430" s="210"/>
      <c r="D430" s="213"/>
      <c r="E430" s="213"/>
      <c r="F430" s="34"/>
      <c r="G430" s="34"/>
      <c r="H430" s="4" t="s">
        <v>511</v>
      </c>
      <c r="I430" s="31" t="s">
        <v>730</v>
      </c>
      <c r="J430" s="12"/>
      <c r="K430" s="12"/>
      <c r="L430" s="12"/>
      <c r="M430" s="12"/>
      <c r="N430" s="12"/>
      <c r="O430" s="12"/>
      <c r="P430" s="12"/>
      <c r="Q430" s="12"/>
      <c r="R430" s="13"/>
      <c r="S430" s="4"/>
    </row>
    <row r="431" spans="2:19" ht="12.75" hidden="1" customHeight="1" outlineLevel="1">
      <c r="B431" s="210"/>
      <c r="C431" s="210"/>
      <c r="D431" s="213"/>
      <c r="E431" s="213"/>
      <c r="F431" s="34"/>
      <c r="G431" s="34"/>
      <c r="H431" s="4"/>
      <c r="I431" s="31"/>
      <c r="J431" s="12"/>
      <c r="K431" s="12"/>
      <c r="L431" s="12"/>
      <c r="M431" s="12"/>
      <c r="N431" s="12"/>
      <c r="O431" s="12"/>
      <c r="P431" s="12"/>
      <c r="Q431" s="12"/>
      <c r="R431" s="13"/>
      <c r="S431" s="4"/>
    </row>
    <row r="432" spans="2:19" ht="12.75" hidden="1" customHeight="1" outlineLevel="1">
      <c r="B432" s="210"/>
      <c r="C432" s="210"/>
      <c r="D432" s="213"/>
      <c r="E432" s="213"/>
      <c r="F432" s="34" t="s">
        <v>35</v>
      </c>
      <c r="G432" s="34"/>
      <c r="H432" s="4" t="s">
        <v>513</v>
      </c>
      <c r="I432" s="31" t="s">
        <v>512</v>
      </c>
      <c r="J432" s="12"/>
      <c r="K432" s="12"/>
      <c r="L432" s="12"/>
      <c r="M432" s="12"/>
      <c r="N432" s="12"/>
      <c r="O432" s="12" t="s">
        <v>324</v>
      </c>
      <c r="P432" s="12"/>
      <c r="Q432" s="12" t="s">
        <v>324</v>
      </c>
      <c r="R432" s="13"/>
      <c r="S432" s="4" t="s">
        <v>325</v>
      </c>
    </row>
    <row r="433" spans="2:19" ht="12.75" hidden="1" customHeight="1" outlineLevel="1">
      <c r="B433" s="210"/>
      <c r="C433" s="210"/>
      <c r="D433" s="213"/>
      <c r="E433" s="213"/>
      <c r="F433" s="34"/>
      <c r="G433" s="34"/>
      <c r="H433" s="4" t="s">
        <v>513</v>
      </c>
      <c r="I433" s="31" t="s">
        <v>654</v>
      </c>
      <c r="J433" s="12"/>
      <c r="K433" s="12"/>
      <c r="L433" s="12"/>
      <c r="M433" s="12"/>
      <c r="N433" s="12"/>
      <c r="O433" s="12"/>
      <c r="P433" s="12"/>
      <c r="Q433" s="12"/>
      <c r="R433" s="13"/>
      <c r="S433" s="4"/>
    </row>
    <row r="434" spans="2:19" ht="12.75" hidden="1" customHeight="1" outlineLevel="1">
      <c r="B434" s="210"/>
      <c r="C434" s="210"/>
      <c r="D434" s="213"/>
      <c r="E434" s="213"/>
      <c r="F434" s="34"/>
      <c r="G434" s="34"/>
      <c r="H434" s="4" t="s">
        <v>513</v>
      </c>
      <c r="I434" s="31" t="s">
        <v>729</v>
      </c>
      <c r="J434" s="12"/>
      <c r="K434" s="12"/>
      <c r="L434" s="12"/>
      <c r="M434" s="12"/>
      <c r="N434" s="12"/>
      <c r="O434" s="12"/>
      <c r="P434" s="12"/>
      <c r="Q434" s="12"/>
      <c r="R434" s="13"/>
      <c r="S434" s="4"/>
    </row>
    <row r="435" spans="2:19" ht="12.75" hidden="1" customHeight="1" outlineLevel="1">
      <c r="B435" s="210"/>
      <c r="C435" s="210"/>
      <c r="D435" s="213"/>
      <c r="E435" s="213"/>
      <c r="F435" s="34"/>
      <c r="G435" s="34"/>
      <c r="H435" s="4"/>
      <c r="I435" s="31"/>
      <c r="J435" s="12"/>
      <c r="K435" s="12"/>
      <c r="L435" s="12"/>
      <c r="M435" s="12"/>
      <c r="N435" s="12"/>
      <c r="O435" s="12"/>
      <c r="P435" s="12"/>
      <c r="Q435" s="12"/>
      <c r="R435" s="13"/>
      <c r="S435" s="4"/>
    </row>
    <row r="436" spans="2:19" ht="12.75" hidden="1" customHeight="1" outlineLevel="1">
      <c r="B436" s="210"/>
      <c r="C436" s="210"/>
      <c r="D436" s="213"/>
      <c r="E436" s="213"/>
      <c r="F436" s="34" t="s">
        <v>36</v>
      </c>
      <c r="G436" s="34"/>
      <c r="H436" s="4" t="s">
        <v>514</v>
      </c>
      <c r="I436" s="31" t="s">
        <v>512</v>
      </c>
      <c r="J436" s="12"/>
      <c r="K436" s="12"/>
      <c r="L436" s="12"/>
      <c r="M436" s="12"/>
      <c r="N436" s="12"/>
      <c r="O436" s="12" t="s">
        <v>324</v>
      </c>
      <c r="P436" s="12"/>
      <c r="Q436" s="12" t="s">
        <v>324</v>
      </c>
      <c r="R436" s="13"/>
      <c r="S436" s="4" t="s">
        <v>325</v>
      </c>
    </row>
    <row r="437" spans="2:19" ht="12.75" hidden="1" customHeight="1" outlineLevel="1">
      <c r="B437" s="210"/>
      <c r="C437" s="210"/>
      <c r="D437" s="213"/>
      <c r="E437" s="213"/>
      <c r="F437" s="34"/>
      <c r="G437" s="34"/>
      <c r="H437" s="4" t="s">
        <v>514</v>
      </c>
      <c r="I437" s="31" t="s">
        <v>654</v>
      </c>
      <c r="J437" s="12"/>
      <c r="K437" s="12"/>
      <c r="L437" s="12"/>
      <c r="M437" s="12"/>
      <c r="N437" s="12"/>
      <c r="O437" s="12"/>
      <c r="P437" s="12"/>
      <c r="Q437" s="12"/>
      <c r="R437" s="13"/>
      <c r="S437" s="4"/>
    </row>
    <row r="438" spans="2:19" ht="12.75" hidden="1" customHeight="1" outlineLevel="1">
      <c r="B438" s="210"/>
      <c r="C438" s="210"/>
      <c r="D438" s="213"/>
      <c r="E438" s="213"/>
      <c r="F438" s="34"/>
      <c r="G438" s="34"/>
      <c r="H438" s="4" t="s">
        <v>514</v>
      </c>
      <c r="I438" s="31" t="s">
        <v>729</v>
      </c>
      <c r="J438" s="12"/>
      <c r="K438" s="12"/>
      <c r="L438" s="12"/>
      <c r="M438" s="12"/>
      <c r="N438" s="12"/>
      <c r="O438" s="12"/>
      <c r="P438" s="12"/>
      <c r="Q438" s="12"/>
      <c r="R438" s="13"/>
      <c r="S438" s="4"/>
    </row>
    <row r="439" spans="2:19" ht="12.75" hidden="1" customHeight="1" outlineLevel="1">
      <c r="B439" s="210"/>
      <c r="C439" s="210"/>
      <c r="D439" s="213"/>
      <c r="E439" s="213"/>
      <c r="F439" s="34"/>
      <c r="G439" s="34"/>
      <c r="H439" s="4" t="s">
        <v>514</v>
      </c>
      <c r="I439" s="31" t="s">
        <v>730</v>
      </c>
      <c r="J439" s="12"/>
      <c r="K439" s="12"/>
      <c r="L439" s="12"/>
      <c r="M439" s="12"/>
      <c r="N439" s="12"/>
      <c r="O439" s="12"/>
      <c r="P439" s="12"/>
      <c r="Q439" s="12"/>
      <c r="R439" s="13"/>
      <c r="S439" s="4"/>
    </row>
    <row r="440" spans="2:19" ht="12.75" hidden="1" customHeight="1" outlineLevel="1">
      <c r="B440" s="210"/>
      <c r="C440" s="210"/>
      <c r="D440" s="213"/>
      <c r="E440" s="213"/>
      <c r="F440" s="34"/>
      <c r="G440" s="34"/>
      <c r="H440" s="4"/>
      <c r="I440" s="31"/>
      <c r="J440" s="12"/>
      <c r="K440" s="12"/>
      <c r="L440" s="12"/>
      <c r="M440" s="12"/>
      <c r="N440" s="12"/>
      <c r="O440" s="12"/>
      <c r="P440" s="12"/>
      <c r="Q440" s="12"/>
      <c r="R440" s="13"/>
      <c r="S440" s="4"/>
    </row>
    <row r="441" spans="2:19" ht="12.75" hidden="1" customHeight="1" outlineLevel="1">
      <c r="B441" s="210"/>
      <c r="C441" s="210"/>
      <c r="D441" s="213"/>
      <c r="E441" s="213"/>
      <c r="F441" s="34" t="s">
        <v>38</v>
      </c>
      <c r="G441" s="34"/>
      <c r="H441" s="4" t="s">
        <v>515</v>
      </c>
      <c r="I441" s="31" t="s">
        <v>512</v>
      </c>
      <c r="J441" s="12"/>
      <c r="K441" s="12"/>
      <c r="L441" s="12"/>
      <c r="M441" s="12"/>
      <c r="N441" s="12"/>
      <c r="O441" s="12" t="s">
        <v>324</v>
      </c>
      <c r="P441" s="12"/>
      <c r="Q441" s="12" t="s">
        <v>324</v>
      </c>
      <c r="R441" s="13"/>
      <c r="S441" s="4" t="s">
        <v>325</v>
      </c>
    </row>
    <row r="442" spans="2:19" ht="12.75" hidden="1" customHeight="1" outlineLevel="1">
      <c r="B442" s="210"/>
      <c r="C442" s="210"/>
      <c r="D442" s="213"/>
      <c r="E442" s="213"/>
      <c r="F442" s="34"/>
      <c r="G442" s="34"/>
      <c r="H442" s="4" t="s">
        <v>515</v>
      </c>
      <c r="I442" s="31" t="s">
        <v>654</v>
      </c>
      <c r="J442" s="12"/>
      <c r="K442" s="12"/>
      <c r="L442" s="12"/>
      <c r="M442" s="12"/>
      <c r="N442" s="12"/>
      <c r="O442" s="12"/>
      <c r="P442" s="12"/>
      <c r="Q442" s="12"/>
      <c r="R442" s="13"/>
      <c r="S442" s="4"/>
    </row>
    <row r="443" spans="2:19" ht="12.75" hidden="1" customHeight="1" outlineLevel="1">
      <c r="B443" s="210"/>
      <c r="C443" s="210"/>
      <c r="D443" s="213"/>
      <c r="E443" s="213"/>
      <c r="F443" s="34"/>
      <c r="G443" s="34"/>
      <c r="H443" s="4" t="s">
        <v>515</v>
      </c>
      <c r="I443" s="31" t="s">
        <v>729</v>
      </c>
      <c r="J443" s="12"/>
      <c r="K443" s="12"/>
      <c r="L443" s="12"/>
      <c r="M443" s="12"/>
      <c r="N443" s="12"/>
      <c r="O443" s="12"/>
      <c r="P443" s="12"/>
      <c r="Q443" s="12"/>
      <c r="R443" s="13"/>
      <c r="S443" s="4"/>
    </row>
    <row r="444" spans="2:19" ht="12.75" hidden="1" customHeight="1" outlineLevel="1">
      <c r="B444" s="210"/>
      <c r="C444" s="210"/>
      <c r="D444" s="213"/>
      <c r="E444" s="213"/>
      <c r="F444" s="34"/>
      <c r="G444" s="34"/>
      <c r="H444" s="4"/>
      <c r="I444" s="31"/>
      <c r="J444" s="12"/>
      <c r="K444" s="12"/>
      <c r="L444" s="12"/>
      <c r="M444" s="12"/>
      <c r="N444" s="12"/>
      <c r="O444" s="12"/>
      <c r="P444" s="12"/>
      <c r="Q444" s="12"/>
      <c r="R444" s="13"/>
      <c r="S444" s="4"/>
    </row>
    <row r="445" spans="2:19" ht="12.75" hidden="1" customHeight="1" outlineLevel="1">
      <c r="B445" s="210"/>
      <c r="C445" s="210"/>
      <c r="D445" s="213"/>
      <c r="E445" s="213"/>
      <c r="F445" s="34" t="s">
        <v>40</v>
      </c>
      <c r="G445" s="34"/>
      <c r="H445" s="4" t="s">
        <v>516</v>
      </c>
      <c r="I445" s="31" t="s">
        <v>512</v>
      </c>
      <c r="J445" s="12"/>
      <c r="K445" s="12"/>
      <c r="L445" s="12"/>
      <c r="M445" s="12"/>
      <c r="N445" s="12"/>
      <c r="O445" s="12" t="s">
        <v>324</v>
      </c>
      <c r="P445" s="12"/>
      <c r="Q445" s="12" t="s">
        <v>324</v>
      </c>
      <c r="R445" s="13"/>
      <c r="S445" s="4" t="s">
        <v>325</v>
      </c>
    </row>
    <row r="446" spans="2:19" ht="12.75" hidden="1" customHeight="1" outlineLevel="1">
      <c r="B446" s="210"/>
      <c r="C446" s="210"/>
      <c r="D446" s="213"/>
      <c r="E446" s="213"/>
      <c r="F446" s="34"/>
      <c r="G446" s="34"/>
      <c r="H446" s="4" t="s">
        <v>516</v>
      </c>
      <c r="I446" s="31" t="s">
        <v>654</v>
      </c>
      <c r="J446" s="12"/>
      <c r="K446" s="12"/>
      <c r="L446" s="12"/>
      <c r="M446" s="12"/>
      <c r="N446" s="12"/>
      <c r="O446" s="12"/>
      <c r="P446" s="12"/>
      <c r="Q446" s="12"/>
      <c r="R446" s="13"/>
      <c r="S446" s="4"/>
    </row>
    <row r="447" spans="2:19" ht="12.75" hidden="1" customHeight="1" outlineLevel="1">
      <c r="B447" s="210"/>
      <c r="C447" s="210"/>
      <c r="D447" s="213"/>
      <c r="E447" s="213"/>
      <c r="F447" s="34"/>
      <c r="G447" s="34"/>
      <c r="H447" s="4" t="s">
        <v>516</v>
      </c>
      <c r="I447" s="31" t="s">
        <v>729</v>
      </c>
      <c r="J447" s="12"/>
      <c r="K447" s="12"/>
      <c r="L447" s="12"/>
      <c r="M447" s="12"/>
      <c r="N447" s="12"/>
      <c r="O447" s="12"/>
      <c r="P447" s="12"/>
      <c r="Q447" s="12"/>
      <c r="R447" s="13"/>
      <c r="S447" s="4"/>
    </row>
    <row r="448" spans="2:19" ht="12.75" hidden="1" customHeight="1" outlineLevel="1">
      <c r="B448" s="210"/>
      <c r="C448" s="210"/>
      <c r="D448" s="213"/>
      <c r="E448" s="213"/>
      <c r="F448" s="34"/>
      <c r="G448" s="34"/>
      <c r="H448" s="4" t="s">
        <v>1575</v>
      </c>
      <c r="I448" s="31" t="s">
        <v>730</v>
      </c>
      <c r="J448" s="12"/>
      <c r="K448" s="12"/>
      <c r="L448" s="12"/>
      <c r="M448" s="12"/>
      <c r="N448" s="12"/>
      <c r="O448" s="12"/>
      <c r="P448" s="12"/>
      <c r="Q448" s="12"/>
      <c r="R448" s="13"/>
      <c r="S448" s="4"/>
    </row>
    <row r="449" spans="2:19" ht="12.75" hidden="1" customHeight="1" outlineLevel="1">
      <c r="B449" s="210"/>
      <c r="C449" s="210"/>
      <c r="D449" s="213"/>
      <c r="E449" s="213"/>
      <c r="F449" s="34"/>
      <c r="G449" s="34"/>
      <c r="H449" s="4"/>
      <c r="I449" s="31"/>
      <c r="J449" s="12"/>
      <c r="K449" s="12"/>
      <c r="L449" s="12"/>
      <c r="M449" s="12"/>
      <c r="N449" s="12"/>
      <c r="O449" s="12"/>
      <c r="P449" s="12"/>
      <c r="Q449" s="12"/>
      <c r="R449" s="13"/>
      <c r="S449" s="4"/>
    </row>
    <row r="450" spans="2:19" ht="12.75" hidden="1" customHeight="1" outlineLevel="1">
      <c r="B450" s="210"/>
      <c r="C450" s="210"/>
      <c r="D450" s="213"/>
      <c r="E450" s="213"/>
      <c r="F450" s="34" t="s">
        <v>108</v>
      </c>
      <c r="G450" s="34"/>
      <c r="H450" s="4" t="s">
        <v>517</v>
      </c>
      <c r="I450" s="31" t="s">
        <v>512</v>
      </c>
      <c r="J450" s="12"/>
      <c r="K450" s="12"/>
      <c r="L450" s="12"/>
      <c r="M450" s="12"/>
      <c r="N450" s="12"/>
      <c r="O450" s="12" t="s">
        <v>324</v>
      </c>
      <c r="P450" s="12"/>
      <c r="Q450" s="12" t="s">
        <v>324</v>
      </c>
      <c r="R450" s="13"/>
      <c r="S450" s="4" t="s">
        <v>325</v>
      </c>
    </row>
    <row r="451" spans="2:19" ht="12.75" hidden="1" customHeight="1" outlineLevel="1">
      <c r="B451" s="210"/>
      <c r="C451" s="210"/>
      <c r="D451" s="213"/>
      <c r="E451" s="213"/>
      <c r="F451" s="34"/>
      <c r="G451" s="34"/>
      <c r="H451" s="4" t="s">
        <v>517</v>
      </c>
      <c r="I451" s="31" t="s">
        <v>654</v>
      </c>
      <c r="J451" s="12"/>
      <c r="K451" s="12"/>
      <c r="L451" s="12"/>
      <c r="M451" s="12"/>
      <c r="N451" s="12"/>
      <c r="O451" s="12"/>
      <c r="P451" s="12"/>
      <c r="Q451" s="12"/>
      <c r="R451" s="13"/>
      <c r="S451" s="4"/>
    </row>
    <row r="452" spans="2:19" ht="12.75" hidden="1" customHeight="1" outlineLevel="1">
      <c r="B452" s="210"/>
      <c r="C452" s="210"/>
      <c r="D452" s="213"/>
      <c r="E452" s="213"/>
      <c r="F452" s="34"/>
      <c r="G452" s="34"/>
      <c r="H452" s="4" t="s">
        <v>517</v>
      </c>
      <c r="I452" s="31" t="s">
        <v>729</v>
      </c>
      <c r="J452" s="12"/>
      <c r="K452" s="12"/>
      <c r="L452" s="12"/>
      <c r="M452" s="12"/>
      <c r="N452" s="12"/>
      <c r="O452" s="12"/>
      <c r="P452" s="12"/>
      <c r="Q452" s="12"/>
      <c r="R452" s="13"/>
      <c r="S452" s="4"/>
    </row>
    <row r="453" spans="2:19" ht="12.75" hidden="1" customHeight="1" outlineLevel="1">
      <c r="B453" s="210"/>
      <c r="C453" s="210"/>
      <c r="D453" s="213"/>
      <c r="E453" s="213"/>
      <c r="F453" s="34"/>
      <c r="G453" s="34"/>
      <c r="H453" s="4"/>
      <c r="I453" s="31"/>
      <c r="J453" s="12"/>
      <c r="K453" s="12"/>
      <c r="L453" s="12"/>
      <c r="M453" s="12"/>
      <c r="N453" s="12"/>
      <c r="O453" s="12"/>
      <c r="P453" s="12"/>
      <c r="Q453" s="12"/>
      <c r="R453" s="13"/>
      <c r="S453" s="4"/>
    </row>
    <row r="454" spans="2:19" ht="12.75" hidden="1" customHeight="1" outlineLevel="1">
      <c r="B454" s="210"/>
      <c r="C454" s="210"/>
      <c r="D454" s="34" t="s">
        <v>42</v>
      </c>
      <c r="E454" s="218" t="s">
        <v>109</v>
      </c>
      <c r="F454" s="219"/>
      <c r="G454" s="219"/>
      <c r="H454" s="220"/>
      <c r="I454" s="30"/>
      <c r="J454" s="12"/>
      <c r="K454" s="12"/>
      <c r="L454" s="12"/>
      <c r="M454" s="12"/>
      <c r="N454" s="12"/>
      <c r="O454" s="12"/>
      <c r="P454" s="12"/>
      <c r="Q454" s="12"/>
      <c r="R454" s="13"/>
      <c r="S454" s="4"/>
    </row>
    <row r="455" spans="2:19" ht="12.75" hidden="1" customHeight="1" outlineLevel="1">
      <c r="B455" s="210"/>
      <c r="C455" s="210"/>
      <c r="D455" s="209"/>
      <c r="E455" s="209"/>
      <c r="F455" s="34" t="s">
        <v>27</v>
      </c>
      <c r="G455" s="34"/>
      <c r="H455" s="4" t="s">
        <v>110</v>
      </c>
      <c r="I455" s="31"/>
      <c r="J455" s="12"/>
      <c r="K455" s="12"/>
      <c r="L455" s="12"/>
      <c r="M455" s="12"/>
      <c r="N455" s="12"/>
      <c r="O455" s="12" t="s">
        <v>324</v>
      </c>
      <c r="P455" s="12"/>
      <c r="Q455" s="12" t="s">
        <v>324</v>
      </c>
      <c r="R455" s="13"/>
      <c r="S455" s="4" t="s">
        <v>325</v>
      </c>
    </row>
    <row r="456" spans="2:19" ht="12.75" hidden="1" customHeight="1" outlineLevel="1">
      <c r="B456" s="210"/>
      <c r="C456" s="210"/>
      <c r="D456" s="210"/>
      <c r="E456" s="210"/>
      <c r="F456" s="34" t="s">
        <v>29</v>
      </c>
      <c r="G456" s="34"/>
      <c r="H456" s="4" t="s">
        <v>111</v>
      </c>
      <c r="I456" s="31"/>
      <c r="J456" s="12"/>
      <c r="K456" s="12"/>
      <c r="L456" s="12"/>
      <c r="M456" s="12"/>
      <c r="N456" s="12"/>
      <c r="O456" s="12" t="s">
        <v>324</v>
      </c>
      <c r="P456" s="12"/>
      <c r="Q456" s="12" t="s">
        <v>324</v>
      </c>
      <c r="R456" s="13"/>
      <c r="S456" s="4" t="s">
        <v>325</v>
      </c>
    </row>
    <row r="457" spans="2:19" ht="12.75" hidden="1" customHeight="1" outlineLevel="1">
      <c r="B457" s="210"/>
      <c r="C457" s="210"/>
      <c r="D457" s="211"/>
      <c r="E457" s="211"/>
      <c r="F457" s="34"/>
      <c r="G457" s="34"/>
      <c r="H457" s="4"/>
      <c r="I457" s="31"/>
      <c r="J457" s="12"/>
      <c r="K457" s="12"/>
      <c r="L457" s="12"/>
      <c r="M457" s="12"/>
      <c r="N457" s="12"/>
      <c r="O457" s="12"/>
      <c r="P457" s="12"/>
      <c r="Q457" s="12"/>
      <c r="R457" s="13"/>
      <c r="S457" s="4"/>
    </row>
    <row r="458" spans="2:19" ht="12.75" hidden="1" customHeight="1" outlineLevel="1">
      <c r="B458" s="210"/>
      <c r="C458" s="210"/>
      <c r="D458" s="34" t="s">
        <v>55</v>
      </c>
      <c r="E458" s="218" t="s">
        <v>112</v>
      </c>
      <c r="F458" s="219"/>
      <c r="G458" s="219"/>
      <c r="H458" s="220"/>
      <c r="I458" s="30"/>
      <c r="J458" s="12"/>
      <c r="K458" s="12"/>
      <c r="L458" s="12"/>
      <c r="M458" s="12"/>
      <c r="N458" s="12"/>
      <c r="O458" s="12"/>
      <c r="P458" s="12"/>
      <c r="Q458" s="12"/>
      <c r="R458" s="13"/>
      <c r="S458" s="4"/>
    </row>
    <row r="459" spans="2:19" ht="12.75" hidden="1" customHeight="1" outlineLevel="1">
      <c r="B459" s="210"/>
      <c r="C459" s="210"/>
      <c r="D459" s="212"/>
      <c r="E459" s="212"/>
      <c r="F459" s="34" t="s">
        <v>27</v>
      </c>
      <c r="G459" s="34"/>
      <c r="H459" s="4" t="s">
        <v>113</v>
      </c>
      <c r="I459" s="31" t="s">
        <v>3</v>
      </c>
      <c r="J459" s="12"/>
      <c r="K459" s="12"/>
      <c r="L459" s="12"/>
      <c r="M459" s="12"/>
      <c r="N459" s="12"/>
      <c r="O459" s="12" t="s">
        <v>324</v>
      </c>
      <c r="P459" s="12"/>
      <c r="Q459" s="12" t="s">
        <v>324</v>
      </c>
      <c r="R459" s="13"/>
      <c r="S459" s="4" t="s">
        <v>325</v>
      </c>
    </row>
    <row r="460" spans="2:19" ht="12.75" hidden="1" customHeight="1" outlineLevel="1">
      <c r="B460" s="210"/>
      <c r="C460" s="210"/>
      <c r="D460" s="213"/>
      <c r="E460" s="213"/>
      <c r="F460" s="34" t="s">
        <v>29</v>
      </c>
      <c r="G460" s="34"/>
      <c r="H460" s="4" t="s">
        <v>114</v>
      </c>
      <c r="I460" s="31"/>
      <c r="J460" s="12"/>
      <c r="K460" s="12"/>
      <c r="L460" s="12"/>
      <c r="M460" s="12"/>
      <c r="N460" s="12"/>
      <c r="O460" s="12" t="s">
        <v>324</v>
      </c>
      <c r="P460" s="12"/>
      <c r="Q460" s="12" t="s">
        <v>324</v>
      </c>
      <c r="R460" s="13"/>
      <c r="S460" s="4" t="s">
        <v>325</v>
      </c>
    </row>
    <row r="461" spans="2:19" ht="12.75" hidden="1" customHeight="1" outlineLevel="1">
      <c r="B461" s="210"/>
      <c r="C461" s="210"/>
      <c r="D461" s="214"/>
      <c r="E461" s="214"/>
      <c r="F461" s="34"/>
      <c r="G461" s="34"/>
      <c r="H461" s="4"/>
      <c r="I461" s="31"/>
      <c r="J461" s="12"/>
      <c r="K461" s="12"/>
      <c r="L461" s="12"/>
      <c r="M461" s="12"/>
      <c r="N461" s="12"/>
      <c r="O461" s="12"/>
      <c r="P461" s="12"/>
      <c r="Q461" s="12"/>
      <c r="R461" s="13"/>
      <c r="S461" s="4"/>
    </row>
    <row r="462" spans="2:19" ht="12.75" hidden="1" customHeight="1" outlineLevel="1">
      <c r="B462" s="210"/>
      <c r="C462" s="210"/>
      <c r="D462" s="34" t="s">
        <v>57</v>
      </c>
      <c r="E462" s="218" t="s">
        <v>115</v>
      </c>
      <c r="F462" s="219"/>
      <c r="G462" s="219"/>
      <c r="H462" s="220"/>
      <c r="I462" s="30"/>
      <c r="J462" s="12"/>
      <c r="K462" s="12"/>
      <c r="L462" s="12"/>
      <c r="M462" s="12"/>
      <c r="N462" s="12"/>
      <c r="O462" s="12"/>
      <c r="P462" s="12"/>
      <c r="Q462" s="12"/>
      <c r="R462" s="13"/>
      <c r="S462" s="4"/>
    </row>
    <row r="463" spans="2:19" ht="12.75" hidden="1" customHeight="1" outlineLevel="1">
      <c r="B463" s="210"/>
      <c r="C463" s="210"/>
      <c r="D463" s="12"/>
      <c r="E463" s="3"/>
      <c r="F463" s="34" t="s">
        <v>35</v>
      </c>
      <c r="G463" s="34"/>
      <c r="H463" s="4" t="s">
        <v>116</v>
      </c>
      <c r="I463" s="31"/>
      <c r="J463" s="12"/>
      <c r="K463" s="12"/>
      <c r="L463" s="12"/>
      <c r="M463" s="12"/>
      <c r="N463" s="12"/>
      <c r="O463" s="12" t="s">
        <v>324</v>
      </c>
      <c r="P463" s="12"/>
      <c r="Q463" s="12" t="s">
        <v>324</v>
      </c>
      <c r="R463" s="13"/>
      <c r="S463" s="4" t="s">
        <v>325</v>
      </c>
    </row>
    <row r="464" spans="2:19" ht="12.75" hidden="1" customHeight="1" outlineLevel="1">
      <c r="B464" s="210"/>
      <c r="C464" s="210"/>
      <c r="D464" s="34" t="s">
        <v>117</v>
      </c>
      <c r="E464" s="218" t="s">
        <v>118</v>
      </c>
      <c r="F464" s="219"/>
      <c r="G464" s="219"/>
      <c r="H464" s="220"/>
      <c r="I464" s="30"/>
      <c r="J464" s="12"/>
      <c r="K464" s="12"/>
      <c r="L464" s="12"/>
      <c r="M464" s="12"/>
      <c r="N464" s="12"/>
      <c r="O464" s="12"/>
      <c r="P464" s="12"/>
      <c r="Q464" s="12"/>
      <c r="R464" s="13"/>
      <c r="S464" s="4"/>
    </row>
    <row r="465" spans="2:19" ht="12.75" hidden="1" customHeight="1" outlineLevel="1">
      <c r="B465" s="210"/>
      <c r="C465" s="210"/>
      <c r="D465" s="212"/>
      <c r="E465" s="212"/>
      <c r="F465" s="34" t="s">
        <v>27</v>
      </c>
      <c r="G465" s="34"/>
      <c r="H465" s="4" t="s">
        <v>504</v>
      </c>
      <c r="I465" s="31"/>
      <c r="J465" s="12"/>
      <c r="K465" s="12"/>
      <c r="L465" s="12"/>
      <c r="M465" s="12"/>
      <c r="N465" s="12"/>
      <c r="O465" s="12" t="s">
        <v>324</v>
      </c>
      <c r="P465" s="12"/>
      <c r="Q465" s="12" t="s">
        <v>324</v>
      </c>
      <c r="R465" s="13"/>
      <c r="S465" s="4" t="s">
        <v>325</v>
      </c>
    </row>
    <row r="466" spans="2:19" ht="12.75" hidden="1" customHeight="1" outlineLevel="1">
      <c r="B466" s="210"/>
      <c r="C466" s="210"/>
      <c r="D466" s="213"/>
      <c r="E466" s="213"/>
      <c r="F466" s="34" t="s">
        <v>29</v>
      </c>
      <c r="G466" s="34"/>
      <c r="H466" s="4" t="s">
        <v>505</v>
      </c>
      <c r="I466" s="31"/>
      <c r="J466" s="12"/>
      <c r="K466" s="12"/>
      <c r="L466" s="12"/>
      <c r="M466" s="12"/>
      <c r="N466" s="12"/>
      <c r="O466" s="12"/>
      <c r="P466" s="12"/>
      <c r="Q466" s="12"/>
      <c r="R466" s="13"/>
      <c r="S466" s="4"/>
    </row>
    <row r="467" spans="2:19" ht="12.75" hidden="1" customHeight="1" outlineLevel="1">
      <c r="B467" s="210"/>
      <c r="C467" s="210"/>
      <c r="D467" s="213"/>
      <c r="E467" s="213"/>
      <c r="F467" s="34" t="s">
        <v>35</v>
      </c>
      <c r="G467" s="34"/>
      <c r="H467" s="4" t="s">
        <v>507</v>
      </c>
      <c r="I467" s="31"/>
      <c r="J467" s="12"/>
      <c r="K467" s="12"/>
      <c r="L467" s="12"/>
      <c r="M467" s="12"/>
      <c r="N467" s="12"/>
      <c r="O467" s="12"/>
      <c r="P467" s="12"/>
      <c r="Q467" s="12"/>
      <c r="R467" s="13"/>
      <c r="S467" s="4"/>
    </row>
    <row r="468" spans="2:19" ht="12.75" hidden="1" customHeight="1" outlineLevel="1">
      <c r="B468" s="210"/>
      <c r="C468" s="210"/>
      <c r="D468" s="213"/>
      <c r="E468" s="213"/>
      <c r="F468" s="34" t="s">
        <v>36</v>
      </c>
      <c r="G468" s="34"/>
      <c r="H468" s="4" t="s">
        <v>506</v>
      </c>
      <c r="I468" s="31"/>
      <c r="J468" s="12"/>
      <c r="K468" s="12"/>
      <c r="L468" s="12"/>
      <c r="M468" s="12"/>
      <c r="N468" s="12"/>
      <c r="O468" s="12"/>
      <c r="P468" s="12"/>
      <c r="Q468" s="12"/>
      <c r="R468" s="13"/>
      <c r="S468" s="4"/>
    </row>
    <row r="469" spans="2:19" ht="12.75" hidden="1" customHeight="1" outlineLevel="1">
      <c r="B469" s="210"/>
      <c r="C469" s="210"/>
      <c r="D469" s="213"/>
      <c r="E469" s="213"/>
      <c r="F469" s="34" t="s">
        <v>38</v>
      </c>
      <c r="G469" s="34"/>
      <c r="H469" s="4" t="s">
        <v>508</v>
      </c>
      <c r="I469" s="31"/>
      <c r="J469" s="12"/>
      <c r="K469" s="12"/>
      <c r="L469" s="12"/>
      <c r="M469" s="12"/>
      <c r="N469" s="12"/>
      <c r="O469" s="12"/>
      <c r="P469" s="12"/>
      <c r="Q469" s="12"/>
      <c r="R469" s="13"/>
      <c r="S469" s="4"/>
    </row>
    <row r="470" spans="2:19" ht="12.75" hidden="1" customHeight="1" outlineLevel="1">
      <c r="B470" s="210"/>
      <c r="C470" s="210"/>
      <c r="D470" s="213"/>
      <c r="E470" s="213"/>
      <c r="F470" s="34" t="s">
        <v>40</v>
      </c>
      <c r="G470" s="34"/>
      <c r="H470" s="4" t="s">
        <v>509</v>
      </c>
      <c r="I470" s="31"/>
      <c r="J470" s="12"/>
      <c r="K470" s="12"/>
      <c r="L470" s="12"/>
      <c r="M470" s="12"/>
      <c r="N470" s="12"/>
      <c r="O470" s="12"/>
      <c r="P470" s="12"/>
      <c r="Q470" s="12"/>
      <c r="R470" s="13"/>
      <c r="S470" s="4"/>
    </row>
    <row r="471" spans="2:19" ht="12.75" hidden="1" customHeight="1" outlineLevel="1">
      <c r="B471" s="210"/>
      <c r="C471" s="210"/>
      <c r="D471" s="213"/>
      <c r="E471" s="213"/>
      <c r="F471" s="34" t="s">
        <v>108</v>
      </c>
      <c r="G471" s="34"/>
      <c r="H471" s="4" t="s">
        <v>510</v>
      </c>
      <c r="I471" s="31"/>
      <c r="J471" s="12"/>
      <c r="K471" s="12"/>
      <c r="L471" s="12"/>
      <c r="M471" s="12"/>
      <c r="N471" s="12"/>
      <c r="O471" s="12"/>
      <c r="P471" s="12"/>
      <c r="Q471" s="12"/>
      <c r="R471" s="13"/>
      <c r="S471" s="4"/>
    </row>
    <row r="472" spans="2:19" ht="12.75" hidden="1" customHeight="1" outlineLevel="1">
      <c r="B472" s="210"/>
      <c r="C472" s="210"/>
      <c r="D472" s="214"/>
      <c r="E472" s="214"/>
      <c r="F472" s="34"/>
      <c r="G472" s="34"/>
      <c r="H472" s="4"/>
      <c r="I472" s="31"/>
      <c r="J472" s="12"/>
      <c r="K472" s="12"/>
      <c r="L472" s="12"/>
      <c r="M472" s="12"/>
      <c r="N472" s="12"/>
      <c r="O472" s="12"/>
      <c r="P472" s="12"/>
      <c r="Q472" s="12"/>
      <c r="R472" s="13"/>
      <c r="S472" s="4"/>
    </row>
    <row r="473" spans="2:19" ht="12.75" hidden="1" customHeight="1" outlineLevel="1">
      <c r="B473" s="210"/>
      <c r="C473" s="210"/>
      <c r="D473" s="34" t="s">
        <v>119</v>
      </c>
      <c r="E473" s="218" t="s">
        <v>120</v>
      </c>
      <c r="F473" s="219"/>
      <c r="G473" s="219"/>
      <c r="H473" s="220"/>
      <c r="I473" s="30"/>
      <c r="J473" s="12"/>
      <c r="K473" s="12"/>
      <c r="L473" s="12"/>
      <c r="M473" s="12"/>
      <c r="N473" s="12"/>
      <c r="O473" s="12"/>
      <c r="P473" s="12"/>
      <c r="Q473" s="12"/>
      <c r="R473" s="13"/>
      <c r="S473" s="4"/>
    </row>
    <row r="474" spans="2:19" ht="12.75" hidden="1" customHeight="1" outlineLevel="1">
      <c r="B474" s="210"/>
      <c r="C474" s="210"/>
      <c r="D474" s="212"/>
      <c r="E474" s="212"/>
      <c r="F474" s="34" t="s">
        <v>27</v>
      </c>
      <c r="G474" s="34"/>
      <c r="H474" s="4" t="s">
        <v>121</v>
      </c>
      <c r="I474" s="31"/>
      <c r="J474" s="12"/>
      <c r="K474" s="12"/>
      <c r="L474" s="12"/>
      <c r="M474" s="12"/>
      <c r="N474" s="12"/>
      <c r="O474" s="12" t="s">
        <v>324</v>
      </c>
      <c r="P474" s="12"/>
      <c r="Q474" s="12" t="s">
        <v>324</v>
      </c>
      <c r="R474" s="13"/>
      <c r="S474" s="4" t="s">
        <v>325</v>
      </c>
    </row>
    <row r="475" spans="2:19" ht="12.75" hidden="1" customHeight="1" outlineLevel="1">
      <c r="B475" s="211"/>
      <c r="C475" s="211"/>
      <c r="D475" s="214"/>
      <c r="E475" s="214"/>
      <c r="F475" s="34"/>
      <c r="G475" s="34"/>
      <c r="H475" s="4"/>
      <c r="I475" s="31"/>
      <c r="J475" s="12"/>
      <c r="K475" s="12"/>
      <c r="L475" s="12"/>
      <c r="M475" s="12"/>
      <c r="N475" s="12"/>
      <c r="O475" s="12"/>
      <c r="P475" s="12"/>
      <c r="Q475" s="12"/>
      <c r="R475" s="13"/>
      <c r="S475" s="4"/>
    </row>
    <row r="476" spans="2:19" ht="12.75" customHeight="1" collapsed="1">
      <c r="B476" s="34" t="s">
        <v>122</v>
      </c>
      <c r="C476" s="218" t="s">
        <v>123</v>
      </c>
      <c r="D476" s="219"/>
      <c r="E476" s="219"/>
      <c r="F476" s="219"/>
      <c r="G476" s="219"/>
      <c r="H476" s="219"/>
      <c r="I476" s="219"/>
      <c r="J476" s="219"/>
      <c r="K476" s="219"/>
      <c r="L476" s="219"/>
      <c r="M476" s="219"/>
      <c r="N476" s="219"/>
      <c r="O476" s="219"/>
      <c r="P476" s="219"/>
      <c r="Q476" s="219"/>
      <c r="R476" s="220"/>
      <c r="S476" s="4"/>
    </row>
    <row r="477" spans="2:19" ht="28">
      <c r="B477" s="209"/>
      <c r="C477" s="209"/>
      <c r="D477" s="34" t="s">
        <v>24</v>
      </c>
      <c r="E477" s="218" t="s">
        <v>124</v>
      </c>
      <c r="F477" s="219"/>
      <c r="G477" s="219"/>
      <c r="H477" s="220"/>
      <c r="I477" s="30"/>
      <c r="J477" s="34"/>
      <c r="K477" s="34"/>
      <c r="L477" s="34"/>
      <c r="M477" s="12"/>
      <c r="N477" s="12"/>
      <c r="O477" s="34" t="s">
        <v>26</v>
      </c>
      <c r="P477" s="34"/>
      <c r="Q477" s="34" t="s">
        <v>26</v>
      </c>
      <c r="R477" s="13"/>
      <c r="S477" s="4"/>
    </row>
    <row r="478" spans="2:19" ht="14" outlineLevel="1">
      <c r="B478" s="210"/>
      <c r="C478" s="210"/>
      <c r="D478" s="212"/>
      <c r="E478" s="212"/>
      <c r="F478" s="34" t="s">
        <v>27</v>
      </c>
      <c r="G478" s="34"/>
      <c r="H478" s="4" t="s">
        <v>125</v>
      </c>
      <c r="I478" s="31" t="s">
        <v>3</v>
      </c>
      <c r="J478" s="12" t="s">
        <v>333</v>
      </c>
      <c r="K478" s="53">
        <v>44208</v>
      </c>
      <c r="L478" s="53">
        <v>44208</v>
      </c>
      <c r="M478" s="12" t="s">
        <v>910</v>
      </c>
      <c r="N478" s="12" t="s">
        <v>911</v>
      </c>
      <c r="O478" s="12" t="s">
        <v>326</v>
      </c>
      <c r="P478" s="12"/>
      <c r="Q478" s="12" t="s">
        <v>324</v>
      </c>
      <c r="R478" s="13"/>
      <c r="S478" s="4"/>
    </row>
    <row r="479" spans="2:19" ht="14" outlineLevel="1">
      <c r="B479" s="210"/>
      <c r="C479" s="210"/>
      <c r="D479" s="213"/>
      <c r="E479" s="213"/>
      <c r="F479" s="34"/>
      <c r="G479" s="34"/>
      <c r="H479" s="4" t="s">
        <v>125</v>
      </c>
      <c r="I479" s="31" t="s">
        <v>512</v>
      </c>
      <c r="J479" s="12" t="s">
        <v>332</v>
      </c>
      <c r="K479" s="53" t="s">
        <v>349</v>
      </c>
      <c r="L479" s="53">
        <v>44215</v>
      </c>
      <c r="M479" s="12" t="s">
        <v>910</v>
      </c>
      <c r="N479" s="12" t="s">
        <v>923</v>
      </c>
      <c r="O479" s="12" t="s">
        <v>326</v>
      </c>
      <c r="P479" s="12"/>
      <c r="Q479" s="12" t="s">
        <v>324</v>
      </c>
      <c r="R479" s="13"/>
      <c r="S479" s="4"/>
    </row>
    <row r="480" spans="2:19" ht="14" outlineLevel="1">
      <c r="B480" s="210"/>
      <c r="C480" s="210"/>
      <c r="D480" s="213"/>
      <c r="E480" s="213"/>
      <c r="F480" s="34"/>
      <c r="G480" s="34"/>
      <c r="H480" s="4" t="s">
        <v>125</v>
      </c>
      <c r="I480" s="31" t="s">
        <v>654</v>
      </c>
      <c r="J480" s="12" t="s">
        <v>332</v>
      </c>
      <c r="K480" s="53" t="s">
        <v>349</v>
      </c>
      <c r="L480" s="53">
        <v>44755</v>
      </c>
      <c r="M480" s="12" t="s">
        <v>910</v>
      </c>
      <c r="N480" s="12" t="s">
        <v>3120</v>
      </c>
      <c r="O480" s="12" t="s">
        <v>326</v>
      </c>
      <c r="P480" s="12"/>
      <c r="Q480" s="12"/>
      <c r="R480" s="13"/>
      <c r="S480" s="79"/>
    </row>
    <row r="481" spans="2:19" outlineLevel="1">
      <c r="B481" s="210"/>
      <c r="C481" s="210"/>
      <c r="D481" s="213"/>
      <c r="E481" s="213"/>
      <c r="F481" s="34"/>
      <c r="G481" s="34"/>
      <c r="H481" s="4"/>
      <c r="I481" s="31"/>
      <c r="J481" s="12"/>
      <c r="K481" s="53"/>
      <c r="L481" s="53"/>
      <c r="M481" s="12"/>
      <c r="N481" s="12"/>
      <c r="O481" s="12"/>
      <c r="P481" s="12"/>
      <c r="Q481" s="12"/>
      <c r="R481" s="13"/>
      <c r="S481" s="79"/>
    </row>
    <row r="482" spans="2:19" ht="14" outlineLevel="1">
      <c r="B482" s="210"/>
      <c r="C482" s="210"/>
      <c r="D482" s="213"/>
      <c r="E482" s="213"/>
      <c r="F482" s="34" t="s">
        <v>29</v>
      </c>
      <c r="G482" s="34"/>
      <c r="H482" s="4" t="s">
        <v>126</v>
      </c>
      <c r="I482" s="31" t="s">
        <v>512</v>
      </c>
      <c r="J482" s="12" t="s">
        <v>332</v>
      </c>
      <c r="K482" s="53">
        <v>44182</v>
      </c>
      <c r="L482" s="53">
        <v>44546</v>
      </c>
      <c r="M482" s="12" t="s">
        <v>924</v>
      </c>
      <c r="N482" s="12" t="s">
        <v>925</v>
      </c>
      <c r="O482" s="12" t="s">
        <v>326</v>
      </c>
      <c r="P482" s="12"/>
      <c r="Q482" s="12" t="s">
        <v>326</v>
      </c>
      <c r="R482" s="55">
        <v>44211</v>
      </c>
      <c r="S482" s="79"/>
    </row>
    <row r="483" spans="2:19" ht="14" outlineLevel="1">
      <c r="B483" s="210"/>
      <c r="C483" s="210"/>
      <c r="D483" s="213"/>
      <c r="E483" s="213"/>
      <c r="F483" s="34"/>
      <c r="G483" s="34"/>
      <c r="H483" s="4" t="s">
        <v>126</v>
      </c>
      <c r="I483" s="31" t="s">
        <v>729</v>
      </c>
      <c r="J483" s="12" t="s">
        <v>332</v>
      </c>
      <c r="K483" s="53" t="s">
        <v>349</v>
      </c>
      <c r="L483" s="53">
        <v>44340</v>
      </c>
      <c r="M483" s="12" t="s">
        <v>924</v>
      </c>
      <c r="N483" s="12" t="s">
        <v>1727</v>
      </c>
      <c r="O483" s="12" t="s">
        <v>326</v>
      </c>
      <c r="P483" s="12"/>
      <c r="Q483" s="12"/>
      <c r="R483" s="55"/>
      <c r="S483" s="79"/>
    </row>
    <row r="484" spans="2:19" ht="14" outlineLevel="1">
      <c r="B484" s="210"/>
      <c r="C484" s="210"/>
      <c r="D484" s="213"/>
      <c r="E484" s="213"/>
      <c r="F484" s="34"/>
      <c r="G484" s="34"/>
      <c r="H484" s="4" t="s">
        <v>126</v>
      </c>
      <c r="I484" s="31" t="s">
        <v>730</v>
      </c>
      <c r="J484" s="12" t="s">
        <v>332</v>
      </c>
      <c r="K484" s="53" t="s">
        <v>349</v>
      </c>
      <c r="L484" s="53">
        <v>44350</v>
      </c>
      <c r="M484" s="12" t="s">
        <v>924</v>
      </c>
      <c r="N484" s="12" t="s">
        <v>1755</v>
      </c>
      <c r="O484" s="12" t="s">
        <v>326</v>
      </c>
      <c r="P484" s="12"/>
      <c r="Q484" s="12"/>
      <c r="R484" s="55"/>
      <c r="S484" s="79"/>
    </row>
    <row r="485" spans="2:19" ht="14" outlineLevel="1">
      <c r="B485" s="210"/>
      <c r="C485" s="210"/>
      <c r="D485" s="213"/>
      <c r="E485" s="213"/>
      <c r="F485" s="34"/>
      <c r="G485" s="34"/>
      <c r="H485" s="4" t="s">
        <v>126</v>
      </c>
      <c r="I485" s="31" t="s">
        <v>1161</v>
      </c>
      <c r="J485" s="12" t="s">
        <v>332</v>
      </c>
      <c r="K485" s="53" t="s">
        <v>349</v>
      </c>
      <c r="L485" s="53">
        <v>44575</v>
      </c>
      <c r="M485" s="12" t="s">
        <v>924</v>
      </c>
      <c r="N485" s="12" t="s">
        <v>2634</v>
      </c>
      <c r="O485" s="12" t="s">
        <v>326</v>
      </c>
      <c r="P485" s="12"/>
      <c r="Q485" s="12"/>
      <c r="R485" s="55"/>
      <c r="S485" s="79"/>
    </row>
    <row r="486" spans="2:19" ht="14" outlineLevel="1">
      <c r="B486" s="210"/>
      <c r="C486" s="210"/>
      <c r="D486" s="213"/>
      <c r="E486" s="213"/>
      <c r="F486" s="34"/>
      <c r="G486" s="34"/>
      <c r="H486" s="4" t="s">
        <v>126</v>
      </c>
      <c r="I486" s="31" t="s">
        <v>917</v>
      </c>
      <c r="J486" s="12" t="s">
        <v>332</v>
      </c>
      <c r="K486" s="53" t="s">
        <v>349</v>
      </c>
      <c r="L486" s="53">
        <v>44755</v>
      </c>
      <c r="M486" s="12" t="s">
        <v>924</v>
      </c>
      <c r="N486" s="12" t="s">
        <v>3120</v>
      </c>
      <c r="O486" s="12" t="s">
        <v>326</v>
      </c>
      <c r="P486" s="12"/>
      <c r="Q486" s="12"/>
      <c r="R486" s="55"/>
      <c r="S486" s="79"/>
    </row>
    <row r="487" spans="2:19" outlineLevel="1">
      <c r="B487" s="210"/>
      <c r="C487" s="210"/>
      <c r="D487" s="213"/>
      <c r="E487" s="213"/>
      <c r="F487" s="34"/>
      <c r="G487" s="34"/>
      <c r="H487" s="4"/>
      <c r="I487" s="31"/>
      <c r="J487" s="12"/>
      <c r="K487" s="53"/>
      <c r="L487" s="53"/>
      <c r="M487" s="12"/>
      <c r="N487" s="12"/>
      <c r="O487" s="12"/>
      <c r="P487" s="12"/>
      <c r="Q487" s="12"/>
      <c r="R487" s="55"/>
      <c r="S487" s="79"/>
    </row>
    <row r="488" spans="2:19" ht="14" outlineLevel="1">
      <c r="B488" s="210"/>
      <c r="C488" s="210"/>
      <c r="D488" s="213"/>
      <c r="E488" s="213"/>
      <c r="F488" s="34"/>
      <c r="G488" s="34" t="s">
        <v>176</v>
      </c>
      <c r="H488" s="4" t="s">
        <v>1370</v>
      </c>
      <c r="I488" s="31" t="s">
        <v>349</v>
      </c>
      <c r="J488" s="12" t="s">
        <v>333</v>
      </c>
      <c r="K488" s="53" t="s">
        <v>349</v>
      </c>
      <c r="L488" s="53">
        <v>44291</v>
      </c>
      <c r="M488" s="12" t="s">
        <v>1373</v>
      </c>
      <c r="N488" s="12" t="s">
        <v>1372</v>
      </c>
      <c r="O488" s="12" t="s">
        <v>326</v>
      </c>
      <c r="P488" s="12"/>
      <c r="Q488" s="12" t="s">
        <v>324</v>
      </c>
      <c r="R488" s="55"/>
      <c r="S488" s="79"/>
    </row>
    <row r="489" spans="2:19" ht="14" outlineLevel="1">
      <c r="B489" s="210"/>
      <c r="C489" s="210"/>
      <c r="D489" s="213"/>
      <c r="E489" s="213"/>
      <c r="F489" s="34"/>
      <c r="G489" s="34"/>
      <c r="H489" s="4" t="s">
        <v>1370</v>
      </c>
      <c r="I489" s="31" t="s">
        <v>349</v>
      </c>
      <c r="J489" s="12" t="s">
        <v>333</v>
      </c>
      <c r="K489" s="53" t="s">
        <v>349</v>
      </c>
      <c r="L489" s="53">
        <v>44806</v>
      </c>
      <c r="M489" s="12" t="s">
        <v>3229</v>
      </c>
      <c r="N489" s="12" t="s">
        <v>3231</v>
      </c>
      <c r="O489" s="12" t="s">
        <v>326</v>
      </c>
      <c r="P489" s="12"/>
      <c r="Q489" s="12"/>
      <c r="R489" s="55"/>
      <c r="S489" s="79"/>
    </row>
    <row r="490" spans="2:19" outlineLevel="1">
      <c r="B490" s="210"/>
      <c r="C490" s="210"/>
      <c r="D490" s="213"/>
      <c r="E490" s="213"/>
      <c r="F490" s="34"/>
      <c r="G490" s="34"/>
      <c r="H490" s="4"/>
      <c r="I490" s="31"/>
      <c r="J490" s="12"/>
      <c r="K490" s="53"/>
      <c r="L490" s="53"/>
      <c r="M490" s="12"/>
      <c r="N490" s="12"/>
      <c r="O490" s="12"/>
      <c r="P490" s="12"/>
      <c r="Q490" s="12"/>
      <c r="R490" s="55"/>
      <c r="S490" s="79"/>
    </row>
    <row r="491" spans="2:19" ht="14" outlineLevel="1">
      <c r="B491" s="210"/>
      <c r="C491" s="210"/>
      <c r="D491" s="213"/>
      <c r="E491" s="213"/>
      <c r="F491" s="34" t="s">
        <v>35</v>
      </c>
      <c r="G491" s="34"/>
      <c r="H491" s="4" t="s">
        <v>127</v>
      </c>
      <c r="I491" s="31" t="s">
        <v>330</v>
      </c>
      <c r="J491" s="12" t="s">
        <v>332</v>
      </c>
      <c r="K491" s="53">
        <v>44000</v>
      </c>
      <c r="L491" s="12" t="s">
        <v>727</v>
      </c>
      <c r="M491" s="12" t="s">
        <v>349</v>
      </c>
      <c r="N491" s="12" t="s">
        <v>349</v>
      </c>
      <c r="O491" s="12" t="s">
        <v>324</v>
      </c>
      <c r="P491" s="12"/>
      <c r="Q491" s="12" t="s">
        <v>324</v>
      </c>
      <c r="R491" s="13"/>
      <c r="S491" s="79"/>
    </row>
    <row r="492" spans="2:19" ht="14" outlineLevel="1">
      <c r="B492" s="210"/>
      <c r="C492" s="210"/>
      <c r="D492" s="213"/>
      <c r="E492" s="213"/>
      <c r="F492" s="34"/>
      <c r="G492" s="34"/>
      <c r="H492" s="4" t="s">
        <v>127</v>
      </c>
      <c r="I492" s="31" t="s">
        <v>654</v>
      </c>
      <c r="J492" s="12" t="s">
        <v>332</v>
      </c>
      <c r="K492" s="53">
        <v>44022</v>
      </c>
      <c r="L492" s="53">
        <v>44154</v>
      </c>
      <c r="M492" s="12" t="s">
        <v>655</v>
      </c>
      <c r="N492" s="12" t="s">
        <v>656</v>
      </c>
      <c r="O492" s="12" t="s">
        <v>326</v>
      </c>
      <c r="P492" s="12"/>
      <c r="Q492" s="12" t="s">
        <v>326</v>
      </c>
      <c r="R492" s="55">
        <v>44264</v>
      </c>
      <c r="S492" s="79"/>
    </row>
    <row r="493" spans="2:19" ht="14" outlineLevel="1">
      <c r="B493" s="210"/>
      <c r="C493" s="210"/>
      <c r="D493" s="213"/>
      <c r="E493" s="213"/>
      <c r="F493" s="34"/>
      <c r="G493" s="34"/>
      <c r="H493" s="4" t="s">
        <v>127</v>
      </c>
      <c r="I493" s="31" t="s">
        <v>730</v>
      </c>
      <c r="J493" s="12" t="s">
        <v>332</v>
      </c>
      <c r="K493" s="53" t="s">
        <v>349</v>
      </c>
      <c r="L493" s="53">
        <v>44755</v>
      </c>
      <c r="M493" s="12" t="s">
        <v>655</v>
      </c>
      <c r="N493" s="12" t="s">
        <v>3120</v>
      </c>
      <c r="O493" s="12" t="s">
        <v>326</v>
      </c>
      <c r="P493" s="12"/>
      <c r="Q493" s="12"/>
      <c r="R493" s="55"/>
      <c r="S493" s="79"/>
    </row>
    <row r="494" spans="2:19" ht="14" outlineLevel="1">
      <c r="B494" s="210"/>
      <c r="C494" s="210"/>
      <c r="D494" s="213"/>
      <c r="E494" s="213"/>
      <c r="F494" s="34"/>
      <c r="G494" s="34"/>
      <c r="H494" s="4" t="s">
        <v>127</v>
      </c>
      <c r="I494" s="31" t="s">
        <v>1161</v>
      </c>
      <c r="J494" s="12" t="s">
        <v>332</v>
      </c>
      <c r="K494" s="53" t="s">
        <v>349</v>
      </c>
      <c r="L494" s="53">
        <v>44838</v>
      </c>
      <c r="M494" s="12" t="s">
        <v>655</v>
      </c>
      <c r="N494" s="12" t="s">
        <v>3264</v>
      </c>
      <c r="O494" s="12" t="s">
        <v>326</v>
      </c>
      <c r="P494" s="12"/>
      <c r="Q494" s="12"/>
      <c r="R494" s="55"/>
      <c r="S494" s="79"/>
    </row>
    <row r="495" spans="2:19" outlineLevel="1">
      <c r="B495" s="210"/>
      <c r="C495" s="210"/>
      <c r="D495" s="213"/>
      <c r="E495" s="213"/>
      <c r="F495" s="34"/>
      <c r="G495" s="34"/>
      <c r="H495" s="4"/>
      <c r="I495" s="31"/>
      <c r="J495" s="12"/>
      <c r="K495" s="53"/>
      <c r="L495" s="53"/>
      <c r="M495" s="12"/>
      <c r="N495" s="12"/>
      <c r="O495" s="12"/>
      <c r="P495" s="12"/>
      <c r="Q495" s="12"/>
      <c r="R495" s="55"/>
      <c r="S495" s="79"/>
    </row>
    <row r="496" spans="2:19" ht="14" outlineLevel="1">
      <c r="B496" s="210"/>
      <c r="C496" s="210"/>
      <c r="D496" s="213"/>
      <c r="E496" s="213"/>
      <c r="F496" s="34"/>
      <c r="G496" s="34" t="s">
        <v>176</v>
      </c>
      <c r="H496" s="4" t="s">
        <v>1370</v>
      </c>
      <c r="I496" s="31" t="s">
        <v>349</v>
      </c>
      <c r="J496" s="12" t="s">
        <v>333</v>
      </c>
      <c r="K496" s="53" t="s">
        <v>349</v>
      </c>
      <c r="L496" s="53">
        <v>44546</v>
      </c>
      <c r="M496" s="12" t="s">
        <v>2565</v>
      </c>
      <c r="N496" s="12" t="s">
        <v>2566</v>
      </c>
      <c r="O496" s="12" t="s">
        <v>326</v>
      </c>
      <c r="P496" s="12"/>
      <c r="Q496" s="12"/>
      <c r="R496" s="55"/>
      <c r="S496" s="79"/>
    </row>
    <row r="497" spans="2:19" ht="14" outlineLevel="1">
      <c r="B497" s="210"/>
      <c r="C497" s="210"/>
      <c r="D497" s="213"/>
      <c r="E497" s="213"/>
      <c r="F497" s="34"/>
      <c r="G497" s="34"/>
      <c r="H497" s="4" t="s">
        <v>1370</v>
      </c>
      <c r="I497" s="31" t="s">
        <v>349</v>
      </c>
      <c r="J497" s="12" t="s">
        <v>333</v>
      </c>
      <c r="K497" s="53" t="s">
        <v>349</v>
      </c>
      <c r="L497" s="53">
        <v>44806</v>
      </c>
      <c r="M497" s="12" t="s">
        <v>3227</v>
      </c>
      <c r="N497" s="12" t="s">
        <v>3231</v>
      </c>
      <c r="O497" s="12" t="s">
        <v>326</v>
      </c>
      <c r="P497" s="12"/>
      <c r="Q497" s="12"/>
      <c r="R497" s="55"/>
      <c r="S497" s="79"/>
    </row>
    <row r="498" spans="2:19" outlineLevel="1">
      <c r="B498" s="210"/>
      <c r="C498" s="210"/>
      <c r="D498" s="213"/>
      <c r="E498" s="213"/>
      <c r="F498" s="34"/>
      <c r="G498" s="34"/>
      <c r="H498" s="4"/>
      <c r="I498" s="31"/>
      <c r="J498" s="12"/>
      <c r="K498" s="53"/>
      <c r="L498" s="53"/>
      <c r="M498" s="12"/>
      <c r="N498" s="12"/>
      <c r="O498" s="12"/>
      <c r="P498" s="12"/>
      <c r="Q498" s="12"/>
      <c r="R498" s="55"/>
      <c r="S498" s="79"/>
    </row>
    <row r="499" spans="2:19" ht="14" outlineLevel="1">
      <c r="B499" s="210"/>
      <c r="C499" s="210"/>
      <c r="D499" s="213"/>
      <c r="E499" s="213"/>
      <c r="F499" s="34" t="s">
        <v>36</v>
      </c>
      <c r="G499" s="34"/>
      <c r="H499" s="4" t="s">
        <v>128</v>
      </c>
      <c r="I499" s="31" t="s">
        <v>3</v>
      </c>
      <c r="J499" s="12" t="s">
        <v>332</v>
      </c>
      <c r="K499" s="53">
        <v>44250</v>
      </c>
      <c r="L499" s="53">
        <v>44264</v>
      </c>
      <c r="M499" s="12" t="s">
        <v>1214</v>
      </c>
      <c r="N499" s="12" t="s">
        <v>1215</v>
      </c>
      <c r="O499" s="12" t="s">
        <v>326</v>
      </c>
      <c r="P499" s="12"/>
      <c r="Q499" s="12" t="s">
        <v>326</v>
      </c>
      <c r="R499" s="55">
        <v>44264</v>
      </c>
      <c r="S499" s="79"/>
    </row>
    <row r="500" spans="2:19" ht="14" outlineLevel="1">
      <c r="B500" s="210"/>
      <c r="C500" s="210"/>
      <c r="D500" s="213"/>
      <c r="E500" s="213"/>
      <c r="F500" s="34"/>
      <c r="G500" s="34"/>
      <c r="H500" s="4" t="s">
        <v>128</v>
      </c>
      <c r="I500" s="31" t="s">
        <v>654</v>
      </c>
      <c r="J500" s="12" t="s">
        <v>332</v>
      </c>
      <c r="K500" s="53" t="s">
        <v>349</v>
      </c>
      <c r="L500" s="53">
        <v>44344</v>
      </c>
      <c r="M500" s="12" t="s">
        <v>1214</v>
      </c>
      <c r="N500" s="12" t="s">
        <v>1738</v>
      </c>
      <c r="O500" s="12" t="s">
        <v>326</v>
      </c>
      <c r="P500" s="12"/>
      <c r="Q500" s="12"/>
      <c r="R500" s="55"/>
      <c r="S500" s="79"/>
    </row>
    <row r="501" spans="2:19" ht="14" outlineLevel="1">
      <c r="B501" s="210"/>
      <c r="C501" s="210"/>
      <c r="D501" s="213"/>
      <c r="E501" s="213"/>
      <c r="F501" s="34"/>
      <c r="G501" s="34"/>
      <c r="H501" s="4" t="s">
        <v>128</v>
      </c>
      <c r="I501" s="31" t="s">
        <v>729</v>
      </c>
      <c r="J501" s="12" t="s">
        <v>332</v>
      </c>
      <c r="K501" s="53" t="s">
        <v>349</v>
      </c>
      <c r="L501" s="53">
        <v>44383</v>
      </c>
      <c r="M501" s="12" t="s">
        <v>1214</v>
      </c>
      <c r="N501" s="12" t="s">
        <v>1951</v>
      </c>
      <c r="O501" s="12" t="s">
        <v>326</v>
      </c>
      <c r="P501" s="12"/>
      <c r="Q501" s="12"/>
      <c r="R501" s="55"/>
      <c r="S501" s="79"/>
    </row>
    <row r="502" spans="2:19" ht="14" outlineLevel="1">
      <c r="B502" s="210"/>
      <c r="C502" s="210"/>
      <c r="D502" s="213"/>
      <c r="E502" s="213"/>
      <c r="F502" s="34"/>
      <c r="G502" s="34"/>
      <c r="H502" s="4" t="s">
        <v>128</v>
      </c>
      <c r="I502" s="31" t="s">
        <v>730</v>
      </c>
      <c r="J502" s="12" t="s">
        <v>332</v>
      </c>
      <c r="K502" s="53" t="s">
        <v>349</v>
      </c>
      <c r="L502" s="53">
        <v>44456</v>
      </c>
      <c r="M502" s="12" t="s">
        <v>1214</v>
      </c>
      <c r="N502" s="12" t="s">
        <v>2227</v>
      </c>
      <c r="O502" s="12" t="s">
        <v>326</v>
      </c>
      <c r="P502" s="12"/>
      <c r="Q502" s="12"/>
      <c r="R502" s="55"/>
      <c r="S502" s="79"/>
    </row>
    <row r="503" spans="2:19" ht="14" outlineLevel="1">
      <c r="B503" s="210"/>
      <c r="C503" s="210"/>
      <c r="D503" s="213"/>
      <c r="E503" s="213"/>
      <c r="F503" s="34"/>
      <c r="G503" s="34"/>
      <c r="H503" s="4" t="s">
        <v>128</v>
      </c>
      <c r="I503" s="31" t="s">
        <v>1161</v>
      </c>
      <c r="J503" s="12" t="s">
        <v>332</v>
      </c>
      <c r="K503" s="53" t="s">
        <v>349</v>
      </c>
      <c r="L503" s="53">
        <v>44691</v>
      </c>
      <c r="M503" s="12" t="s">
        <v>1214</v>
      </c>
      <c r="N503" s="12" t="s">
        <v>2905</v>
      </c>
      <c r="O503" s="12" t="s">
        <v>326</v>
      </c>
      <c r="P503" s="12"/>
      <c r="Q503" s="12"/>
      <c r="R503" s="55"/>
      <c r="S503" s="79"/>
    </row>
    <row r="504" spans="2:19" ht="14" outlineLevel="1">
      <c r="B504" s="210"/>
      <c r="C504" s="210"/>
      <c r="D504" s="213"/>
      <c r="E504" s="213"/>
      <c r="F504" s="34"/>
      <c r="G504" s="34"/>
      <c r="H504" s="4" t="s">
        <v>128</v>
      </c>
      <c r="I504" s="31" t="s">
        <v>917</v>
      </c>
      <c r="J504" s="12" t="s">
        <v>332</v>
      </c>
      <c r="K504" s="53" t="s">
        <v>349</v>
      </c>
      <c r="L504" s="53">
        <v>44755</v>
      </c>
      <c r="M504" s="12" t="s">
        <v>1214</v>
      </c>
      <c r="N504" s="12" t="s">
        <v>3120</v>
      </c>
      <c r="O504" s="12" t="s">
        <v>326</v>
      </c>
      <c r="P504" s="12"/>
      <c r="Q504" s="12"/>
      <c r="R504" s="55"/>
      <c r="S504" s="79"/>
    </row>
    <row r="505" spans="2:19" outlineLevel="1">
      <c r="B505" s="210"/>
      <c r="C505" s="210"/>
      <c r="D505" s="213"/>
      <c r="E505" s="213"/>
      <c r="F505" s="34"/>
      <c r="G505" s="34"/>
      <c r="H505" s="4"/>
      <c r="I505" s="31"/>
      <c r="J505" s="12"/>
      <c r="K505" s="53"/>
      <c r="L505" s="53"/>
      <c r="M505" s="12"/>
      <c r="N505" s="12"/>
      <c r="O505" s="12"/>
      <c r="P505" s="12"/>
      <c r="Q505" s="12"/>
      <c r="R505" s="55"/>
      <c r="S505" s="79"/>
    </row>
    <row r="506" spans="2:19" ht="14" outlineLevel="1">
      <c r="B506" s="210"/>
      <c r="C506" s="210"/>
      <c r="D506" s="213"/>
      <c r="E506" s="213"/>
      <c r="F506" s="34"/>
      <c r="G506" s="34" t="s">
        <v>176</v>
      </c>
      <c r="H506" s="4" t="s">
        <v>1370</v>
      </c>
      <c r="I506" s="31" t="s">
        <v>349</v>
      </c>
      <c r="J506" s="12" t="s">
        <v>332</v>
      </c>
      <c r="K506" s="53" t="s">
        <v>349</v>
      </c>
      <c r="L506" s="53">
        <v>44497</v>
      </c>
      <c r="M506" s="12" t="s">
        <v>2376</v>
      </c>
      <c r="N506" s="12" t="s">
        <v>2378</v>
      </c>
      <c r="O506" s="12" t="s">
        <v>326</v>
      </c>
      <c r="P506" s="12"/>
      <c r="Q506" s="12"/>
      <c r="R506" s="55"/>
      <c r="S506" s="79"/>
    </row>
    <row r="507" spans="2:19" ht="14" outlineLevel="1">
      <c r="B507" s="210"/>
      <c r="C507" s="210"/>
      <c r="D507" s="213"/>
      <c r="E507" s="213"/>
      <c r="F507" s="34"/>
      <c r="G507" s="34"/>
      <c r="H507" s="4" t="s">
        <v>1370</v>
      </c>
      <c r="I507" s="31" t="s">
        <v>349</v>
      </c>
      <c r="J507" s="12" t="s">
        <v>332</v>
      </c>
      <c r="K507" s="53" t="s">
        <v>349</v>
      </c>
      <c r="L507" s="53">
        <v>44806</v>
      </c>
      <c r="M507" s="12" t="s">
        <v>3227</v>
      </c>
      <c r="N507" s="12" t="s">
        <v>3231</v>
      </c>
      <c r="O507" s="12" t="s">
        <v>326</v>
      </c>
      <c r="P507" s="12"/>
      <c r="Q507" s="12"/>
      <c r="R507" s="55"/>
      <c r="S507" s="79"/>
    </row>
    <row r="508" spans="2:19" outlineLevel="1">
      <c r="B508" s="210"/>
      <c r="C508" s="210"/>
      <c r="D508" s="213"/>
      <c r="E508" s="213"/>
      <c r="F508" s="34"/>
      <c r="G508" s="34"/>
      <c r="H508" s="4"/>
      <c r="I508" s="31"/>
      <c r="J508" s="12"/>
      <c r="K508" s="53"/>
      <c r="L508" s="53"/>
      <c r="M508" s="12"/>
      <c r="N508" s="12"/>
      <c r="O508" s="12"/>
      <c r="P508" s="12"/>
      <c r="Q508" s="12"/>
      <c r="R508" s="55"/>
      <c r="S508" s="79"/>
    </row>
    <row r="509" spans="2:19" ht="14" outlineLevel="1">
      <c r="B509" s="210"/>
      <c r="C509" s="210"/>
      <c r="D509" s="213"/>
      <c r="E509" s="213"/>
      <c r="F509" s="34" t="s">
        <v>38</v>
      </c>
      <c r="G509" s="34"/>
      <c r="H509" s="4" t="s">
        <v>1743</v>
      </c>
      <c r="I509" s="31" t="s">
        <v>3</v>
      </c>
      <c r="J509" s="12" t="s">
        <v>333</v>
      </c>
      <c r="K509" s="53">
        <v>44278</v>
      </c>
      <c r="L509" s="53">
        <v>44383</v>
      </c>
      <c r="M509" s="12" t="s">
        <v>1952</v>
      </c>
      <c r="N509" s="12" t="s">
        <v>1951</v>
      </c>
      <c r="O509" s="12" t="s">
        <v>326</v>
      </c>
      <c r="P509" s="12"/>
      <c r="Q509" s="12"/>
      <c r="R509" s="13"/>
      <c r="S509" s="79"/>
    </row>
    <row r="510" spans="2:19" ht="14" outlineLevel="1">
      <c r="B510" s="210"/>
      <c r="C510" s="210"/>
      <c r="D510" s="213"/>
      <c r="E510" s="213"/>
      <c r="F510" s="34"/>
      <c r="G510" s="34"/>
      <c r="H510" s="4" t="s">
        <v>1743</v>
      </c>
      <c r="I510" s="31" t="s">
        <v>1164</v>
      </c>
      <c r="J510" s="12" t="s">
        <v>333</v>
      </c>
      <c r="K510" s="53" t="s">
        <v>349</v>
      </c>
      <c r="L510" s="53">
        <v>44522</v>
      </c>
      <c r="M510" s="12" t="s">
        <v>1952</v>
      </c>
      <c r="N510" s="12" t="s">
        <v>2454</v>
      </c>
      <c r="O510" s="12" t="s">
        <v>326</v>
      </c>
      <c r="P510" s="12"/>
      <c r="Q510" s="12"/>
      <c r="R510" s="13"/>
      <c r="S510" s="79"/>
    </row>
    <row r="511" spans="2:19" ht="14" outlineLevel="1">
      <c r="B511" s="210"/>
      <c r="C511" s="210"/>
      <c r="D511" s="213"/>
      <c r="E511" s="213"/>
      <c r="F511" s="34"/>
      <c r="G511" s="34"/>
      <c r="H511" s="4" t="s">
        <v>1743</v>
      </c>
      <c r="I511" s="31" t="s">
        <v>1706</v>
      </c>
      <c r="J511" s="12" t="s">
        <v>333</v>
      </c>
      <c r="K511" s="53" t="s">
        <v>349</v>
      </c>
      <c r="L511" s="53">
        <v>44575</v>
      </c>
      <c r="M511" s="12" t="s">
        <v>1952</v>
      </c>
      <c r="N511" s="12" t="s">
        <v>2634</v>
      </c>
      <c r="O511" s="12" t="s">
        <v>326</v>
      </c>
      <c r="P511" s="12"/>
      <c r="Q511" s="12"/>
      <c r="R511" s="13"/>
      <c r="S511" s="79"/>
    </row>
    <row r="512" spans="2:19" ht="14" outlineLevel="1">
      <c r="B512" s="210"/>
      <c r="C512" s="210"/>
      <c r="D512" s="213"/>
      <c r="E512" s="213"/>
      <c r="F512" s="34"/>
      <c r="G512" s="34"/>
      <c r="H512" s="4" t="s">
        <v>1743</v>
      </c>
      <c r="I512" s="31" t="s">
        <v>1865</v>
      </c>
      <c r="J512" s="12" t="s">
        <v>333</v>
      </c>
      <c r="K512" s="53" t="s">
        <v>349</v>
      </c>
      <c r="L512" s="53">
        <v>44644</v>
      </c>
      <c r="M512" s="12" t="s">
        <v>1952</v>
      </c>
      <c r="N512" s="12" t="s">
        <v>2787</v>
      </c>
      <c r="O512" s="12" t="s">
        <v>326</v>
      </c>
      <c r="P512" s="12"/>
      <c r="Q512" s="12"/>
      <c r="R512" s="13"/>
      <c r="S512" s="79"/>
    </row>
    <row r="513" spans="2:19" ht="14" outlineLevel="1">
      <c r="B513" s="210"/>
      <c r="C513" s="210"/>
      <c r="D513" s="213"/>
      <c r="E513" s="213"/>
      <c r="F513" s="34"/>
      <c r="G513" s="34"/>
      <c r="H513" s="4" t="s">
        <v>1743</v>
      </c>
      <c r="I513" s="31" t="s">
        <v>2095</v>
      </c>
      <c r="J513" s="12" t="s">
        <v>333</v>
      </c>
      <c r="K513" s="53" t="s">
        <v>349</v>
      </c>
      <c r="L513" s="53">
        <v>44652</v>
      </c>
      <c r="M513" s="12" t="s">
        <v>1952</v>
      </c>
      <c r="N513" s="12" t="s">
        <v>2821</v>
      </c>
      <c r="O513" s="12" t="s">
        <v>326</v>
      </c>
      <c r="P513" s="12"/>
      <c r="Q513" s="12"/>
      <c r="R513" s="13"/>
      <c r="S513" s="79"/>
    </row>
    <row r="514" spans="2:19" ht="14" outlineLevel="1">
      <c r="B514" s="210"/>
      <c r="C514" s="210"/>
      <c r="D514" s="213"/>
      <c r="E514" s="213"/>
      <c r="F514" s="34"/>
      <c r="G514" s="34"/>
      <c r="H514" s="4" t="s">
        <v>1743</v>
      </c>
      <c r="I514" s="31" t="s">
        <v>2096</v>
      </c>
      <c r="J514" s="12" t="s">
        <v>333</v>
      </c>
      <c r="K514" s="53" t="s">
        <v>349</v>
      </c>
      <c r="L514" s="53">
        <v>44755</v>
      </c>
      <c r="M514" s="12" t="s">
        <v>1952</v>
      </c>
      <c r="N514" s="12" t="s">
        <v>3120</v>
      </c>
      <c r="O514" s="12" t="s">
        <v>326</v>
      </c>
      <c r="P514" s="12"/>
      <c r="Q514" s="12"/>
      <c r="R514" s="13"/>
      <c r="S514" s="79"/>
    </row>
    <row r="515" spans="2:19" outlineLevel="1">
      <c r="B515" s="210"/>
      <c r="C515" s="210"/>
      <c r="D515" s="213"/>
      <c r="E515" s="213"/>
      <c r="F515" s="34"/>
      <c r="G515" s="34"/>
      <c r="H515" s="4"/>
      <c r="I515" s="31"/>
      <c r="J515" s="12"/>
      <c r="K515" s="53"/>
      <c r="L515" s="12"/>
      <c r="M515" s="12"/>
      <c r="N515" s="12"/>
      <c r="O515" s="12"/>
      <c r="P515" s="12"/>
      <c r="Q515" s="12"/>
      <c r="R515" s="13"/>
      <c r="S515" s="79"/>
    </row>
    <row r="516" spans="2:19" ht="14" outlineLevel="1">
      <c r="B516" s="210"/>
      <c r="C516" s="210"/>
      <c r="D516" s="213"/>
      <c r="E516" s="213"/>
      <c r="F516" s="34" t="s">
        <v>40</v>
      </c>
      <c r="G516" s="34"/>
      <c r="H516" s="4" t="s">
        <v>837</v>
      </c>
      <c r="I516" s="31" t="s">
        <v>654</v>
      </c>
      <c r="J516" s="12" t="s">
        <v>332</v>
      </c>
      <c r="K516" s="53">
        <v>44181</v>
      </c>
      <c r="L516" s="53">
        <v>44182</v>
      </c>
      <c r="M516" s="12" t="s">
        <v>789</v>
      </c>
      <c r="N516" s="12" t="s">
        <v>790</v>
      </c>
      <c r="O516" s="12" t="s">
        <v>326</v>
      </c>
      <c r="P516" s="12"/>
      <c r="Q516" s="12" t="s">
        <v>324</v>
      </c>
      <c r="R516" s="13"/>
      <c r="S516" s="79"/>
    </row>
    <row r="517" spans="2:19" ht="14" outlineLevel="1">
      <c r="B517" s="210"/>
      <c r="C517" s="210"/>
      <c r="D517" s="213"/>
      <c r="E517" s="213"/>
      <c r="F517" s="34"/>
      <c r="G517" s="34"/>
      <c r="H517" s="4" t="s">
        <v>837</v>
      </c>
      <c r="I517" s="31" t="s">
        <v>729</v>
      </c>
      <c r="J517" s="12" t="s">
        <v>332</v>
      </c>
      <c r="K517" s="53" t="s">
        <v>349</v>
      </c>
      <c r="L517" s="53">
        <v>44763</v>
      </c>
      <c r="M517" s="12" t="s">
        <v>789</v>
      </c>
      <c r="N517" s="12" t="s">
        <v>3121</v>
      </c>
      <c r="O517" s="12" t="s">
        <v>326</v>
      </c>
      <c r="P517" s="12"/>
      <c r="Q517" s="12"/>
      <c r="R517" s="13"/>
      <c r="S517" s="79"/>
    </row>
    <row r="518" spans="2:19" outlineLevel="1">
      <c r="B518" s="210"/>
      <c r="C518" s="210"/>
      <c r="D518" s="213"/>
      <c r="E518" s="213"/>
      <c r="F518" s="34"/>
      <c r="G518" s="34"/>
      <c r="H518" s="4"/>
      <c r="I518" s="31"/>
      <c r="J518" s="12"/>
      <c r="K518" s="53"/>
      <c r="L518" s="12"/>
      <c r="M518" s="12"/>
      <c r="N518" s="12"/>
      <c r="O518" s="12"/>
      <c r="P518" s="12"/>
      <c r="Q518" s="12"/>
      <c r="R518" s="13"/>
      <c r="S518" s="4"/>
    </row>
    <row r="519" spans="2:19" ht="14" outlineLevel="1">
      <c r="B519" s="210"/>
      <c r="C519" s="210"/>
      <c r="D519" s="213"/>
      <c r="E519" s="213"/>
      <c r="F519" s="34" t="s">
        <v>129</v>
      </c>
      <c r="G519" s="34"/>
      <c r="H519" s="4" t="s">
        <v>721</v>
      </c>
      <c r="I519" s="31" t="s">
        <v>3</v>
      </c>
      <c r="J519" s="12" t="s">
        <v>332</v>
      </c>
      <c r="K519" s="53">
        <v>44393</v>
      </c>
      <c r="L519" s="53">
        <v>44393</v>
      </c>
      <c r="M519" s="12" t="s">
        <v>2016</v>
      </c>
      <c r="N519" s="12" t="s">
        <v>2017</v>
      </c>
      <c r="O519" s="12" t="s">
        <v>326</v>
      </c>
      <c r="P519" s="12"/>
      <c r="Q519" s="12"/>
      <c r="R519" s="13"/>
      <c r="S519" s="4"/>
    </row>
    <row r="520" spans="2:19" ht="14" outlineLevel="1">
      <c r="B520" s="210"/>
      <c r="C520" s="210"/>
      <c r="D520" s="213"/>
      <c r="E520" s="213"/>
      <c r="F520" s="34"/>
      <c r="G520" s="34"/>
      <c r="H520" s="4" t="s">
        <v>721</v>
      </c>
      <c r="I520" s="31" t="s">
        <v>512</v>
      </c>
      <c r="J520" s="12" t="s">
        <v>332</v>
      </c>
      <c r="K520" s="53" t="s">
        <v>349</v>
      </c>
      <c r="L520" s="53">
        <v>44575</v>
      </c>
      <c r="M520" s="12" t="s">
        <v>2016</v>
      </c>
      <c r="N520" s="12" t="s">
        <v>2634</v>
      </c>
      <c r="O520" s="12" t="s">
        <v>326</v>
      </c>
      <c r="P520" s="12"/>
      <c r="Q520" s="12"/>
      <c r="R520" s="13"/>
      <c r="S520" s="4"/>
    </row>
    <row r="521" spans="2:19" ht="14" outlineLevel="1">
      <c r="B521" s="210"/>
      <c r="C521" s="210"/>
      <c r="D521" s="213"/>
      <c r="E521" s="213"/>
      <c r="F521" s="34"/>
      <c r="G521" s="34"/>
      <c r="H521" s="4" t="s">
        <v>721</v>
      </c>
      <c r="I521" s="31" t="s">
        <v>654</v>
      </c>
      <c r="J521" s="12" t="s">
        <v>332</v>
      </c>
      <c r="K521" s="53" t="s">
        <v>349</v>
      </c>
      <c r="L521" s="53">
        <v>44755</v>
      </c>
      <c r="M521" s="12" t="s">
        <v>2016</v>
      </c>
      <c r="N521" s="12" t="s">
        <v>3120</v>
      </c>
      <c r="O521" s="12" t="s">
        <v>326</v>
      </c>
      <c r="P521" s="12"/>
      <c r="Q521" s="12"/>
      <c r="R521" s="13"/>
      <c r="S521" s="4"/>
    </row>
    <row r="522" spans="2:19" outlineLevel="1">
      <c r="B522" s="210"/>
      <c r="C522" s="210"/>
      <c r="D522" s="213"/>
      <c r="E522" s="213"/>
      <c r="F522" s="34"/>
      <c r="G522" s="34"/>
      <c r="H522" s="4"/>
      <c r="I522" s="31"/>
      <c r="J522" s="12"/>
      <c r="K522" s="53"/>
      <c r="L522" s="96"/>
      <c r="M522" s="12"/>
      <c r="N522" s="12"/>
      <c r="O522" s="12"/>
      <c r="P522" s="12"/>
      <c r="Q522" s="12"/>
      <c r="R522" s="13"/>
      <c r="S522" s="4"/>
    </row>
    <row r="523" spans="2:19" ht="28" outlineLevel="1">
      <c r="B523" s="210"/>
      <c r="C523" s="210"/>
      <c r="D523" s="34" t="s">
        <v>31</v>
      </c>
      <c r="E523" s="218" t="s">
        <v>130</v>
      </c>
      <c r="F523" s="219"/>
      <c r="G523" s="219"/>
      <c r="H523" s="220"/>
      <c r="I523" s="30"/>
      <c r="J523" s="12"/>
      <c r="K523" s="12"/>
      <c r="L523" s="12"/>
      <c r="M523" s="12"/>
      <c r="N523" s="12"/>
      <c r="O523" s="12"/>
      <c r="P523" s="12"/>
      <c r="Q523" s="12"/>
      <c r="R523" s="13"/>
      <c r="S523" s="4"/>
    </row>
    <row r="524" spans="2:19" ht="14" outlineLevel="1">
      <c r="B524" s="210"/>
      <c r="C524" s="210"/>
      <c r="D524" s="212"/>
      <c r="E524" s="212"/>
      <c r="F524" s="34" t="s">
        <v>27</v>
      </c>
      <c r="G524" s="34"/>
      <c r="H524" s="4"/>
      <c r="I524" s="31"/>
      <c r="J524" s="12"/>
      <c r="K524" s="12"/>
      <c r="L524" s="12"/>
      <c r="M524" s="12"/>
      <c r="N524" s="12"/>
      <c r="O524" s="12"/>
      <c r="P524" s="12"/>
      <c r="Q524" s="12"/>
      <c r="R524" s="13"/>
      <c r="S524" s="4"/>
    </row>
    <row r="525" spans="2:19" outlineLevel="1">
      <c r="B525" s="211"/>
      <c r="C525" s="211"/>
      <c r="D525" s="214"/>
      <c r="E525" s="214"/>
      <c r="F525" s="34"/>
      <c r="G525" s="34"/>
      <c r="H525" s="4"/>
      <c r="I525" s="31"/>
      <c r="J525" s="12"/>
      <c r="K525" s="12"/>
      <c r="L525" s="12"/>
      <c r="M525" s="12"/>
      <c r="N525" s="12"/>
      <c r="O525" s="12"/>
      <c r="P525" s="12"/>
      <c r="Q525" s="12"/>
      <c r="R525" s="13"/>
      <c r="S525" s="4"/>
    </row>
    <row r="526" spans="2:19" ht="12.75" customHeight="1">
      <c r="B526" s="9" t="s">
        <v>131</v>
      </c>
      <c r="C526" s="227" t="s">
        <v>132</v>
      </c>
      <c r="D526" s="228"/>
      <c r="E526" s="228"/>
      <c r="F526" s="228"/>
      <c r="G526" s="228"/>
      <c r="H526" s="228"/>
      <c r="I526" s="228"/>
      <c r="J526" s="228"/>
      <c r="K526" s="228"/>
      <c r="L526" s="228"/>
      <c r="M526" s="228"/>
      <c r="N526" s="228"/>
      <c r="O526" s="228"/>
      <c r="P526" s="228"/>
      <c r="Q526" s="228"/>
      <c r="R526" s="229"/>
      <c r="S526" s="10"/>
    </row>
    <row r="527" spans="2:19" ht="12.75" customHeight="1">
      <c r="B527" s="224"/>
      <c r="C527" s="224"/>
      <c r="D527" s="9" t="s">
        <v>24</v>
      </c>
      <c r="E527" s="227" t="s">
        <v>133</v>
      </c>
      <c r="F527" s="228"/>
      <c r="G527" s="228"/>
      <c r="H527" s="229"/>
      <c r="I527" s="1"/>
      <c r="J527" s="34"/>
      <c r="K527" s="34"/>
      <c r="L527" s="34"/>
      <c r="M527" s="8"/>
      <c r="N527" s="8"/>
      <c r="O527" s="34" t="s">
        <v>26</v>
      </c>
      <c r="P527" s="34"/>
      <c r="Q527" s="34" t="s">
        <v>26</v>
      </c>
      <c r="R527" s="10"/>
      <c r="S527" s="10"/>
    </row>
    <row r="528" spans="2:19" ht="12.75" customHeight="1" outlineLevel="1">
      <c r="B528" s="225"/>
      <c r="C528" s="225"/>
      <c r="D528" s="224"/>
      <c r="E528" s="224"/>
      <c r="F528" s="9" t="s">
        <v>27</v>
      </c>
      <c r="G528" s="9"/>
      <c r="H528" s="7"/>
      <c r="I528" s="32"/>
      <c r="J528" s="8"/>
      <c r="K528" s="8"/>
      <c r="L528" s="8"/>
      <c r="M528" s="8"/>
      <c r="N528" s="8"/>
      <c r="O528" s="8"/>
      <c r="P528" s="8"/>
      <c r="Q528" s="9"/>
      <c r="R528" s="10"/>
      <c r="S528" s="10"/>
    </row>
    <row r="529" spans="2:19" ht="12.75" customHeight="1" outlineLevel="1">
      <c r="B529" s="225"/>
      <c r="C529" s="225"/>
      <c r="D529" s="226"/>
      <c r="E529" s="226"/>
      <c r="F529" s="9"/>
      <c r="G529" s="9"/>
      <c r="H529" s="7"/>
      <c r="I529" s="32"/>
      <c r="J529" s="8"/>
      <c r="K529" s="8"/>
      <c r="L529" s="8"/>
      <c r="M529" s="8"/>
      <c r="N529" s="8"/>
      <c r="O529" s="8"/>
      <c r="P529" s="8"/>
      <c r="Q529" s="8"/>
      <c r="R529" s="10"/>
      <c r="S529" s="10"/>
    </row>
    <row r="530" spans="2:19" ht="12.75" customHeight="1" outlineLevel="1">
      <c r="B530" s="225"/>
      <c r="C530" s="225"/>
      <c r="D530" s="9" t="s">
        <v>31</v>
      </c>
      <c r="E530" s="227" t="s">
        <v>327</v>
      </c>
      <c r="F530" s="228"/>
      <c r="G530" s="228"/>
      <c r="H530" s="229"/>
      <c r="I530" s="1"/>
      <c r="J530" s="34"/>
      <c r="K530" s="34"/>
      <c r="L530" s="34"/>
      <c r="M530" s="8"/>
      <c r="N530" s="8"/>
      <c r="O530" s="34" t="s">
        <v>26</v>
      </c>
      <c r="P530" s="34"/>
      <c r="Q530" s="34" t="s">
        <v>26</v>
      </c>
      <c r="R530" s="10"/>
      <c r="S530" s="10"/>
    </row>
    <row r="531" spans="2:19" ht="12.75" customHeight="1" outlineLevel="1">
      <c r="B531" s="225"/>
      <c r="C531" s="225"/>
      <c r="D531" s="224"/>
      <c r="E531" s="224"/>
      <c r="F531" s="9" t="s">
        <v>27</v>
      </c>
      <c r="G531" s="9"/>
      <c r="H531" s="7"/>
      <c r="I531" s="32"/>
      <c r="J531" s="8"/>
      <c r="K531" s="8"/>
      <c r="L531" s="8"/>
      <c r="M531" s="8"/>
      <c r="N531" s="8"/>
      <c r="O531" s="8"/>
      <c r="P531" s="8"/>
      <c r="Q531" s="8"/>
      <c r="R531" s="10"/>
      <c r="S531" s="10"/>
    </row>
    <row r="532" spans="2:19" ht="12.75" customHeight="1" outlineLevel="1">
      <c r="B532" s="225"/>
      <c r="C532" s="225"/>
      <c r="D532" s="226"/>
      <c r="E532" s="226"/>
      <c r="F532" s="9"/>
      <c r="G532" s="9"/>
      <c r="H532" s="7"/>
      <c r="I532" s="32"/>
      <c r="J532" s="8"/>
      <c r="K532" s="8"/>
      <c r="L532" s="8"/>
      <c r="M532" s="8"/>
      <c r="N532" s="8"/>
      <c r="O532" s="8"/>
      <c r="P532" s="8"/>
      <c r="Q532" s="9"/>
      <c r="R532" s="10"/>
      <c r="S532" s="10"/>
    </row>
    <row r="533" spans="2:19" ht="12.75" customHeight="1" outlineLevel="1">
      <c r="B533" s="225"/>
      <c r="C533" s="225"/>
      <c r="D533" s="9" t="s">
        <v>33</v>
      </c>
      <c r="E533" s="227" t="s">
        <v>136</v>
      </c>
      <c r="F533" s="228"/>
      <c r="G533" s="228"/>
      <c r="H533" s="229"/>
      <c r="I533" s="1"/>
      <c r="J533" s="34"/>
      <c r="K533" s="34"/>
      <c r="L533" s="34"/>
      <c r="M533" s="8"/>
      <c r="N533" s="8"/>
      <c r="O533" s="34" t="s">
        <v>26</v>
      </c>
      <c r="P533" s="34"/>
      <c r="Q533" s="34" t="s">
        <v>26</v>
      </c>
      <c r="R533" s="10"/>
      <c r="S533" s="10"/>
    </row>
    <row r="534" spans="2:19" ht="12.75" customHeight="1" outlineLevel="1">
      <c r="B534" s="225"/>
      <c r="C534" s="225"/>
      <c r="D534" s="224"/>
      <c r="E534" s="224"/>
      <c r="F534" s="9" t="s">
        <v>27</v>
      </c>
      <c r="G534" s="9"/>
      <c r="H534" s="4" t="s">
        <v>3078</v>
      </c>
      <c r="I534" s="32"/>
      <c r="J534" s="8"/>
      <c r="K534" s="8"/>
      <c r="L534" s="8"/>
      <c r="M534" s="8"/>
      <c r="N534" s="8"/>
      <c r="O534" s="8"/>
      <c r="P534" s="8"/>
      <c r="Q534" s="8"/>
      <c r="R534" s="10"/>
      <c r="S534" s="10"/>
    </row>
    <row r="535" spans="2:19" ht="12.75" customHeight="1" outlineLevel="1">
      <c r="B535" s="225"/>
      <c r="C535" s="225"/>
      <c r="D535" s="225"/>
      <c r="E535" s="225"/>
      <c r="F535" s="9"/>
      <c r="G535" s="9" t="s">
        <v>177</v>
      </c>
      <c r="H535" s="4" t="s">
        <v>2947</v>
      </c>
      <c r="I535" s="32" t="s">
        <v>3</v>
      </c>
      <c r="J535" s="12" t="s">
        <v>333</v>
      </c>
      <c r="K535" s="53" t="s">
        <v>349</v>
      </c>
      <c r="L535" s="53">
        <v>44732</v>
      </c>
      <c r="M535" s="71" t="s">
        <v>3054</v>
      </c>
      <c r="N535" s="8" t="s">
        <v>3077</v>
      </c>
      <c r="O535" s="12" t="s">
        <v>326</v>
      </c>
      <c r="P535" s="8"/>
      <c r="Q535" s="8"/>
      <c r="R535" s="10"/>
      <c r="S535" s="10"/>
    </row>
    <row r="536" spans="2:19" ht="12.75" customHeight="1" outlineLevel="1">
      <c r="B536" s="225"/>
      <c r="C536" s="225"/>
      <c r="D536" s="225"/>
      <c r="E536" s="225"/>
      <c r="F536" s="9"/>
      <c r="G536" s="9" t="s">
        <v>181</v>
      </c>
      <c r="H536" s="4" t="s">
        <v>2948</v>
      </c>
      <c r="I536" s="32" t="s">
        <v>3</v>
      </c>
      <c r="J536" s="12" t="s">
        <v>333</v>
      </c>
      <c r="K536" s="53" t="s">
        <v>349</v>
      </c>
      <c r="L536" s="53">
        <v>44732</v>
      </c>
      <c r="M536" s="71" t="s">
        <v>3055</v>
      </c>
      <c r="N536" s="8" t="s">
        <v>3077</v>
      </c>
      <c r="O536" s="12" t="s">
        <v>326</v>
      </c>
      <c r="P536" s="8"/>
      <c r="Q536" s="8"/>
      <c r="R536" s="10"/>
      <c r="S536" s="10"/>
    </row>
    <row r="537" spans="2:19" ht="12.75" customHeight="1" outlineLevel="1">
      <c r="B537" s="225"/>
      <c r="C537" s="225"/>
      <c r="D537" s="225"/>
      <c r="E537" s="225"/>
      <c r="F537" s="9"/>
      <c r="G537" s="9" t="s">
        <v>183</v>
      </c>
      <c r="H537" s="4" t="s">
        <v>2949</v>
      </c>
      <c r="I537" s="32" t="s">
        <v>3</v>
      </c>
      <c r="J537" s="12" t="s">
        <v>333</v>
      </c>
      <c r="K537" s="53" t="s">
        <v>349</v>
      </c>
      <c r="L537" s="53">
        <v>44732</v>
      </c>
      <c r="M537" s="71" t="s">
        <v>3056</v>
      </c>
      <c r="N537" s="8" t="s">
        <v>3077</v>
      </c>
      <c r="O537" s="12" t="s">
        <v>326</v>
      </c>
      <c r="P537" s="8"/>
      <c r="Q537" s="8"/>
      <c r="R537" s="10"/>
      <c r="S537" s="10"/>
    </row>
    <row r="538" spans="2:19" ht="12.75" customHeight="1" outlineLevel="1">
      <c r="B538" s="225"/>
      <c r="C538" s="225"/>
      <c r="D538" s="225"/>
      <c r="E538" s="225"/>
      <c r="F538" s="9"/>
      <c r="G538" s="9" t="s">
        <v>184</v>
      </c>
      <c r="H538" s="4" t="s">
        <v>2950</v>
      </c>
      <c r="I538" s="32" t="s">
        <v>3</v>
      </c>
      <c r="J538" s="12" t="s">
        <v>333</v>
      </c>
      <c r="K538" s="53" t="s">
        <v>349</v>
      </c>
      <c r="L538" s="53">
        <v>44732</v>
      </c>
      <c r="M538" s="71" t="s">
        <v>3057</v>
      </c>
      <c r="N538" s="8" t="s">
        <v>3077</v>
      </c>
      <c r="O538" s="12" t="s">
        <v>326</v>
      </c>
      <c r="P538" s="8"/>
      <c r="Q538" s="8"/>
      <c r="R538" s="10"/>
      <c r="S538" s="10"/>
    </row>
    <row r="539" spans="2:19" ht="12.75" customHeight="1" outlineLevel="1">
      <c r="B539" s="225"/>
      <c r="C539" s="225"/>
      <c r="D539" s="225"/>
      <c r="E539" s="225"/>
      <c r="F539" s="9"/>
      <c r="G539" s="9" t="s">
        <v>386</v>
      </c>
      <c r="H539" s="4" t="s">
        <v>2951</v>
      </c>
      <c r="I539" s="32" t="s">
        <v>3</v>
      </c>
      <c r="J539" s="12" t="s">
        <v>333</v>
      </c>
      <c r="K539" s="53" t="s">
        <v>349</v>
      </c>
      <c r="L539" s="53">
        <v>44732</v>
      </c>
      <c r="M539" s="71" t="s">
        <v>3058</v>
      </c>
      <c r="N539" s="8" t="s">
        <v>3077</v>
      </c>
      <c r="O539" s="12" t="s">
        <v>326</v>
      </c>
      <c r="P539" s="8"/>
      <c r="Q539" s="8"/>
      <c r="R539" s="10"/>
      <c r="S539" s="10"/>
    </row>
    <row r="540" spans="2:19" ht="12.75" customHeight="1" outlineLevel="1">
      <c r="B540" s="225"/>
      <c r="C540" s="225"/>
      <c r="D540" s="225"/>
      <c r="E540" s="225"/>
      <c r="F540" s="9"/>
      <c r="G540" s="9" t="s">
        <v>935</v>
      </c>
      <c r="H540" s="4" t="s">
        <v>2952</v>
      </c>
      <c r="I540" s="32" t="s">
        <v>3</v>
      </c>
      <c r="J540" s="12" t="s">
        <v>333</v>
      </c>
      <c r="K540" s="53" t="s">
        <v>349</v>
      </c>
      <c r="L540" s="53">
        <v>44732</v>
      </c>
      <c r="M540" s="71" t="s">
        <v>3059</v>
      </c>
      <c r="N540" s="8" t="s">
        <v>3077</v>
      </c>
      <c r="O540" s="12" t="s">
        <v>326</v>
      </c>
      <c r="P540" s="8"/>
      <c r="Q540" s="8"/>
      <c r="R540" s="10"/>
      <c r="S540" s="10"/>
    </row>
    <row r="541" spans="2:19" ht="12.75" customHeight="1" outlineLevel="1">
      <c r="B541" s="225"/>
      <c r="C541" s="225"/>
      <c r="D541" s="225"/>
      <c r="E541" s="225"/>
      <c r="F541" s="9"/>
      <c r="G541" s="9" t="s">
        <v>1058</v>
      </c>
      <c r="H541" s="4" t="s">
        <v>2953</v>
      </c>
      <c r="I541" s="32" t="s">
        <v>3</v>
      </c>
      <c r="J541" s="12" t="s">
        <v>333</v>
      </c>
      <c r="K541" s="53" t="s">
        <v>349</v>
      </c>
      <c r="L541" s="53">
        <v>44732</v>
      </c>
      <c r="M541" s="71" t="s">
        <v>3060</v>
      </c>
      <c r="N541" s="8" t="s">
        <v>3077</v>
      </c>
      <c r="O541" s="12" t="s">
        <v>326</v>
      </c>
      <c r="P541" s="8"/>
      <c r="Q541" s="8"/>
      <c r="R541" s="10"/>
      <c r="S541" s="10"/>
    </row>
    <row r="542" spans="2:19" ht="12.75" customHeight="1" outlineLevel="1">
      <c r="B542" s="225"/>
      <c r="C542" s="225"/>
      <c r="D542" s="225"/>
      <c r="E542" s="225"/>
      <c r="F542" s="9"/>
      <c r="G542" s="9" t="s">
        <v>1059</v>
      </c>
      <c r="H542" s="4" t="s">
        <v>2954</v>
      </c>
      <c r="I542" s="32" t="s">
        <v>3</v>
      </c>
      <c r="J542" s="12" t="s">
        <v>333</v>
      </c>
      <c r="K542" s="53" t="s">
        <v>349</v>
      </c>
      <c r="L542" s="53">
        <v>44732</v>
      </c>
      <c r="M542" s="71" t="s">
        <v>3061</v>
      </c>
      <c r="N542" s="8" t="s">
        <v>3077</v>
      </c>
      <c r="O542" s="12" t="s">
        <v>326</v>
      </c>
      <c r="P542" s="8"/>
      <c r="Q542" s="8"/>
      <c r="R542" s="10"/>
      <c r="S542" s="10"/>
    </row>
    <row r="543" spans="2:19" ht="12.75" customHeight="1" outlineLevel="1">
      <c r="B543" s="225"/>
      <c r="C543" s="225"/>
      <c r="D543" s="225"/>
      <c r="E543" s="225"/>
      <c r="F543" s="9"/>
      <c r="G543" s="9" t="s">
        <v>1060</v>
      </c>
      <c r="H543" s="4" t="s">
        <v>2955</v>
      </c>
      <c r="I543" s="32" t="s">
        <v>3</v>
      </c>
      <c r="J543" s="12" t="s">
        <v>333</v>
      </c>
      <c r="K543" s="53" t="s">
        <v>349</v>
      </c>
      <c r="L543" s="53">
        <v>44732</v>
      </c>
      <c r="M543" s="71" t="s">
        <v>3062</v>
      </c>
      <c r="N543" s="8" t="s">
        <v>3077</v>
      </c>
      <c r="O543" s="12" t="s">
        <v>326</v>
      </c>
      <c r="P543" s="8"/>
      <c r="Q543" s="8"/>
      <c r="R543" s="10"/>
      <c r="S543" s="10"/>
    </row>
    <row r="544" spans="2:19" ht="12.75" customHeight="1" outlineLevel="1">
      <c r="B544" s="225"/>
      <c r="C544" s="225"/>
      <c r="D544" s="225"/>
      <c r="E544" s="225"/>
      <c r="F544" s="9"/>
      <c r="G544" s="9" t="s">
        <v>1393</v>
      </c>
      <c r="H544" s="4" t="s">
        <v>2956</v>
      </c>
      <c r="I544" s="32" t="s">
        <v>3</v>
      </c>
      <c r="J544" s="12" t="s">
        <v>333</v>
      </c>
      <c r="K544" s="53" t="s">
        <v>349</v>
      </c>
      <c r="L544" s="53">
        <v>44732</v>
      </c>
      <c r="M544" s="71" t="s">
        <v>3063</v>
      </c>
      <c r="N544" s="8" t="s">
        <v>3077</v>
      </c>
      <c r="O544" s="12" t="s">
        <v>326</v>
      </c>
      <c r="P544" s="8"/>
      <c r="Q544" s="8"/>
      <c r="R544" s="10"/>
      <c r="S544" s="10"/>
    </row>
    <row r="545" spans="2:19" ht="12.75" customHeight="1" outlineLevel="1">
      <c r="B545" s="225"/>
      <c r="C545" s="225"/>
      <c r="D545" s="225"/>
      <c r="E545" s="225"/>
      <c r="F545" s="9"/>
      <c r="G545" s="9" t="s">
        <v>1934</v>
      </c>
      <c r="H545" s="4" t="s">
        <v>2959</v>
      </c>
      <c r="I545" s="32" t="s">
        <v>3</v>
      </c>
      <c r="J545" s="12" t="s">
        <v>333</v>
      </c>
      <c r="K545" s="53" t="s">
        <v>349</v>
      </c>
      <c r="L545" s="53">
        <v>44732</v>
      </c>
      <c r="M545" s="71" t="s">
        <v>3064</v>
      </c>
      <c r="N545" s="8" t="s">
        <v>3077</v>
      </c>
      <c r="O545" s="12" t="s">
        <v>326</v>
      </c>
      <c r="P545" s="8"/>
      <c r="Q545" s="8"/>
      <c r="R545" s="10"/>
      <c r="S545" s="10"/>
    </row>
    <row r="546" spans="2:19" ht="12.75" customHeight="1" outlineLevel="1">
      <c r="B546" s="225"/>
      <c r="C546" s="225"/>
      <c r="D546" s="225"/>
      <c r="E546" s="225"/>
      <c r="F546" s="9"/>
      <c r="G546" s="9" t="s">
        <v>1935</v>
      </c>
      <c r="H546" s="4" t="s">
        <v>2960</v>
      </c>
      <c r="I546" s="32" t="s">
        <v>3</v>
      </c>
      <c r="J546" s="12" t="s">
        <v>333</v>
      </c>
      <c r="K546" s="53" t="s">
        <v>349</v>
      </c>
      <c r="L546" s="53">
        <v>44732</v>
      </c>
      <c r="M546" s="71" t="s">
        <v>3065</v>
      </c>
      <c r="N546" s="8" t="s">
        <v>3077</v>
      </c>
      <c r="O546" s="12" t="s">
        <v>326</v>
      </c>
      <c r="P546" s="8"/>
      <c r="Q546" s="8"/>
      <c r="R546" s="10"/>
      <c r="S546" s="10"/>
    </row>
    <row r="547" spans="2:19" ht="12.75" customHeight="1" outlineLevel="1">
      <c r="B547" s="225"/>
      <c r="C547" s="225"/>
      <c r="D547" s="225"/>
      <c r="E547" s="225"/>
      <c r="F547" s="9"/>
      <c r="G547" s="9" t="s">
        <v>1936</v>
      </c>
      <c r="H547" s="4" t="s">
        <v>2961</v>
      </c>
      <c r="I547" s="32" t="s">
        <v>3</v>
      </c>
      <c r="J547" s="12" t="s">
        <v>333</v>
      </c>
      <c r="K547" s="53" t="s">
        <v>349</v>
      </c>
      <c r="L547" s="53">
        <v>44732</v>
      </c>
      <c r="M547" s="71" t="s">
        <v>3066</v>
      </c>
      <c r="N547" s="8" t="s">
        <v>3077</v>
      </c>
      <c r="O547" s="12" t="s">
        <v>326</v>
      </c>
      <c r="P547" s="8"/>
      <c r="Q547" s="8"/>
      <c r="R547" s="10"/>
      <c r="S547" s="10"/>
    </row>
    <row r="548" spans="2:19" ht="12.75" customHeight="1" outlineLevel="1">
      <c r="B548" s="225"/>
      <c r="C548" s="225"/>
      <c r="D548" s="225"/>
      <c r="E548" s="225"/>
      <c r="F548" s="9"/>
      <c r="G548" s="9" t="s">
        <v>1937</v>
      </c>
      <c r="H548" s="4" t="s">
        <v>2962</v>
      </c>
      <c r="I548" s="32" t="s">
        <v>3</v>
      </c>
      <c r="J548" s="12" t="s">
        <v>333</v>
      </c>
      <c r="K548" s="53" t="s">
        <v>349</v>
      </c>
      <c r="L548" s="53">
        <v>44732</v>
      </c>
      <c r="M548" s="71" t="s">
        <v>3067</v>
      </c>
      <c r="N548" s="8" t="s">
        <v>3077</v>
      </c>
      <c r="O548" s="12" t="s">
        <v>326</v>
      </c>
      <c r="P548" s="8"/>
      <c r="Q548" s="8"/>
      <c r="R548" s="10"/>
      <c r="S548" s="10"/>
    </row>
    <row r="549" spans="2:19" ht="12.75" customHeight="1" outlineLevel="1">
      <c r="B549" s="225"/>
      <c r="C549" s="225"/>
      <c r="D549" s="225"/>
      <c r="E549" s="225"/>
      <c r="F549" s="9"/>
      <c r="G549" s="9" t="s">
        <v>1943</v>
      </c>
      <c r="H549" s="4" t="s">
        <v>2963</v>
      </c>
      <c r="I549" s="32" t="s">
        <v>3</v>
      </c>
      <c r="J549" s="12" t="s">
        <v>333</v>
      </c>
      <c r="K549" s="53" t="s">
        <v>349</v>
      </c>
      <c r="L549" s="53">
        <v>44732</v>
      </c>
      <c r="M549" s="71" t="s">
        <v>3068</v>
      </c>
      <c r="N549" s="8" t="s">
        <v>3077</v>
      </c>
      <c r="O549" s="12" t="s">
        <v>326</v>
      </c>
      <c r="P549" s="8"/>
      <c r="Q549" s="8"/>
      <c r="R549" s="10"/>
      <c r="S549" s="10"/>
    </row>
    <row r="550" spans="2:19" ht="12.75" customHeight="1" outlineLevel="1">
      <c r="B550" s="225"/>
      <c r="C550" s="225"/>
      <c r="D550" s="225"/>
      <c r="E550" s="225"/>
      <c r="F550" s="9"/>
      <c r="G550" s="9" t="s">
        <v>1944</v>
      </c>
      <c r="H550" s="4" t="s">
        <v>2964</v>
      </c>
      <c r="I550" s="32" t="s">
        <v>3</v>
      </c>
      <c r="J550" s="12" t="s">
        <v>333</v>
      </c>
      <c r="K550" s="53" t="s">
        <v>349</v>
      </c>
      <c r="L550" s="53">
        <v>44732</v>
      </c>
      <c r="M550" s="71" t="s">
        <v>3069</v>
      </c>
      <c r="N550" s="8" t="s">
        <v>3077</v>
      </c>
      <c r="O550" s="12" t="s">
        <v>326</v>
      </c>
      <c r="P550" s="8"/>
      <c r="Q550" s="8"/>
      <c r="R550" s="10"/>
      <c r="S550" s="10"/>
    </row>
    <row r="551" spans="2:19" ht="12.75" customHeight="1" outlineLevel="1">
      <c r="B551" s="225"/>
      <c r="C551" s="225"/>
      <c r="D551" s="225"/>
      <c r="E551" s="225"/>
      <c r="F551" s="9"/>
      <c r="G551" s="9" t="s">
        <v>1945</v>
      </c>
      <c r="H551" s="4" t="s">
        <v>2965</v>
      </c>
      <c r="I551" s="32" t="s">
        <v>3</v>
      </c>
      <c r="J551" s="12" t="s">
        <v>333</v>
      </c>
      <c r="K551" s="53" t="s">
        <v>349</v>
      </c>
      <c r="L551" s="53">
        <v>44732</v>
      </c>
      <c r="M551" s="71" t="s">
        <v>3070</v>
      </c>
      <c r="N551" s="8" t="s">
        <v>3077</v>
      </c>
      <c r="O551" s="12" t="s">
        <v>326</v>
      </c>
      <c r="P551" s="8"/>
      <c r="Q551" s="8"/>
      <c r="R551" s="10"/>
      <c r="S551" s="10"/>
    </row>
    <row r="552" spans="2:19" ht="12.75" customHeight="1" outlineLevel="1">
      <c r="B552" s="225"/>
      <c r="C552" s="225"/>
      <c r="D552" s="225"/>
      <c r="E552" s="225"/>
      <c r="F552" s="9"/>
      <c r="G552" s="9" t="s">
        <v>1948</v>
      </c>
      <c r="H552" s="4" t="s">
        <v>2966</v>
      </c>
      <c r="I552" s="32" t="s">
        <v>3</v>
      </c>
      <c r="J552" s="12" t="s">
        <v>333</v>
      </c>
      <c r="K552" s="53" t="s">
        <v>349</v>
      </c>
      <c r="L552" s="53"/>
      <c r="M552" s="12"/>
      <c r="N552" s="8"/>
      <c r="O552" s="8"/>
      <c r="P552" s="8"/>
      <c r="Q552" s="8"/>
      <c r="R552" s="10"/>
      <c r="S552" s="10"/>
    </row>
    <row r="553" spans="2:19" ht="12.75" customHeight="1" outlineLevel="1">
      <c r="B553" s="225"/>
      <c r="C553" s="225"/>
      <c r="D553" s="225"/>
      <c r="E553" s="225"/>
      <c r="F553" s="9"/>
      <c r="G553" s="9" t="s">
        <v>1949</v>
      </c>
      <c r="H553" s="4" t="s">
        <v>2982</v>
      </c>
      <c r="I553" s="32" t="s">
        <v>3</v>
      </c>
      <c r="J553" s="12" t="s">
        <v>333</v>
      </c>
      <c r="K553" s="53" t="s">
        <v>349</v>
      </c>
      <c r="L553" s="53">
        <v>44732</v>
      </c>
      <c r="M553" s="71" t="s">
        <v>3071</v>
      </c>
      <c r="N553" s="8" t="s">
        <v>3077</v>
      </c>
      <c r="O553" s="12" t="s">
        <v>326</v>
      </c>
      <c r="P553" s="8"/>
      <c r="Q553" s="8"/>
      <c r="R553" s="10"/>
      <c r="S553" s="10"/>
    </row>
    <row r="554" spans="2:19" ht="12.75" customHeight="1" outlineLevel="1">
      <c r="B554" s="225"/>
      <c r="C554" s="225"/>
      <c r="D554" s="225"/>
      <c r="E554" s="225"/>
      <c r="F554" s="9"/>
      <c r="G554" s="9" t="s">
        <v>2198</v>
      </c>
      <c r="H554" s="4" t="s">
        <v>2967</v>
      </c>
      <c r="I554" s="32" t="s">
        <v>3</v>
      </c>
      <c r="J554" s="12" t="s">
        <v>333</v>
      </c>
      <c r="K554" s="53" t="s">
        <v>349</v>
      </c>
      <c r="L554" s="53">
        <v>44732</v>
      </c>
      <c r="M554" s="71" t="s">
        <v>3072</v>
      </c>
      <c r="N554" s="8" t="s">
        <v>3077</v>
      </c>
      <c r="O554" s="12" t="s">
        <v>326</v>
      </c>
      <c r="P554" s="8"/>
      <c r="Q554" s="8"/>
      <c r="R554" s="10"/>
      <c r="S554" s="10"/>
    </row>
    <row r="555" spans="2:19" ht="12.75" customHeight="1" outlineLevel="1">
      <c r="B555" s="225"/>
      <c r="C555" s="225"/>
      <c r="D555" s="225"/>
      <c r="E555" s="225"/>
      <c r="F555" s="9"/>
      <c r="G555" s="9" t="s">
        <v>2199</v>
      </c>
      <c r="H555" s="4" t="s">
        <v>2969</v>
      </c>
      <c r="I555" s="32" t="s">
        <v>3</v>
      </c>
      <c r="J555" s="12" t="s">
        <v>333</v>
      </c>
      <c r="K555" s="53" t="s">
        <v>349</v>
      </c>
      <c r="L555" s="53">
        <v>44732</v>
      </c>
      <c r="M555" s="71" t="s">
        <v>3073</v>
      </c>
      <c r="N555" s="8" t="s">
        <v>3077</v>
      </c>
      <c r="O555" s="12" t="s">
        <v>326</v>
      </c>
      <c r="P555" s="8"/>
      <c r="Q555" s="8"/>
      <c r="R555" s="10"/>
      <c r="S555" s="10"/>
    </row>
    <row r="556" spans="2:19" ht="12.75" customHeight="1" outlineLevel="1">
      <c r="B556" s="225"/>
      <c r="C556" s="225"/>
      <c r="D556" s="225"/>
      <c r="E556" s="225"/>
      <c r="F556" s="9"/>
      <c r="G556" s="9" t="s">
        <v>2977</v>
      </c>
      <c r="H556" s="4" t="s">
        <v>2970</v>
      </c>
      <c r="I556" s="32" t="s">
        <v>3</v>
      </c>
      <c r="J556" s="12" t="s">
        <v>333</v>
      </c>
      <c r="K556" s="53" t="s">
        <v>349</v>
      </c>
      <c r="L556" s="53">
        <v>44732</v>
      </c>
      <c r="M556" s="71" t="s">
        <v>3074</v>
      </c>
      <c r="N556" s="8" t="s">
        <v>3077</v>
      </c>
      <c r="O556" s="12" t="s">
        <v>326</v>
      </c>
      <c r="P556" s="8"/>
      <c r="Q556" s="8"/>
      <c r="R556" s="10"/>
      <c r="S556" s="10"/>
    </row>
    <row r="557" spans="2:19" ht="12.75" customHeight="1" outlineLevel="1">
      <c r="B557" s="225"/>
      <c r="C557" s="225"/>
      <c r="D557" s="225"/>
      <c r="E557" s="225"/>
      <c r="F557" s="9"/>
      <c r="G557" s="9" t="s">
        <v>2978</v>
      </c>
      <c r="H557" s="4" t="s">
        <v>2980</v>
      </c>
      <c r="I557" s="32" t="s">
        <v>3</v>
      </c>
      <c r="J557" s="12" t="s">
        <v>333</v>
      </c>
      <c r="K557" s="53" t="s">
        <v>349</v>
      </c>
      <c r="L557" s="53">
        <v>44732</v>
      </c>
      <c r="M557" s="71" t="s">
        <v>3075</v>
      </c>
      <c r="N557" s="8" t="s">
        <v>3077</v>
      </c>
      <c r="O557" s="12" t="s">
        <v>326</v>
      </c>
      <c r="P557" s="8"/>
      <c r="Q557" s="8"/>
      <c r="R557" s="10"/>
      <c r="S557" s="10"/>
    </row>
    <row r="558" spans="2:19" ht="12.75" customHeight="1" outlineLevel="1">
      <c r="B558" s="225"/>
      <c r="C558" s="225"/>
      <c r="D558" s="225"/>
      <c r="E558" s="225"/>
      <c r="F558" s="9"/>
      <c r="G558" s="9" t="s">
        <v>2979</v>
      </c>
      <c r="H558" s="4" t="s">
        <v>2981</v>
      </c>
      <c r="I558" s="32" t="s">
        <v>3</v>
      </c>
      <c r="J558" s="12" t="s">
        <v>333</v>
      </c>
      <c r="K558" s="53" t="s">
        <v>349</v>
      </c>
      <c r="L558" s="53">
        <v>44732</v>
      </c>
      <c r="M558" s="71" t="s">
        <v>3076</v>
      </c>
      <c r="N558" s="8" t="s">
        <v>3077</v>
      </c>
      <c r="O558" s="12" t="s">
        <v>326</v>
      </c>
      <c r="P558" s="8"/>
      <c r="Q558" s="8"/>
      <c r="R558" s="10"/>
      <c r="S558" s="10"/>
    </row>
    <row r="559" spans="2:19" ht="12.75" customHeight="1" outlineLevel="1">
      <c r="B559" s="225"/>
      <c r="C559" s="225"/>
      <c r="D559" s="225"/>
      <c r="E559" s="225"/>
      <c r="F559" s="9"/>
      <c r="G559" s="9"/>
      <c r="H559" s="4"/>
      <c r="I559" s="32"/>
      <c r="J559" s="8"/>
      <c r="K559" s="8"/>
      <c r="L559" s="8"/>
      <c r="M559" s="8"/>
      <c r="N559" s="8"/>
      <c r="O559" s="8"/>
      <c r="P559" s="8"/>
      <c r="Q559" s="8"/>
      <c r="R559" s="10"/>
      <c r="S559" s="10"/>
    </row>
    <row r="560" spans="2:19" ht="12.75" customHeight="1" outlineLevel="1">
      <c r="B560" s="225"/>
      <c r="C560" s="225"/>
      <c r="D560" s="225"/>
      <c r="E560" s="225"/>
      <c r="F560" s="9"/>
      <c r="G560" s="9"/>
      <c r="H560" s="7"/>
      <c r="I560" s="32"/>
      <c r="J560" s="8"/>
      <c r="K560" s="8"/>
      <c r="L560" s="8"/>
      <c r="M560" s="8"/>
      <c r="N560" s="8"/>
      <c r="O560" s="8"/>
      <c r="P560" s="8"/>
      <c r="Q560" s="8"/>
      <c r="R560" s="10"/>
      <c r="S560" s="10"/>
    </row>
    <row r="561" spans="2:19" ht="12.75" customHeight="1" outlineLevel="1">
      <c r="B561" s="225"/>
      <c r="C561" s="225"/>
      <c r="D561" s="225"/>
      <c r="E561" s="225"/>
      <c r="F561" s="9" t="s">
        <v>29</v>
      </c>
      <c r="G561" s="9"/>
      <c r="H561" s="7" t="s">
        <v>2974</v>
      </c>
      <c r="I561" s="32" t="s">
        <v>3</v>
      </c>
      <c r="J561" s="12" t="s">
        <v>333</v>
      </c>
      <c r="K561" s="53" t="s">
        <v>349</v>
      </c>
      <c r="L561" s="53">
        <v>44732</v>
      </c>
      <c r="M561" s="71" t="s">
        <v>3138</v>
      </c>
      <c r="N561" s="8" t="s">
        <v>3077</v>
      </c>
      <c r="O561" s="12" t="s">
        <v>326</v>
      </c>
      <c r="P561" s="8"/>
      <c r="Q561" s="8"/>
      <c r="R561" s="10"/>
      <c r="S561" s="10"/>
    </row>
    <row r="562" spans="2:19" ht="12.75" customHeight="1" outlineLevel="1">
      <c r="B562" s="225"/>
      <c r="C562" s="225"/>
      <c r="D562" s="225"/>
      <c r="E562" s="225"/>
      <c r="F562" s="9" t="s">
        <v>35</v>
      </c>
      <c r="G562" s="9"/>
      <c r="H562" s="7" t="s">
        <v>2975</v>
      </c>
      <c r="I562" s="32" t="s">
        <v>3</v>
      </c>
      <c r="J562" s="12" t="s">
        <v>333</v>
      </c>
      <c r="K562" s="53" t="s">
        <v>349</v>
      </c>
      <c r="L562" s="53">
        <v>44732</v>
      </c>
      <c r="M562" s="71" t="s">
        <v>3139</v>
      </c>
      <c r="N562" s="8" t="s">
        <v>3077</v>
      </c>
      <c r="O562" s="12" t="s">
        <v>326</v>
      </c>
      <c r="P562" s="8"/>
      <c r="Q562" s="8"/>
      <c r="R562" s="10"/>
      <c r="S562" s="10"/>
    </row>
    <row r="563" spans="2:19" ht="12.75" customHeight="1" outlineLevel="1">
      <c r="B563" s="225"/>
      <c r="C563" s="225"/>
      <c r="D563" s="225"/>
      <c r="E563" s="225"/>
      <c r="F563" s="9" t="s">
        <v>36</v>
      </c>
      <c r="G563" s="9"/>
      <c r="H563" s="7" t="s">
        <v>2971</v>
      </c>
      <c r="I563" s="32" t="s">
        <v>3</v>
      </c>
      <c r="J563" s="12" t="s">
        <v>333</v>
      </c>
      <c r="K563" s="53" t="s">
        <v>349</v>
      </c>
      <c r="L563" s="53">
        <v>44771</v>
      </c>
      <c r="M563" s="71" t="s">
        <v>3148</v>
      </c>
      <c r="N563" s="8" t="s">
        <v>3147</v>
      </c>
      <c r="O563" s="12" t="s">
        <v>326</v>
      </c>
      <c r="P563" s="8"/>
      <c r="Q563" s="8"/>
      <c r="R563" s="10"/>
      <c r="S563" s="10"/>
    </row>
    <row r="564" spans="2:19" ht="12.75" customHeight="1" outlineLevel="1">
      <c r="B564" s="225"/>
      <c r="C564" s="225"/>
      <c r="D564" s="225"/>
      <c r="E564" s="225"/>
      <c r="F564" s="9" t="s">
        <v>38</v>
      </c>
      <c r="G564" s="9"/>
      <c r="H564" s="7" t="s">
        <v>3203</v>
      </c>
      <c r="I564" s="32" t="s">
        <v>3</v>
      </c>
      <c r="J564" s="12" t="s">
        <v>333</v>
      </c>
      <c r="K564" s="53" t="s">
        <v>349</v>
      </c>
      <c r="L564" s="53">
        <v>44791</v>
      </c>
      <c r="M564" s="71" t="s">
        <v>3205</v>
      </c>
      <c r="N564" s="8" t="s">
        <v>3206</v>
      </c>
      <c r="O564" s="8" t="s">
        <v>326</v>
      </c>
      <c r="P564" s="8"/>
      <c r="Q564" s="8"/>
      <c r="R564" s="10"/>
      <c r="S564" s="10"/>
    </row>
    <row r="565" spans="2:19" ht="12.75" customHeight="1" outlineLevel="1">
      <c r="B565" s="225"/>
      <c r="C565" s="225"/>
      <c r="D565" s="225"/>
      <c r="E565" s="225"/>
      <c r="F565" s="9" t="s">
        <v>40</v>
      </c>
      <c r="G565" s="9"/>
      <c r="H565" s="4" t="s">
        <v>2957</v>
      </c>
      <c r="I565" s="32" t="s">
        <v>3</v>
      </c>
      <c r="J565" s="12" t="s">
        <v>333</v>
      </c>
      <c r="K565" s="53" t="s">
        <v>349</v>
      </c>
      <c r="L565" s="53">
        <v>44732</v>
      </c>
      <c r="M565" s="71" t="s">
        <v>3140</v>
      </c>
      <c r="N565" s="8" t="s">
        <v>3077</v>
      </c>
      <c r="O565" s="12" t="s">
        <v>326</v>
      </c>
      <c r="P565" s="8"/>
      <c r="Q565" s="8"/>
      <c r="R565" s="10"/>
      <c r="S565" s="10"/>
    </row>
    <row r="566" spans="2:19" ht="12.75" customHeight="1" outlineLevel="1">
      <c r="B566" s="225"/>
      <c r="C566" s="225"/>
      <c r="D566" s="225"/>
      <c r="E566" s="225"/>
      <c r="F566" s="9" t="s">
        <v>108</v>
      </c>
      <c r="G566" s="9"/>
      <c r="H566" s="4" t="s">
        <v>2958</v>
      </c>
      <c r="I566" s="32" t="s">
        <v>3</v>
      </c>
      <c r="J566" s="12" t="s">
        <v>333</v>
      </c>
      <c r="K566" s="53" t="s">
        <v>349</v>
      </c>
      <c r="L566" s="53">
        <v>44732</v>
      </c>
      <c r="M566" s="71" t="s">
        <v>3141</v>
      </c>
      <c r="N566" s="8" t="s">
        <v>3077</v>
      </c>
      <c r="O566" s="12" t="s">
        <v>326</v>
      </c>
      <c r="P566" s="8"/>
      <c r="Q566" s="8"/>
      <c r="R566" s="10"/>
      <c r="S566" s="10"/>
    </row>
    <row r="567" spans="2:19" ht="12.75" customHeight="1" outlineLevel="1">
      <c r="B567" s="225"/>
      <c r="C567" s="225"/>
      <c r="D567" s="225"/>
      <c r="E567" s="225"/>
      <c r="F567" s="9" t="s">
        <v>129</v>
      </c>
      <c r="G567" s="9"/>
      <c r="H567" s="4" t="s">
        <v>2983</v>
      </c>
      <c r="I567" s="32" t="s">
        <v>3</v>
      </c>
      <c r="J567" s="12" t="s">
        <v>333</v>
      </c>
      <c r="K567" s="53" t="s">
        <v>349</v>
      </c>
      <c r="L567" s="53">
        <v>44732</v>
      </c>
      <c r="M567" s="71" t="s">
        <v>3142</v>
      </c>
      <c r="N567" s="8" t="s">
        <v>3077</v>
      </c>
      <c r="O567" s="12" t="s">
        <v>326</v>
      </c>
      <c r="P567" s="8"/>
      <c r="Q567" s="8"/>
      <c r="R567" s="10"/>
      <c r="S567" s="10"/>
    </row>
    <row r="568" spans="2:19" ht="12.75" customHeight="1" outlineLevel="1">
      <c r="B568" s="225"/>
      <c r="C568" s="225"/>
      <c r="D568" s="225"/>
      <c r="E568" s="225"/>
      <c r="F568" s="9" t="s">
        <v>134</v>
      </c>
      <c r="G568" s="9"/>
      <c r="H568" s="4" t="s">
        <v>2968</v>
      </c>
      <c r="I568" s="32" t="s">
        <v>3</v>
      </c>
      <c r="J568" s="12" t="s">
        <v>333</v>
      </c>
      <c r="K568" s="53" t="s">
        <v>349</v>
      </c>
      <c r="L568" s="53">
        <v>44732</v>
      </c>
      <c r="M568" s="71" t="s">
        <v>3143</v>
      </c>
      <c r="N568" s="8" t="s">
        <v>3077</v>
      </c>
      <c r="O568" s="12" t="s">
        <v>326</v>
      </c>
      <c r="P568" s="8"/>
      <c r="Q568" s="8"/>
      <c r="R568" s="10"/>
      <c r="S568" s="10"/>
    </row>
    <row r="569" spans="2:19" ht="12.75" customHeight="1" outlineLevel="1">
      <c r="B569" s="225"/>
      <c r="C569" s="225"/>
      <c r="D569" s="225"/>
      <c r="E569" s="225"/>
      <c r="F569" s="9" t="s">
        <v>135</v>
      </c>
      <c r="G569" s="9"/>
      <c r="H569" s="4" t="s">
        <v>2973</v>
      </c>
      <c r="I569" s="32" t="s">
        <v>3</v>
      </c>
      <c r="J569" s="12" t="s">
        <v>333</v>
      </c>
      <c r="K569" s="53" t="s">
        <v>349</v>
      </c>
      <c r="L569" s="53">
        <v>44732</v>
      </c>
      <c r="M569" s="71" t="s">
        <v>3144</v>
      </c>
      <c r="N569" s="8" t="s">
        <v>3077</v>
      </c>
      <c r="O569" s="12" t="s">
        <v>326</v>
      </c>
      <c r="P569" s="8"/>
      <c r="Q569" s="8"/>
      <c r="R569" s="10"/>
      <c r="S569" s="10"/>
    </row>
    <row r="570" spans="2:19" ht="12.75" customHeight="1" outlineLevel="1">
      <c r="B570" s="225"/>
      <c r="C570" s="225"/>
      <c r="D570" s="225"/>
      <c r="E570" s="225"/>
      <c r="F570" s="9" t="s">
        <v>204</v>
      </c>
      <c r="G570" s="9"/>
      <c r="H570" s="4" t="s">
        <v>2462</v>
      </c>
      <c r="I570" s="32" t="s">
        <v>3</v>
      </c>
      <c r="J570" s="12" t="s">
        <v>333</v>
      </c>
      <c r="K570" s="53" t="s">
        <v>349</v>
      </c>
      <c r="L570" s="53">
        <v>44732</v>
      </c>
      <c r="M570" s="71" t="s">
        <v>3145</v>
      </c>
      <c r="N570" s="8" t="s">
        <v>3077</v>
      </c>
      <c r="O570" s="12" t="s">
        <v>326</v>
      </c>
      <c r="P570" s="8"/>
      <c r="Q570" s="8"/>
      <c r="R570" s="10"/>
      <c r="S570" s="10"/>
    </row>
    <row r="571" spans="2:19" ht="12.75" customHeight="1" outlineLevel="1">
      <c r="B571" s="225"/>
      <c r="C571" s="225"/>
      <c r="D571" s="225"/>
      <c r="E571" s="225"/>
      <c r="F571" s="9" t="s">
        <v>205</v>
      </c>
      <c r="G571" s="9"/>
      <c r="H571" s="4" t="s">
        <v>2972</v>
      </c>
      <c r="I571" s="32" t="s">
        <v>3</v>
      </c>
      <c r="J571" s="12" t="s">
        <v>333</v>
      </c>
      <c r="K571" s="53" t="s">
        <v>349</v>
      </c>
      <c r="L571" s="53">
        <v>44732</v>
      </c>
      <c r="M571" s="71" t="s">
        <v>3146</v>
      </c>
      <c r="N571" s="8" t="s">
        <v>3077</v>
      </c>
      <c r="O571" s="12" t="s">
        <v>326</v>
      </c>
      <c r="P571" s="8"/>
      <c r="Q571" s="8"/>
      <c r="R571" s="10"/>
      <c r="S571" s="10"/>
    </row>
    <row r="572" spans="2:19" ht="12.75" customHeight="1" outlineLevel="1">
      <c r="B572" s="225"/>
      <c r="C572" s="225"/>
      <c r="D572" s="225"/>
      <c r="E572" s="225"/>
      <c r="F572" s="9" t="s">
        <v>206</v>
      </c>
      <c r="G572" s="9"/>
      <c r="H572" s="4" t="s">
        <v>2976</v>
      </c>
      <c r="I572" s="32" t="s">
        <v>3</v>
      </c>
      <c r="J572" s="12" t="s">
        <v>333</v>
      </c>
      <c r="K572" s="53" t="s">
        <v>349</v>
      </c>
      <c r="L572" s="53">
        <v>44732</v>
      </c>
      <c r="M572" s="71" t="s">
        <v>3137</v>
      </c>
      <c r="N572" s="8" t="s">
        <v>3077</v>
      </c>
      <c r="O572" s="12" t="s">
        <v>326</v>
      </c>
      <c r="P572" s="8"/>
      <c r="Q572" s="8"/>
      <c r="R572" s="10"/>
      <c r="S572" s="10"/>
    </row>
    <row r="573" spans="2:19" ht="12.75" customHeight="1" outlineLevel="1">
      <c r="B573" s="225"/>
      <c r="C573" s="225"/>
      <c r="D573" s="225"/>
      <c r="E573" s="225"/>
      <c r="F573" s="9" t="s">
        <v>207</v>
      </c>
      <c r="G573" s="9"/>
      <c r="H573" s="4" t="s">
        <v>2946</v>
      </c>
      <c r="I573" s="32" t="s">
        <v>3</v>
      </c>
      <c r="J573" s="12" t="s">
        <v>333</v>
      </c>
      <c r="K573" s="53" t="s">
        <v>349</v>
      </c>
      <c r="L573" s="53">
        <v>44732</v>
      </c>
      <c r="M573" s="71" t="s">
        <v>3136</v>
      </c>
      <c r="N573" s="8" t="s">
        <v>3077</v>
      </c>
      <c r="O573" s="12" t="s">
        <v>326</v>
      </c>
      <c r="P573" s="8"/>
      <c r="Q573" s="8"/>
      <c r="R573" s="10"/>
      <c r="S573" s="10"/>
    </row>
    <row r="574" spans="2:19" ht="12.75" customHeight="1" outlineLevel="1">
      <c r="B574" s="225"/>
      <c r="C574" s="225"/>
      <c r="D574" s="225"/>
      <c r="E574" s="225"/>
      <c r="F574" s="9"/>
      <c r="G574" s="9"/>
      <c r="H574" s="4" t="s">
        <v>2946</v>
      </c>
      <c r="I574" s="32" t="s">
        <v>512</v>
      </c>
      <c r="J574" s="12" t="s">
        <v>333</v>
      </c>
      <c r="K574" s="53" t="s">
        <v>349</v>
      </c>
      <c r="L574" s="53">
        <v>44771</v>
      </c>
      <c r="M574" s="71" t="s">
        <v>3136</v>
      </c>
      <c r="N574" s="8" t="s">
        <v>3147</v>
      </c>
      <c r="O574" s="12" t="s">
        <v>326</v>
      </c>
      <c r="P574" s="8"/>
      <c r="Q574" s="8"/>
      <c r="R574" s="10"/>
      <c r="S574" s="10"/>
    </row>
    <row r="575" spans="2:19" ht="12.75" customHeight="1" outlineLevel="1">
      <c r="B575" s="225"/>
      <c r="C575" s="225"/>
      <c r="D575" s="225"/>
      <c r="E575" s="225"/>
      <c r="F575" s="9"/>
      <c r="G575" s="9"/>
      <c r="H575" s="7"/>
      <c r="I575" s="32"/>
      <c r="J575" s="8"/>
      <c r="K575" s="8"/>
      <c r="L575" s="8"/>
      <c r="M575" s="8"/>
      <c r="N575" s="8"/>
      <c r="O575" s="8"/>
      <c r="P575" s="8"/>
      <c r="Q575" s="8"/>
      <c r="R575" s="10"/>
      <c r="S575" s="10"/>
    </row>
    <row r="576" spans="2:19" ht="12.75" customHeight="1" outlineLevel="1">
      <c r="B576" s="225"/>
      <c r="C576" s="225"/>
      <c r="D576" s="225"/>
      <c r="E576" s="225"/>
      <c r="F576" s="9"/>
      <c r="G576" s="9"/>
      <c r="H576" s="7"/>
      <c r="I576" s="32"/>
      <c r="J576" s="8"/>
      <c r="K576" s="8"/>
      <c r="L576" s="8"/>
      <c r="M576" s="8"/>
      <c r="N576" s="8"/>
      <c r="O576" s="8"/>
      <c r="P576" s="8"/>
      <c r="Q576" s="8"/>
      <c r="R576" s="10"/>
      <c r="S576" s="10"/>
    </row>
    <row r="577" spans="2:19" ht="12.75" customHeight="1" outlineLevel="1">
      <c r="B577" s="225"/>
      <c r="C577" s="225"/>
      <c r="D577" s="9" t="s">
        <v>52</v>
      </c>
      <c r="E577" s="227" t="s">
        <v>137</v>
      </c>
      <c r="F577" s="228"/>
      <c r="G577" s="228"/>
      <c r="H577" s="229"/>
      <c r="I577" s="1"/>
      <c r="J577" s="34"/>
      <c r="K577" s="34"/>
      <c r="L577" s="34"/>
      <c r="M577" s="8"/>
      <c r="N577" s="8"/>
      <c r="O577" s="34" t="s">
        <v>26</v>
      </c>
      <c r="P577" s="34"/>
      <c r="Q577" s="34" t="s">
        <v>26</v>
      </c>
      <c r="R577" s="10"/>
      <c r="S577" s="10"/>
    </row>
    <row r="578" spans="2:19" ht="12.75" customHeight="1" outlineLevel="1">
      <c r="B578" s="225"/>
      <c r="C578" s="225"/>
      <c r="D578" s="224"/>
      <c r="E578" s="224"/>
      <c r="F578" s="9" t="s">
        <v>27</v>
      </c>
      <c r="G578" s="9"/>
      <c r="H578" s="7"/>
      <c r="I578" s="1"/>
      <c r="J578" s="8"/>
      <c r="K578" s="8"/>
      <c r="L578" s="8"/>
      <c r="M578" s="8"/>
      <c r="N578" s="8"/>
      <c r="O578" s="8"/>
      <c r="P578" s="8"/>
      <c r="Q578" s="9"/>
      <c r="R578" s="10"/>
      <c r="S578" s="10"/>
    </row>
    <row r="579" spans="2:19" ht="12.75" customHeight="1" outlineLevel="1">
      <c r="B579" s="225"/>
      <c r="C579" s="225"/>
      <c r="D579" s="226"/>
      <c r="E579" s="226"/>
      <c r="F579" s="9"/>
      <c r="G579" s="9"/>
      <c r="H579" s="7"/>
      <c r="I579" s="32"/>
      <c r="J579" s="8"/>
      <c r="K579" s="8"/>
      <c r="L579" s="8"/>
      <c r="M579" s="8"/>
      <c r="N579" s="8"/>
      <c r="O579" s="8"/>
      <c r="P579" s="8"/>
      <c r="Q579" s="8"/>
      <c r="R579" s="10"/>
      <c r="S579" s="10"/>
    </row>
    <row r="580" spans="2:19" ht="12.75" customHeight="1" outlineLevel="1">
      <c r="B580" s="225"/>
      <c r="C580" s="225"/>
      <c r="D580" s="9" t="s">
        <v>42</v>
      </c>
      <c r="E580" s="227" t="s">
        <v>1316</v>
      </c>
      <c r="F580" s="228"/>
      <c r="G580" s="228"/>
      <c r="H580" s="229"/>
      <c r="I580" s="1"/>
      <c r="J580" s="34"/>
      <c r="K580" s="34"/>
      <c r="L580" s="34"/>
      <c r="M580" s="8"/>
      <c r="N580" s="8"/>
      <c r="O580" s="34" t="s">
        <v>26</v>
      </c>
      <c r="P580" s="34"/>
      <c r="Q580" s="34" t="s">
        <v>26</v>
      </c>
      <c r="R580" s="10"/>
      <c r="S580" s="10"/>
    </row>
    <row r="581" spans="2:19" ht="12.75" customHeight="1" outlineLevel="1">
      <c r="B581" s="225"/>
      <c r="C581" s="225"/>
      <c r="D581" s="224"/>
      <c r="E581" s="224"/>
      <c r="F581" s="9" t="s">
        <v>27</v>
      </c>
      <c r="G581" s="235"/>
      <c r="H581" s="236"/>
      <c r="I581" s="32"/>
      <c r="J581" s="8"/>
      <c r="K581" s="8"/>
      <c r="L581" s="53"/>
      <c r="M581" s="8"/>
      <c r="N581" s="8"/>
      <c r="O581" s="8"/>
      <c r="P581" s="8"/>
      <c r="Q581" s="8"/>
      <c r="R581" s="10"/>
      <c r="S581" s="10"/>
    </row>
    <row r="582" spans="2:19" ht="12.75" customHeight="1" outlineLevel="1">
      <c r="B582" s="226"/>
      <c r="C582" s="226"/>
      <c r="D582" s="226"/>
      <c r="E582" s="226"/>
      <c r="F582" s="9"/>
      <c r="G582" s="9"/>
      <c r="H582" s="7"/>
      <c r="I582" s="32"/>
      <c r="J582" s="8"/>
      <c r="K582" s="8"/>
      <c r="L582" s="8"/>
      <c r="M582" s="8"/>
      <c r="N582" s="8"/>
      <c r="O582" s="8"/>
      <c r="P582" s="8"/>
      <c r="Q582" s="8"/>
      <c r="R582" s="10"/>
      <c r="S582" s="10"/>
    </row>
    <row r="583" spans="2:19" ht="12.75" customHeight="1">
      <c r="B583" s="9" t="s">
        <v>138</v>
      </c>
      <c r="C583" s="227" t="s">
        <v>139</v>
      </c>
      <c r="D583" s="228"/>
      <c r="E583" s="228"/>
      <c r="F583" s="228"/>
      <c r="G583" s="228"/>
      <c r="H583" s="228"/>
      <c r="I583" s="228"/>
      <c r="J583" s="228"/>
      <c r="K583" s="228"/>
      <c r="L583" s="228"/>
      <c r="M583" s="228"/>
      <c r="N583" s="228"/>
      <c r="O583" s="228"/>
      <c r="P583" s="228"/>
      <c r="Q583" s="228"/>
      <c r="R583" s="229"/>
      <c r="S583" s="10"/>
    </row>
    <row r="584" spans="2:19" ht="12.75" customHeight="1">
      <c r="B584" s="224"/>
      <c r="C584" s="224"/>
      <c r="D584" s="9" t="s">
        <v>24</v>
      </c>
      <c r="E584" s="227" t="s">
        <v>140</v>
      </c>
      <c r="F584" s="228"/>
      <c r="G584" s="228"/>
      <c r="H584" s="229"/>
      <c r="I584" s="5"/>
      <c r="J584" s="34"/>
      <c r="K584" s="34"/>
      <c r="L584" s="34"/>
      <c r="M584" s="8"/>
      <c r="N584" s="8"/>
      <c r="O584" s="34" t="s">
        <v>26</v>
      </c>
      <c r="P584" s="34"/>
      <c r="Q584" s="34" t="s">
        <v>26</v>
      </c>
      <c r="R584" s="10"/>
      <c r="S584" s="10"/>
    </row>
    <row r="585" spans="2:19" ht="14" outlineLevel="1">
      <c r="B585" s="225"/>
      <c r="C585" s="225"/>
      <c r="D585" s="224"/>
      <c r="E585" s="224"/>
      <c r="F585" s="9" t="s">
        <v>27</v>
      </c>
      <c r="G585" s="9"/>
      <c r="H585" s="7"/>
      <c r="I585" s="32"/>
      <c r="J585" s="8"/>
      <c r="K585" s="8"/>
      <c r="L585" s="8"/>
      <c r="M585" s="8"/>
      <c r="N585" s="8"/>
      <c r="O585" s="8"/>
      <c r="P585" s="8"/>
      <c r="Q585" s="8"/>
      <c r="R585" s="10"/>
      <c r="S585" s="10"/>
    </row>
    <row r="586" spans="2:19" ht="14" outlineLevel="1">
      <c r="B586" s="225"/>
      <c r="C586" s="225"/>
      <c r="D586" s="225"/>
      <c r="E586" s="225"/>
      <c r="F586" s="9" t="s">
        <v>29</v>
      </c>
      <c r="G586" s="9"/>
      <c r="H586" s="7"/>
      <c r="I586" s="32"/>
      <c r="J586" s="8"/>
      <c r="K586" s="8"/>
      <c r="L586" s="8"/>
      <c r="M586" s="8"/>
      <c r="N586" s="8"/>
      <c r="O586" s="8"/>
      <c r="P586" s="8"/>
      <c r="Q586" s="8"/>
      <c r="R586" s="10"/>
      <c r="S586" s="10"/>
    </row>
    <row r="587" spans="2:19" outlineLevel="1">
      <c r="B587" s="225"/>
      <c r="C587" s="225"/>
      <c r="D587" s="226"/>
      <c r="E587" s="226"/>
      <c r="F587" s="6"/>
      <c r="G587" s="9"/>
      <c r="H587" s="7"/>
      <c r="I587" s="32"/>
      <c r="J587" s="8"/>
      <c r="K587" s="8"/>
      <c r="L587" s="8"/>
      <c r="M587" s="8"/>
      <c r="N587" s="8"/>
      <c r="O587" s="8"/>
      <c r="P587" s="8"/>
      <c r="Q587" s="8"/>
      <c r="R587" s="10"/>
      <c r="S587" s="10"/>
    </row>
    <row r="588" spans="2:19" ht="12.75" customHeight="1" outlineLevel="1">
      <c r="B588" s="225"/>
      <c r="C588" s="225"/>
      <c r="D588" s="9" t="s">
        <v>31</v>
      </c>
      <c r="E588" s="227" t="s">
        <v>141</v>
      </c>
      <c r="F588" s="228"/>
      <c r="G588" s="228"/>
      <c r="H588" s="229"/>
      <c r="I588" s="1"/>
      <c r="J588" s="8"/>
      <c r="K588" s="8"/>
      <c r="L588" s="8"/>
      <c r="M588" s="8"/>
      <c r="N588" s="8"/>
      <c r="O588" s="8"/>
      <c r="P588" s="8"/>
      <c r="Q588" s="8"/>
      <c r="R588" s="10"/>
      <c r="S588" s="10"/>
    </row>
    <row r="589" spans="2:19" ht="14" outlineLevel="1">
      <c r="B589" s="225"/>
      <c r="C589" s="225"/>
      <c r="D589" s="224"/>
      <c r="E589" s="224"/>
      <c r="F589" s="9" t="s">
        <v>27</v>
      </c>
      <c r="G589" s="9"/>
      <c r="H589" s="7"/>
      <c r="I589" s="33"/>
      <c r="J589" s="8"/>
      <c r="K589" s="8"/>
      <c r="L589" s="8"/>
      <c r="M589" s="8"/>
      <c r="N589" s="8"/>
      <c r="O589" s="8"/>
      <c r="P589" s="8"/>
      <c r="Q589" s="8"/>
      <c r="R589" s="10"/>
      <c r="S589" s="10"/>
    </row>
    <row r="590" spans="2:19" ht="14" outlineLevel="1">
      <c r="B590" s="225"/>
      <c r="C590" s="225"/>
      <c r="D590" s="225"/>
      <c r="E590" s="225"/>
      <c r="F590" s="9" t="s">
        <v>29</v>
      </c>
      <c r="G590" s="9"/>
      <c r="H590" s="7"/>
      <c r="I590" s="33"/>
      <c r="J590" s="8"/>
      <c r="K590" s="8"/>
      <c r="L590" s="8"/>
      <c r="M590" s="8"/>
      <c r="N590" s="8"/>
      <c r="O590" s="8"/>
      <c r="P590" s="8"/>
      <c r="Q590" s="8"/>
      <c r="R590" s="10"/>
      <c r="S590" s="10"/>
    </row>
    <row r="591" spans="2:19" outlineLevel="1">
      <c r="B591" s="225"/>
      <c r="C591" s="225"/>
      <c r="D591" s="226"/>
      <c r="E591" s="226"/>
      <c r="F591" s="9"/>
      <c r="G591" s="9"/>
      <c r="H591" s="7"/>
      <c r="I591" s="32"/>
      <c r="J591" s="8"/>
      <c r="K591" s="8"/>
      <c r="L591" s="8"/>
      <c r="M591" s="8"/>
      <c r="N591" s="8"/>
      <c r="O591" s="8"/>
      <c r="P591" s="8"/>
      <c r="Q591" s="8"/>
      <c r="R591" s="10"/>
      <c r="S591" s="10"/>
    </row>
    <row r="592" spans="2:19" ht="28" outlineLevel="1">
      <c r="B592" s="225"/>
      <c r="C592" s="225"/>
      <c r="D592" s="9" t="s">
        <v>33</v>
      </c>
      <c r="E592" s="227" t="s">
        <v>142</v>
      </c>
      <c r="F592" s="228"/>
      <c r="G592" s="228"/>
      <c r="H592" s="229"/>
      <c r="I592" s="32"/>
      <c r="J592" s="8"/>
      <c r="K592" s="8"/>
      <c r="L592" s="8"/>
      <c r="M592" s="8"/>
      <c r="N592" s="8"/>
      <c r="O592" s="8"/>
      <c r="P592" s="8"/>
      <c r="Q592" s="8"/>
      <c r="R592" s="10"/>
      <c r="S592" s="10"/>
    </row>
    <row r="593" spans="2:19" ht="14" outlineLevel="1">
      <c r="B593" s="225"/>
      <c r="C593" s="225"/>
      <c r="D593" s="224"/>
      <c r="E593" s="224"/>
      <c r="F593" s="9" t="s">
        <v>27</v>
      </c>
      <c r="G593" s="9"/>
      <c r="H593" s="41" t="s">
        <v>193</v>
      </c>
      <c r="I593" s="32" t="s">
        <v>330</v>
      </c>
      <c r="J593" s="8" t="s">
        <v>333</v>
      </c>
      <c r="K593" s="53">
        <v>44000</v>
      </c>
      <c r="L593" s="53">
        <v>44000</v>
      </c>
      <c r="M593" s="8" t="s">
        <v>347</v>
      </c>
      <c r="N593" s="8" t="s">
        <v>335</v>
      </c>
      <c r="O593" s="8" t="s">
        <v>326</v>
      </c>
      <c r="P593" s="8"/>
      <c r="Q593" s="8" t="s">
        <v>324</v>
      </c>
      <c r="R593" s="10"/>
      <c r="S593" s="10"/>
    </row>
    <row r="594" spans="2:19" ht="14" outlineLevel="1">
      <c r="B594" s="225"/>
      <c r="C594" s="225"/>
      <c r="D594" s="225"/>
      <c r="E594" s="225"/>
      <c r="F594" s="9"/>
      <c r="G594" s="9"/>
      <c r="H594" s="41" t="s">
        <v>193</v>
      </c>
      <c r="I594" s="32" t="s">
        <v>650</v>
      </c>
      <c r="J594" s="8" t="s">
        <v>333</v>
      </c>
      <c r="K594" s="53">
        <v>44069</v>
      </c>
      <c r="L594" s="53">
        <v>44071</v>
      </c>
      <c r="M594" s="35" t="s">
        <v>377</v>
      </c>
      <c r="N594" s="35" t="s">
        <v>351</v>
      </c>
      <c r="O594" s="12" t="s">
        <v>326</v>
      </c>
      <c r="P594" s="12"/>
      <c r="Q594" s="8"/>
      <c r="R594" s="10"/>
      <c r="S594" s="10"/>
    </row>
    <row r="595" spans="2:19" ht="14" outlineLevel="1">
      <c r="B595" s="225"/>
      <c r="C595" s="225"/>
      <c r="D595" s="225"/>
      <c r="E595" s="225"/>
      <c r="F595" s="9"/>
      <c r="G595" s="9"/>
      <c r="H595" s="41" t="s">
        <v>193</v>
      </c>
      <c r="I595" s="32" t="s">
        <v>651</v>
      </c>
      <c r="J595" s="8" t="s">
        <v>332</v>
      </c>
      <c r="K595" s="53" t="s">
        <v>349</v>
      </c>
      <c r="L595" s="53">
        <v>44148</v>
      </c>
      <c r="M595" s="35" t="s">
        <v>648</v>
      </c>
      <c r="N595" s="35" t="s">
        <v>649</v>
      </c>
      <c r="O595" s="12" t="s">
        <v>326</v>
      </c>
      <c r="P595" s="12"/>
      <c r="Q595" s="8"/>
      <c r="R595" s="10"/>
      <c r="S595" s="10"/>
    </row>
    <row r="596" spans="2:19" ht="14" outlineLevel="1">
      <c r="B596" s="225"/>
      <c r="C596" s="225"/>
      <c r="D596" s="225"/>
      <c r="E596" s="225"/>
      <c r="F596" s="21"/>
      <c r="G596" s="21"/>
      <c r="H596" s="41" t="s">
        <v>193</v>
      </c>
      <c r="I596" s="35">
        <v>3</v>
      </c>
      <c r="J596" s="8" t="s">
        <v>332</v>
      </c>
      <c r="K596" s="53" t="s">
        <v>349</v>
      </c>
      <c r="L596" s="53">
        <v>44209</v>
      </c>
      <c r="M596" s="35" t="s">
        <v>914</v>
      </c>
      <c r="N596" s="35" t="s">
        <v>915</v>
      </c>
      <c r="O596" s="12" t="s">
        <v>326</v>
      </c>
      <c r="P596" s="12"/>
      <c r="Q596" s="8"/>
      <c r="R596" s="10"/>
      <c r="S596" s="10"/>
    </row>
    <row r="597" spans="2:19" ht="14" outlineLevel="1">
      <c r="B597" s="225"/>
      <c r="C597" s="225"/>
      <c r="D597" s="225"/>
      <c r="E597" s="225"/>
      <c r="F597" s="21"/>
      <c r="G597" s="21"/>
      <c r="H597" s="41" t="s">
        <v>193</v>
      </c>
      <c r="I597" s="35">
        <v>4</v>
      </c>
      <c r="J597" s="8" t="s">
        <v>332</v>
      </c>
      <c r="K597" s="53" t="s">
        <v>349</v>
      </c>
      <c r="L597" s="53">
        <v>44250</v>
      </c>
      <c r="M597" s="35" t="s">
        <v>1153</v>
      </c>
      <c r="N597" s="35" t="s">
        <v>1154</v>
      </c>
      <c r="O597" s="12" t="s">
        <v>326</v>
      </c>
      <c r="P597" s="12"/>
      <c r="Q597" s="8"/>
      <c r="R597" s="10"/>
      <c r="S597" s="10"/>
    </row>
    <row r="598" spans="2:19" ht="14" outlineLevel="1">
      <c r="B598" s="225"/>
      <c r="C598" s="225"/>
      <c r="D598" s="225"/>
      <c r="E598" s="225"/>
      <c r="F598" s="21"/>
      <c r="G598" s="21"/>
      <c r="H598" s="41" t="s">
        <v>193</v>
      </c>
      <c r="I598" s="35">
        <v>5</v>
      </c>
      <c r="J598" s="8" t="s">
        <v>332</v>
      </c>
      <c r="K598" s="53" t="s">
        <v>349</v>
      </c>
      <c r="L598" s="53">
        <v>44273</v>
      </c>
      <c r="M598" s="35" t="s">
        <v>1259</v>
      </c>
      <c r="N598" s="35" t="s">
        <v>1260</v>
      </c>
      <c r="O598" s="12" t="s">
        <v>326</v>
      </c>
      <c r="P598" s="12"/>
      <c r="Q598" s="8"/>
      <c r="R598" s="10"/>
      <c r="S598" s="10"/>
    </row>
    <row r="599" spans="2:19" ht="14" outlineLevel="1">
      <c r="B599" s="225"/>
      <c r="C599" s="225"/>
      <c r="D599" s="225"/>
      <c r="E599" s="225"/>
      <c r="F599" s="21"/>
      <c r="G599" s="21"/>
      <c r="H599" s="41" t="s">
        <v>193</v>
      </c>
      <c r="I599" s="35">
        <v>6</v>
      </c>
      <c r="J599" s="35" t="s">
        <v>332</v>
      </c>
      <c r="K599" s="53" t="s">
        <v>349</v>
      </c>
      <c r="L599" s="53">
        <v>44291</v>
      </c>
      <c r="M599" s="35" t="s">
        <v>1382</v>
      </c>
      <c r="N599" s="35" t="s">
        <v>1383</v>
      </c>
      <c r="O599" s="12" t="s">
        <v>326</v>
      </c>
      <c r="P599" s="12"/>
      <c r="Q599" s="8"/>
      <c r="R599" s="10"/>
      <c r="S599" s="10"/>
    </row>
    <row r="600" spans="2:19" ht="14" outlineLevel="1">
      <c r="B600" s="225"/>
      <c r="C600" s="225"/>
      <c r="D600" s="225"/>
      <c r="E600" s="225"/>
      <c r="F600" s="21"/>
      <c r="G600" s="21"/>
      <c r="H600" s="41" t="s">
        <v>193</v>
      </c>
      <c r="I600" s="35">
        <v>7</v>
      </c>
      <c r="J600" s="35" t="s">
        <v>332</v>
      </c>
      <c r="K600" s="53" t="s">
        <v>349</v>
      </c>
      <c r="L600" s="53">
        <v>44480</v>
      </c>
      <c r="M600" s="35" t="s">
        <v>2341</v>
      </c>
      <c r="N600" s="35" t="s">
        <v>2342</v>
      </c>
      <c r="O600" s="12" t="s">
        <v>326</v>
      </c>
      <c r="P600" s="12"/>
      <c r="Q600" s="8"/>
      <c r="R600" s="10"/>
      <c r="S600" s="10"/>
    </row>
    <row r="601" spans="2:19" ht="14" outlineLevel="1">
      <c r="B601" s="225"/>
      <c r="C601" s="225"/>
      <c r="D601" s="225"/>
      <c r="E601" s="225"/>
      <c r="F601" s="21"/>
      <c r="G601" s="21"/>
      <c r="H601" s="41" t="s">
        <v>193</v>
      </c>
      <c r="I601" s="35">
        <v>8</v>
      </c>
      <c r="J601" s="35" t="s">
        <v>332</v>
      </c>
      <c r="K601" s="53" t="s">
        <v>349</v>
      </c>
      <c r="L601" s="53">
        <v>44483</v>
      </c>
      <c r="M601" s="35" t="s">
        <v>2362</v>
      </c>
      <c r="N601" s="35" t="s">
        <v>2363</v>
      </c>
      <c r="O601" s="12" t="s">
        <v>326</v>
      </c>
      <c r="P601" s="12"/>
      <c r="Q601" s="8"/>
      <c r="R601" s="10"/>
      <c r="S601" s="10"/>
    </row>
    <row r="602" spans="2:19" ht="14" outlineLevel="1">
      <c r="B602" s="225"/>
      <c r="C602" s="225"/>
      <c r="D602" s="225"/>
      <c r="E602" s="225"/>
      <c r="F602" s="21"/>
      <c r="G602" s="21"/>
      <c r="H602" s="41" t="s">
        <v>193</v>
      </c>
      <c r="I602" s="35">
        <v>9</v>
      </c>
      <c r="J602" s="35" t="s">
        <v>332</v>
      </c>
      <c r="K602" s="53" t="s">
        <v>349</v>
      </c>
      <c r="L602" s="53">
        <v>44732</v>
      </c>
      <c r="M602" s="35" t="s">
        <v>3023</v>
      </c>
      <c r="N602" s="35" t="s">
        <v>3024</v>
      </c>
      <c r="O602" s="12" t="s">
        <v>326</v>
      </c>
      <c r="P602" s="12"/>
      <c r="Q602" s="8"/>
      <c r="R602" s="10"/>
      <c r="S602" s="10"/>
    </row>
    <row r="603" spans="2:19" ht="14" outlineLevel="1">
      <c r="B603" s="225"/>
      <c r="C603" s="225"/>
      <c r="D603" s="225"/>
      <c r="E603" s="225"/>
      <c r="F603" s="21"/>
      <c r="G603" s="21"/>
      <c r="H603" s="41" t="s">
        <v>193</v>
      </c>
      <c r="I603" s="35">
        <v>11</v>
      </c>
      <c r="J603" s="35" t="s">
        <v>332</v>
      </c>
      <c r="K603" s="53" t="s">
        <v>349</v>
      </c>
      <c r="L603" s="53">
        <v>45009</v>
      </c>
      <c r="M603" s="35" t="s">
        <v>3635</v>
      </c>
      <c r="N603" s="35" t="s">
        <v>3636</v>
      </c>
      <c r="O603" s="12" t="s">
        <v>326</v>
      </c>
      <c r="P603" s="12"/>
      <c r="Q603" s="8"/>
      <c r="R603" s="10"/>
      <c r="S603" s="10"/>
    </row>
    <row r="604" spans="2:19" ht="14" outlineLevel="1">
      <c r="B604" s="225"/>
      <c r="C604" s="225"/>
      <c r="D604" s="225"/>
      <c r="E604" s="225"/>
      <c r="F604" s="21"/>
      <c r="G604" s="21"/>
      <c r="H604" s="41" t="s">
        <v>193</v>
      </c>
      <c r="I604" s="35">
        <v>12</v>
      </c>
      <c r="J604" s="35" t="s">
        <v>332</v>
      </c>
      <c r="K604" s="53" t="s">
        <v>349</v>
      </c>
      <c r="L604" s="53">
        <v>45197</v>
      </c>
      <c r="M604" s="35" t="s">
        <v>3868</v>
      </c>
      <c r="N604" s="35" t="s">
        <v>3873</v>
      </c>
      <c r="O604" s="12" t="s">
        <v>326</v>
      </c>
      <c r="P604" s="12"/>
      <c r="Q604" s="8"/>
      <c r="R604" s="10"/>
      <c r="S604" s="10"/>
    </row>
    <row r="605" spans="2:19" ht="14" outlineLevel="1">
      <c r="B605" s="225"/>
      <c r="C605" s="225"/>
      <c r="D605" s="225"/>
      <c r="E605" s="225"/>
      <c r="F605" s="21"/>
      <c r="G605" s="21"/>
      <c r="H605" s="41" t="s">
        <v>193</v>
      </c>
      <c r="I605" s="35">
        <v>13</v>
      </c>
      <c r="J605" s="35" t="s">
        <v>332</v>
      </c>
      <c r="K605" s="53" t="s">
        <v>349</v>
      </c>
      <c r="L605" s="53">
        <v>45197</v>
      </c>
      <c r="M605" s="35" t="s">
        <v>3869</v>
      </c>
      <c r="N605" s="35" t="s">
        <v>3873</v>
      </c>
      <c r="O605" s="12" t="s">
        <v>326</v>
      </c>
      <c r="P605" s="12"/>
      <c r="Q605" s="8"/>
      <c r="R605" s="10"/>
      <c r="S605" s="10"/>
    </row>
    <row r="606" spans="2:19" outlineLevel="1">
      <c r="B606" s="225"/>
      <c r="C606" s="225"/>
      <c r="D606" s="225"/>
      <c r="E606" s="225"/>
      <c r="F606" s="21"/>
      <c r="G606" s="21"/>
      <c r="H606" s="41"/>
      <c r="I606" s="35"/>
      <c r="J606" s="35"/>
      <c r="K606" s="53"/>
      <c r="L606" s="53"/>
      <c r="M606" s="35"/>
      <c r="N606" s="35"/>
      <c r="O606" s="12"/>
      <c r="P606" s="12"/>
      <c r="Q606" s="8"/>
      <c r="R606" s="10"/>
      <c r="S606" s="10"/>
    </row>
    <row r="607" spans="2:19" ht="14" outlineLevel="1">
      <c r="B607" s="225"/>
      <c r="C607" s="225"/>
      <c r="D607" s="225"/>
      <c r="E607" s="225"/>
      <c r="F607" s="9" t="s">
        <v>29</v>
      </c>
      <c r="G607" s="9"/>
      <c r="H607" s="41" t="s">
        <v>194</v>
      </c>
      <c r="I607" s="32" t="s">
        <v>650</v>
      </c>
      <c r="J607" s="8" t="s">
        <v>333</v>
      </c>
      <c r="K607" s="53">
        <v>44069</v>
      </c>
      <c r="L607" s="53">
        <v>44071</v>
      </c>
      <c r="M607" s="35" t="s">
        <v>377</v>
      </c>
      <c r="N607" s="35" t="s">
        <v>351</v>
      </c>
      <c r="O607" s="12" t="s">
        <v>326</v>
      </c>
      <c r="P607" s="12"/>
      <c r="Q607" s="8"/>
      <c r="R607" s="10"/>
      <c r="S607" s="10"/>
    </row>
    <row r="608" spans="2:19" ht="14" outlineLevel="1">
      <c r="B608" s="225"/>
      <c r="C608" s="225"/>
      <c r="D608" s="225"/>
      <c r="E608" s="225"/>
      <c r="F608" s="9"/>
      <c r="G608" s="9"/>
      <c r="H608" s="41" t="s">
        <v>194</v>
      </c>
      <c r="I608" s="32" t="s">
        <v>651</v>
      </c>
      <c r="J608" s="8" t="s">
        <v>332</v>
      </c>
      <c r="K608" s="53" t="s">
        <v>349</v>
      </c>
      <c r="L608" s="53">
        <v>44148</v>
      </c>
      <c r="M608" s="35" t="s">
        <v>648</v>
      </c>
      <c r="N608" s="35" t="s">
        <v>649</v>
      </c>
      <c r="O608" s="12" t="s">
        <v>326</v>
      </c>
      <c r="P608" s="12"/>
      <c r="Q608" s="8"/>
      <c r="R608" s="10"/>
      <c r="S608" s="10"/>
    </row>
    <row r="609" spans="2:19" ht="14" outlineLevel="1">
      <c r="B609" s="225"/>
      <c r="C609" s="225"/>
      <c r="D609" s="225"/>
      <c r="E609" s="225"/>
      <c r="F609" s="9"/>
      <c r="G609" s="9"/>
      <c r="H609" s="41" t="s">
        <v>194</v>
      </c>
      <c r="I609" s="32" t="s">
        <v>916</v>
      </c>
      <c r="J609" s="8" t="s">
        <v>332</v>
      </c>
      <c r="K609" s="53" t="s">
        <v>349</v>
      </c>
      <c r="L609" s="53">
        <v>44209</v>
      </c>
      <c r="M609" s="35" t="s">
        <v>914</v>
      </c>
      <c r="N609" s="35" t="s">
        <v>915</v>
      </c>
      <c r="O609" s="12" t="s">
        <v>326</v>
      </c>
      <c r="P609" s="12"/>
      <c r="Q609" s="8"/>
      <c r="R609" s="10"/>
      <c r="S609" s="10"/>
    </row>
    <row r="610" spans="2:19" ht="14" outlineLevel="1">
      <c r="B610" s="225"/>
      <c r="C610" s="225"/>
      <c r="D610" s="225"/>
      <c r="E610" s="225"/>
      <c r="F610" s="9"/>
      <c r="G610" s="9"/>
      <c r="H610" s="41" t="s">
        <v>194</v>
      </c>
      <c r="I610" s="32" t="s">
        <v>1155</v>
      </c>
      <c r="J610" s="8" t="s">
        <v>332</v>
      </c>
      <c r="K610" s="53" t="s">
        <v>349</v>
      </c>
      <c r="L610" s="53">
        <v>44250</v>
      </c>
      <c r="M610" s="35" t="s">
        <v>1153</v>
      </c>
      <c r="N610" s="35" t="s">
        <v>1154</v>
      </c>
      <c r="O610" s="12" t="s">
        <v>326</v>
      </c>
      <c r="P610" s="12"/>
      <c r="Q610" s="8"/>
      <c r="R610" s="10"/>
      <c r="S610" s="10"/>
    </row>
    <row r="611" spans="2:19" ht="14" outlineLevel="1">
      <c r="B611" s="225"/>
      <c r="C611" s="225"/>
      <c r="D611" s="225"/>
      <c r="E611" s="225"/>
      <c r="F611" s="9"/>
      <c r="G611" s="9"/>
      <c r="H611" s="41" t="s">
        <v>194</v>
      </c>
      <c r="I611" s="35">
        <v>5</v>
      </c>
      <c r="J611" s="8" t="s">
        <v>332</v>
      </c>
      <c r="K611" s="53" t="s">
        <v>349</v>
      </c>
      <c r="L611" s="53">
        <v>44273</v>
      </c>
      <c r="M611" s="35" t="s">
        <v>1259</v>
      </c>
      <c r="N611" s="35" t="s">
        <v>1260</v>
      </c>
      <c r="O611" s="12" t="s">
        <v>326</v>
      </c>
      <c r="P611" s="12"/>
      <c r="Q611" s="8"/>
      <c r="R611" s="10"/>
      <c r="S611" s="10"/>
    </row>
    <row r="612" spans="2:19" ht="14" outlineLevel="1">
      <c r="B612" s="225"/>
      <c r="C612" s="225"/>
      <c r="D612" s="225"/>
      <c r="E612" s="225"/>
      <c r="F612" s="9"/>
      <c r="G612" s="9"/>
      <c r="H612" s="41" t="s">
        <v>194</v>
      </c>
      <c r="I612" s="35">
        <v>6</v>
      </c>
      <c r="J612" s="35" t="s">
        <v>332</v>
      </c>
      <c r="K612" s="53" t="s">
        <v>349</v>
      </c>
      <c r="L612" s="53">
        <v>44291</v>
      </c>
      <c r="M612" s="35" t="s">
        <v>1382</v>
      </c>
      <c r="N612" s="35" t="s">
        <v>1383</v>
      </c>
      <c r="O612" s="12" t="s">
        <v>326</v>
      </c>
      <c r="P612" s="12"/>
      <c r="Q612" s="8"/>
      <c r="R612" s="10"/>
      <c r="S612" s="10"/>
    </row>
    <row r="613" spans="2:19" ht="14" outlineLevel="1">
      <c r="B613" s="225"/>
      <c r="C613" s="225"/>
      <c r="D613" s="225"/>
      <c r="E613" s="225"/>
      <c r="F613" s="9"/>
      <c r="G613" s="9"/>
      <c r="H613" s="41" t="s">
        <v>194</v>
      </c>
      <c r="I613" s="35">
        <v>7</v>
      </c>
      <c r="J613" s="35" t="s">
        <v>332</v>
      </c>
      <c r="K613" s="53" t="s">
        <v>349</v>
      </c>
      <c r="L613" s="53" t="s">
        <v>2343</v>
      </c>
      <c r="M613" s="35" t="s">
        <v>2341</v>
      </c>
      <c r="N613" s="35" t="s">
        <v>2342</v>
      </c>
      <c r="O613" s="12" t="s">
        <v>326</v>
      </c>
      <c r="P613" s="12"/>
      <c r="Q613" s="8"/>
      <c r="R613" s="10"/>
      <c r="S613" s="10"/>
    </row>
    <row r="614" spans="2:19" ht="14" outlineLevel="1">
      <c r="B614" s="225"/>
      <c r="C614" s="225"/>
      <c r="D614" s="225"/>
      <c r="E614" s="225"/>
      <c r="F614" s="9"/>
      <c r="G614" s="9"/>
      <c r="H614" s="41" t="s">
        <v>194</v>
      </c>
      <c r="I614" s="35">
        <v>8</v>
      </c>
      <c r="J614" s="35" t="s">
        <v>332</v>
      </c>
      <c r="K614" s="53" t="s">
        <v>349</v>
      </c>
      <c r="L614" s="53">
        <v>44483</v>
      </c>
      <c r="M614" s="35" t="s">
        <v>2362</v>
      </c>
      <c r="N614" s="35" t="s">
        <v>2363</v>
      </c>
      <c r="O614" s="12" t="s">
        <v>326</v>
      </c>
      <c r="P614" s="12"/>
      <c r="Q614" s="8"/>
      <c r="R614" s="10"/>
      <c r="S614" s="10"/>
    </row>
    <row r="615" spans="2:19" outlineLevel="1">
      <c r="B615" s="225"/>
      <c r="C615" s="225"/>
      <c r="D615" s="225"/>
      <c r="E615" s="225"/>
      <c r="F615" s="9"/>
      <c r="G615" s="9"/>
      <c r="H615" s="41"/>
      <c r="I615" s="32"/>
      <c r="J615" s="8"/>
      <c r="K615" s="53"/>
      <c r="L615" s="53"/>
      <c r="M615" s="35"/>
      <c r="N615" s="35"/>
      <c r="O615" s="12"/>
      <c r="P615" s="12"/>
      <c r="Q615" s="8"/>
      <c r="R615" s="10"/>
      <c r="S615" s="10"/>
    </row>
    <row r="616" spans="2:19" ht="14" outlineLevel="1">
      <c r="B616" s="225"/>
      <c r="C616" s="225"/>
      <c r="D616" s="225"/>
      <c r="E616" s="225"/>
      <c r="F616" s="9" t="s">
        <v>35</v>
      </c>
      <c r="G616" s="9"/>
      <c r="H616" s="41" t="s">
        <v>218</v>
      </c>
      <c r="I616" s="32" t="s">
        <v>650</v>
      </c>
      <c r="J616" s="8" t="s">
        <v>333</v>
      </c>
      <c r="K616" s="53">
        <v>44069</v>
      </c>
      <c r="L616" s="53">
        <v>44071</v>
      </c>
      <c r="M616" s="35" t="s">
        <v>377</v>
      </c>
      <c r="N616" s="35" t="s">
        <v>351</v>
      </c>
      <c r="O616" s="12" t="s">
        <v>326</v>
      </c>
      <c r="P616" s="12"/>
      <c r="Q616" s="8"/>
      <c r="R616" s="10"/>
      <c r="S616" s="10"/>
    </row>
    <row r="617" spans="2:19" ht="14" outlineLevel="1">
      <c r="B617" s="225"/>
      <c r="C617" s="225"/>
      <c r="D617" s="225"/>
      <c r="E617" s="225"/>
      <c r="F617" s="9"/>
      <c r="G617" s="9"/>
      <c r="H617" s="41" t="s">
        <v>218</v>
      </c>
      <c r="I617" s="32" t="s">
        <v>651</v>
      </c>
      <c r="J617" s="8" t="s">
        <v>332</v>
      </c>
      <c r="K617" s="53" t="s">
        <v>349</v>
      </c>
      <c r="L617" s="53">
        <v>44148</v>
      </c>
      <c r="M617" s="35" t="s">
        <v>648</v>
      </c>
      <c r="N617" s="35" t="s">
        <v>649</v>
      </c>
      <c r="O617" s="12" t="s">
        <v>326</v>
      </c>
      <c r="P617" s="12"/>
      <c r="Q617" s="8"/>
      <c r="R617" s="10"/>
      <c r="S617" s="10"/>
    </row>
    <row r="618" spans="2:19" ht="14" outlineLevel="1">
      <c r="B618" s="225"/>
      <c r="C618" s="225"/>
      <c r="D618" s="225"/>
      <c r="E618" s="225"/>
      <c r="F618" s="9"/>
      <c r="G618" s="9"/>
      <c r="H618" s="41" t="s">
        <v>218</v>
      </c>
      <c r="I618" s="32" t="s">
        <v>916</v>
      </c>
      <c r="J618" s="8" t="s">
        <v>332</v>
      </c>
      <c r="K618" s="53" t="s">
        <v>349</v>
      </c>
      <c r="L618" s="53">
        <v>44209</v>
      </c>
      <c r="M618" s="35" t="s">
        <v>914</v>
      </c>
      <c r="N618" s="35" t="s">
        <v>915</v>
      </c>
      <c r="O618" s="12" t="s">
        <v>326</v>
      </c>
      <c r="P618" s="12"/>
      <c r="Q618" s="8"/>
      <c r="R618" s="10"/>
      <c r="S618" s="10"/>
    </row>
    <row r="619" spans="2:19" ht="14" outlineLevel="1">
      <c r="B619" s="225"/>
      <c r="C619" s="225"/>
      <c r="D619" s="225"/>
      <c r="E619" s="225"/>
      <c r="F619" s="9"/>
      <c r="G619" s="9"/>
      <c r="H619" s="41" t="s">
        <v>218</v>
      </c>
      <c r="I619" s="32" t="s">
        <v>1155</v>
      </c>
      <c r="J619" s="8" t="s">
        <v>332</v>
      </c>
      <c r="K619" s="53" t="s">
        <v>349</v>
      </c>
      <c r="L619" s="53">
        <v>44250</v>
      </c>
      <c r="M619" s="35" t="s">
        <v>1153</v>
      </c>
      <c r="N619" s="35" t="s">
        <v>1154</v>
      </c>
      <c r="O619" s="12" t="s">
        <v>326</v>
      </c>
      <c r="P619" s="12"/>
      <c r="Q619" s="8"/>
      <c r="R619" s="10"/>
      <c r="S619" s="10"/>
    </row>
    <row r="620" spans="2:19" ht="14" outlineLevel="1">
      <c r="B620" s="225"/>
      <c r="C620" s="225"/>
      <c r="D620" s="225"/>
      <c r="E620" s="225"/>
      <c r="F620" s="9"/>
      <c r="G620" s="9"/>
      <c r="H620" s="41" t="s">
        <v>218</v>
      </c>
      <c r="I620" s="35">
        <v>5</v>
      </c>
      <c r="J620" s="8" t="s">
        <v>332</v>
      </c>
      <c r="K620" s="53" t="s">
        <v>349</v>
      </c>
      <c r="L620" s="53">
        <v>44273</v>
      </c>
      <c r="M620" s="35" t="s">
        <v>1259</v>
      </c>
      <c r="N620" s="35" t="s">
        <v>1260</v>
      </c>
      <c r="O620" s="12" t="s">
        <v>326</v>
      </c>
      <c r="P620" s="12"/>
      <c r="Q620" s="8"/>
      <c r="R620" s="10"/>
      <c r="S620" s="10"/>
    </row>
    <row r="621" spans="2:19" ht="14" outlineLevel="1">
      <c r="B621" s="225"/>
      <c r="C621" s="225"/>
      <c r="D621" s="225"/>
      <c r="E621" s="225"/>
      <c r="F621" s="9"/>
      <c r="G621" s="9"/>
      <c r="H621" s="41" t="s">
        <v>218</v>
      </c>
      <c r="I621" s="35">
        <v>6</v>
      </c>
      <c r="J621" s="35" t="s">
        <v>332</v>
      </c>
      <c r="K621" s="53" t="s">
        <v>349</v>
      </c>
      <c r="L621" s="53">
        <v>44291</v>
      </c>
      <c r="M621" s="35" t="s">
        <v>1382</v>
      </c>
      <c r="N621" s="35" t="s">
        <v>1383</v>
      </c>
      <c r="O621" s="12" t="s">
        <v>326</v>
      </c>
      <c r="P621" s="12"/>
      <c r="Q621" s="8"/>
      <c r="R621" s="10"/>
      <c r="S621" s="10"/>
    </row>
    <row r="622" spans="2:19" ht="14" outlineLevel="1">
      <c r="B622" s="225"/>
      <c r="C622" s="225"/>
      <c r="D622" s="225"/>
      <c r="E622" s="225"/>
      <c r="F622" s="9"/>
      <c r="G622" s="9"/>
      <c r="H622" s="41" t="s">
        <v>218</v>
      </c>
      <c r="I622" s="35">
        <v>7</v>
      </c>
      <c r="J622" s="35" t="s">
        <v>332</v>
      </c>
      <c r="K622" s="53" t="s">
        <v>349</v>
      </c>
      <c r="L622" s="53" t="s">
        <v>2343</v>
      </c>
      <c r="M622" s="35" t="s">
        <v>2341</v>
      </c>
      <c r="N622" s="35" t="s">
        <v>2342</v>
      </c>
      <c r="O622" s="12" t="s">
        <v>326</v>
      </c>
      <c r="P622" s="12"/>
      <c r="Q622" s="8"/>
      <c r="R622" s="10"/>
      <c r="S622" s="10"/>
    </row>
    <row r="623" spans="2:19" ht="14" outlineLevel="1">
      <c r="B623" s="225"/>
      <c r="C623" s="225"/>
      <c r="D623" s="225"/>
      <c r="E623" s="225"/>
      <c r="F623" s="9"/>
      <c r="G623" s="9"/>
      <c r="H623" s="41" t="s">
        <v>218</v>
      </c>
      <c r="I623" s="35">
        <v>8</v>
      </c>
      <c r="J623" s="35" t="s">
        <v>332</v>
      </c>
      <c r="K623" s="53" t="s">
        <v>349</v>
      </c>
      <c r="L623" s="53">
        <v>44483</v>
      </c>
      <c r="M623" s="35" t="s">
        <v>2362</v>
      </c>
      <c r="N623" s="35" t="s">
        <v>2363</v>
      </c>
      <c r="O623" s="12" t="s">
        <v>326</v>
      </c>
      <c r="P623" s="12"/>
      <c r="Q623" s="8"/>
      <c r="R623" s="10"/>
      <c r="S623" s="10"/>
    </row>
    <row r="624" spans="2:19" outlineLevel="1">
      <c r="B624" s="225"/>
      <c r="C624" s="225"/>
      <c r="D624" s="225"/>
      <c r="E624" s="225"/>
      <c r="F624" s="9"/>
      <c r="G624" s="9"/>
      <c r="H624" s="41"/>
      <c r="I624" s="32"/>
      <c r="J624" s="8"/>
      <c r="K624" s="53"/>
      <c r="L624" s="53"/>
      <c r="M624" s="35"/>
      <c r="N624" s="35"/>
      <c r="O624" s="12"/>
      <c r="P624" s="12"/>
      <c r="Q624" s="8"/>
      <c r="R624" s="10"/>
      <c r="S624" s="10"/>
    </row>
    <row r="625" spans="2:19" ht="14" outlineLevel="1">
      <c r="B625" s="225"/>
      <c r="C625" s="225"/>
      <c r="D625" s="225"/>
      <c r="E625" s="225"/>
      <c r="F625" s="9" t="s">
        <v>36</v>
      </c>
      <c r="G625" s="9"/>
      <c r="H625" s="41" t="s">
        <v>195</v>
      </c>
      <c r="I625" s="32"/>
      <c r="J625" s="8" t="s">
        <v>333</v>
      </c>
      <c r="K625" s="53">
        <v>44069</v>
      </c>
      <c r="L625" s="53">
        <v>44071</v>
      </c>
      <c r="M625" s="35" t="s">
        <v>45</v>
      </c>
      <c r="N625" s="35" t="s">
        <v>351</v>
      </c>
      <c r="O625" s="12" t="s">
        <v>326</v>
      </c>
      <c r="P625" s="12"/>
      <c r="Q625" s="8"/>
      <c r="R625" s="10"/>
      <c r="S625" s="10"/>
    </row>
    <row r="626" spans="2:19" ht="14" outlineLevel="1">
      <c r="B626" s="225"/>
      <c r="C626" s="225"/>
      <c r="D626" s="225"/>
      <c r="E626" s="225"/>
      <c r="F626" s="9" t="s">
        <v>38</v>
      </c>
      <c r="G626" s="9"/>
      <c r="H626" s="41" t="s">
        <v>196</v>
      </c>
      <c r="I626" s="32"/>
      <c r="J626" s="8" t="s">
        <v>333</v>
      </c>
      <c r="K626" s="53">
        <v>44069</v>
      </c>
      <c r="L626" s="53">
        <v>44071</v>
      </c>
      <c r="M626" s="35" t="s">
        <v>45</v>
      </c>
      <c r="N626" s="35" t="s">
        <v>351</v>
      </c>
      <c r="O626" s="12" t="s">
        <v>326</v>
      </c>
      <c r="P626" s="12"/>
      <c r="Q626" s="8"/>
      <c r="R626" s="10"/>
      <c r="S626" s="10"/>
    </row>
    <row r="627" spans="2:19" ht="14" outlineLevel="1">
      <c r="B627" s="225"/>
      <c r="C627" s="225"/>
      <c r="D627" s="225"/>
      <c r="E627" s="225"/>
      <c r="F627" s="9" t="s">
        <v>40</v>
      </c>
      <c r="G627" s="9"/>
      <c r="H627" s="41" t="s">
        <v>197</v>
      </c>
      <c r="I627" s="32"/>
      <c r="J627" s="8" t="s">
        <v>333</v>
      </c>
      <c r="K627" s="53">
        <v>44069</v>
      </c>
      <c r="L627" s="53">
        <v>44071</v>
      </c>
      <c r="M627" s="35" t="s">
        <v>45</v>
      </c>
      <c r="N627" s="35" t="s">
        <v>351</v>
      </c>
      <c r="O627" s="12" t="s">
        <v>326</v>
      </c>
      <c r="P627" s="12"/>
      <c r="Q627" s="8"/>
      <c r="R627" s="10"/>
      <c r="S627" s="10"/>
    </row>
    <row r="628" spans="2:19" ht="14" outlineLevel="1">
      <c r="B628" s="225"/>
      <c r="C628" s="225"/>
      <c r="D628" s="225"/>
      <c r="E628" s="225"/>
      <c r="F628" s="9" t="s">
        <v>108</v>
      </c>
      <c r="G628" s="9"/>
      <c r="H628" s="41" t="s">
        <v>433</v>
      </c>
      <c r="I628" s="32"/>
      <c r="J628" s="8" t="s">
        <v>333</v>
      </c>
      <c r="K628" s="53">
        <v>44069</v>
      </c>
      <c r="L628" s="53">
        <v>44071</v>
      </c>
      <c r="M628" s="35" t="s">
        <v>45</v>
      </c>
      <c r="N628" s="35" t="s">
        <v>351</v>
      </c>
      <c r="O628" s="8" t="s">
        <v>326</v>
      </c>
      <c r="P628" s="8"/>
      <c r="Q628" s="8"/>
      <c r="R628" s="10"/>
      <c r="S628" s="10"/>
    </row>
    <row r="629" spans="2:19" ht="14" outlineLevel="1">
      <c r="B629" s="225"/>
      <c r="C629" s="225"/>
      <c r="D629" s="225"/>
      <c r="E629" s="225"/>
      <c r="F629" s="9" t="s">
        <v>129</v>
      </c>
      <c r="G629" s="9"/>
      <c r="H629" s="41" t="s">
        <v>319</v>
      </c>
      <c r="I629" s="32" t="s">
        <v>3</v>
      </c>
      <c r="J629" s="8" t="s">
        <v>332</v>
      </c>
      <c r="K629" s="8" t="s">
        <v>349</v>
      </c>
      <c r="L629" s="53">
        <v>44180</v>
      </c>
      <c r="M629" s="8" t="s">
        <v>45</v>
      </c>
      <c r="N629" s="8" t="s">
        <v>785</v>
      </c>
      <c r="O629" s="12" t="s">
        <v>326</v>
      </c>
      <c r="P629" s="8"/>
      <c r="Q629" s="8"/>
      <c r="R629" s="10"/>
      <c r="S629" s="10"/>
    </row>
    <row r="630" spans="2:19" ht="14" outlineLevel="1">
      <c r="B630" s="225"/>
      <c r="C630" s="225"/>
      <c r="D630" s="225"/>
      <c r="E630" s="225"/>
      <c r="F630" s="9" t="s">
        <v>134</v>
      </c>
      <c r="G630" s="9"/>
      <c r="H630" s="41" t="s">
        <v>198</v>
      </c>
      <c r="I630" s="32" t="s">
        <v>512</v>
      </c>
      <c r="J630" s="8" t="s">
        <v>332</v>
      </c>
      <c r="K630" s="8" t="s">
        <v>349</v>
      </c>
      <c r="L630" s="53">
        <v>44180</v>
      </c>
      <c r="M630" s="8" t="s">
        <v>45</v>
      </c>
      <c r="N630" s="8" t="s">
        <v>785</v>
      </c>
      <c r="O630" s="8" t="s">
        <v>326</v>
      </c>
      <c r="P630" s="8"/>
      <c r="Q630" s="8"/>
      <c r="R630" s="10"/>
      <c r="S630" s="10"/>
    </row>
    <row r="631" spans="2:19" ht="14" outlineLevel="1">
      <c r="B631" s="225"/>
      <c r="C631" s="225"/>
      <c r="D631" s="225"/>
      <c r="E631" s="225"/>
      <c r="F631" s="9" t="s">
        <v>135</v>
      </c>
      <c r="G631" s="9"/>
      <c r="H631" s="41" t="s">
        <v>199</v>
      </c>
      <c r="I631" s="32" t="s">
        <v>3</v>
      </c>
      <c r="J631" s="8" t="s">
        <v>332</v>
      </c>
      <c r="K631" s="8" t="s">
        <v>349</v>
      </c>
      <c r="L631" s="53">
        <v>44180</v>
      </c>
      <c r="M631" s="8" t="s">
        <v>45</v>
      </c>
      <c r="N631" s="8" t="s">
        <v>785</v>
      </c>
      <c r="O631" s="12" t="s">
        <v>326</v>
      </c>
      <c r="P631" s="12"/>
      <c r="Q631" s="8"/>
      <c r="R631" s="10"/>
      <c r="S631" s="10"/>
    </row>
    <row r="632" spans="2:19" ht="14" outlineLevel="1">
      <c r="B632" s="225"/>
      <c r="C632" s="225"/>
      <c r="D632" s="225"/>
      <c r="E632" s="225"/>
      <c r="F632" s="9"/>
      <c r="G632" s="9"/>
      <c r="H632" s="41" t="s">
        <v>1740</v>
      </c>
      <c r="I632" s="8" t="s">
        <v>349</v>
      </c>
      <c r="J632" s="8" t="s">
        <v>332</v>
      </c>
      <c r="K632" s="8" t="s">
        <v>349</v>
      </c>
      <c r="L632" s="53">
        <v>44180</v>
      </c>
      <c r="M632" s="8" t="s">
        <v>45</v>
      </c>
      <c r="N632" s="8" t="s">
        <v>785</v>
      </c>
      <c r="O632" s="12" t="s">
        <v>326</v>
      </c>
      <c r="P632" s="12"/>
      <c r="Q632" s="8"/>
      <c r="R632" s="10"/>
      <c r="S632" s="10"/>
    </row>
    <row r="633" spans="2:19" ht="14" outlineLevel="1">
      <c r="B633" s="225"/>
      <c r="C633" s="225"/>
      <c r="D633" s="225"/>
      <c r="E633" s="225"/>
      <c r="F633" s="9"/>
      <c r="G633" s="9"/>
      <c r="H633" s="41" t="s">
        <v>1741</v>
      </c>
      <c r="I633" s="8" t="s">
        <v>349</v>
      </c>
      <c r="J633" s="8" t="s">
        <v>332</v>
      </c>
      <c r="K633" s="8" t="s">
        <v>349</v>
      </c>
      <c r="L633" s="53">
        <v>44180</v>
      </c>
      <c r="M633" s="8" t="s">
        <v>45</v>
      </c>
      <c r="N633" s="8" t="s">
        <v>785</v>
      </c>
      <c r="O633" s="12" t="s">
        <v>326</v>
      </c>
      <c r="P633" s="12"/>
      <c r="Q633" s="8"/>
      <c r="R633" s="10"/>
      <c r="S633" s="10"/>
    </row>
    <row r="634" spans="2:19" ht="14" outlineLevel="1">
      <c r="B634" s="225"/>
      <c r="C634" s="225"/>
      <c r="D634" s="225"/>
      <c r="E634" s="225"/>
      <c r="F634" s="9"/>
      <c r="G634" s="9"/>
      <c r="H634" s="41" t="s">
        <v>1742</v>
      </c>
      <c r="I634" s="8" t="s">
        <v>349</v>
      </c>
      <c r="J634" s="8" t="s">
        <v>332</v>
      </c>
      <c r="K634" s="8" t="s">
        <v>349</v>
      </c>
      <c r="L634" s="53">
        <v>44349</v>
      </c>
      <c r="M634" s="8" t="s">
        <v>45</v>
      </c>
      <c r="N634" s="8" t="s">
        <v>1744</v>
      </c>
      <c r="O634" s="12" t="s">
        <v>326</v>
      </c>
      <c r="P634" s="12"/>
      <c r="Q634" s="8"/>
      <c r="R634" s="10"/>
      <c r="S634" s="10"/>
    </row>
    <row r="635" spans="2:19" outlineLevel="1">
      <c r="B635" s="225"/>
      <c r="C635" s="225"/>
      <c r="D635" s="225"/>
      <c r="E635" s="225"/>
      <c r="F635" s="9"/>
      <c r="G635" s="9"/>
      <c r="H635" s="41"/>
      <c r="I635" s="32"/>
      <c r="J635" s="8"/>
      <c r="K635" s="8"/>
      <c r="L635" s="53"/>
      <c r="M635" s="8"/>
      <c r="N635" s="8"/>
      <c r="O635" s="12"/>
      <c r="P635" s="12"/>
      <c r="Q635" s="8"/>
      <c r="R635" s="10"/>
      <c r="S635" s="10"/>
    </row>
    <row r="636" spans="2:19" ht="14" outlineLevel="1">
      <c r="B636" s="225"/>
      <c r="C636" s="225"/>
      <c r="D636" s="225"/>
      <c r="E636" s="225"/>
      <c r="F636" s="9" t="s">
        <v>204</v>
      </c>
      <c r="G636" s="9"/>
      <c r="H636" s="41" t="s">
        <v>200</v>
      </c>
      <c r="I636" s="32"/>
      <c r="J636" s="8" t="s">
        <v>333</v>
      </c>
      <c r="K636" s="53">
        <v>44069</v>
      </c>
      <c r="L636" s="53">
        <v>44071</v>
      </c>
      <c r="M636" s="35" t="s">
        <v>45</v>
      </c>
      <c r="N636" s="35" t="s">
        <v>351</v>
      </c>
      <c r="O636" s="8" t="s">
        <v>326</v>
      </c>
      <c r="P636" s="8"/>
      <c r="Q636" s="8"/>
      <c r="R636" s="10"/>
      <c r="S636" s="10"/>
    </row>
    <row r="637" spans="2:19" ht="14" outlineLevel="1">
      <c r="B637" s="225"/>
      <c r="C637" s="225"/>
      <c r="D637" s="225"/>
      <c r="E637" s="225"/>
      <c r="F637" s="9" t="s">
        <v>205</v>
      </c>
      <c r="G637" s="9"/>
      <c r="H637" s="41" t="s">
        <v>211</v>
      </c>
      <c r="I637" s="32"/>
      <c r="J637" s="8" t="s">
        <v>333</v>
      </c>
      <c r="K637" s="8"/>
      <c r="L637" s="8" t="s">
        <v>45</v>
      </c>
      <c r="M637" s="8"/>
      <c r="N637" s="8"/>
      <c r="O637" s="8"/>
      <c r="P637" s="8"/>
      <c r="Q637" s="8"/>
      <c r="R637" s="10"/>
      <c r="S637" s="10"/>
    </row>
    <row r="638" spans="2:19" ht="14" outlineLevel="1">
      <c r="B638" s="225"/>
      <c r="C638" s="225"/>
      <c r="D638" s="225"/>
      <c r="E638" s="225"/>
      <c r="F638" s="9" t="s">
        <v>206</v>
      </c>
      <c r="G638" s="9"/>
      <c r="H638" s="43" t="s">
        <v>201</v>
      </c>
      <c r="I638" s="32" t="s">
        <v>3</v>
      </c>
      <c r="J638" s="8" t="s">
        <v>332</v>
      </c>
      <c r="K638" s="8" t="s">
        <v>349</v>
      </c>
      <c r="L638" s="53">
        <v>44180</v>
      </c>
      <c r="M638" s="8" t="s">
        <v>45</v>
      </c>
      <c r="N638" s="8" t="s">
        <v>785</v>
      </c>
      <c r="O638" s="8" t="s">
        <v>326</v>
      </c>
      <c r="P638" s="8"/>
      <c r="Q638" s="8"/>
      <c r="R638" s="10"/>
      <c r="S638" s="10"/>
    </row>
    <row r="639" spans="2:19" ht="14" outlineLevel="1">
      <c r="B639" s="225"/>
      <c r="C639" s="225"/>
      <c r="D639" s="225"/>
      <c r="E639" s="225"/>
      <c r="F639" s="9" t="s">
        <v>207</v>
      </c>
      <c r="G639" s="9"/>
      <c r="H639" s="43" t="s">
        <v>202</v>
      </c>
      <c r="I639" s="32" t="s">
        <v>916</v>
      </c>
      <c r="J639" s="8" t="s">
        <v>333</v>
      </c>
      <c r="K639" s="8" t="s">
        <v>349</v>
      </c>
      <c r="L639" s="53">
        <v>44209</v>
      </c>
      <c r="M639" s="35" t="s">
        <v>914</v>
      </c>
      <c r="N639" s="35" t="s">
        <v>915</v>
      </c>
      <c r="O639" s="8" t="s">
        <v>326</v>
      </c>
      <c r="P639" s="8"/>
      <c r="Q639" s="8"/>
      <c r="R639" s="10"/>
      <c r="S639" s="10"/>
    </row>
    <row r="640" spans="2:19" ht="14" outlineLevel="1">
      <c r="B640" s="225"/>
      <c r="C640" s="225"/>
      <c r="D640" s="225"/>
      <c r="E640" s="225"/>
      <c r="F640" s="9"/>
      <c r="G640" s="9"/>
      <c r="H640" s="43" t="s">
        <v>202</v>
      </c>
      <c r="I640" s="32" t="s">
        <v>1155</v>
      </c>
      <c r="J640" s="8" t="s">
        <v>333</v>
      </c>
      <c r="K640" s="8" t="s">
        <v>349</v>
      </c>
      <c r="L640" s="53">
        <v>44250</v>
      </c>
      <c r="M640" s="35" t="s">
        <v>1153</v>
      </c>
      <c r="N640" s="35" t="s">
        <v>1154</v>
      </c>
      <c r="O640" s="8" t="s">
        <v>326</v>
      </c>
      <c r="P640" s="8"/>
      <c r="Q640" s="8"/>
      <c r="R640" s="10"/>
      <c r="S640" s="10"/>
    </row>
    <row r="641" spans="2:19" ht="14" outlineLevel="1">
      <c r="B641" s="225"/>
      <c r="C641" s="225"/>
      <c r="D641" s="225"/>
      <c r="E641" s="225"/>
      <c r="F641" s="9"/>
      <c r="G641" s="9"/>
      <c r="H641" s="43" t="s">
        <v>202</v>
      </c>
      <c r="I641" s="35">
        <v>5</v>
      </c>
      <c r="J641" s="8" t="s">
        <v>332</v>
      </c>
      <c r="K641" s="53" t="s">
        <v>349</v>
      </c>
      <c r="L641" s="53">
        <v>44273</v>
      </c>
      <c r="M641" s="35" t="s">
        <v>1259</v>
      </c>
      <c r="N641" s="35" t="s">
        <v>1260</v>
      </c>
      <c r="O641" s="12" t="s">
        <v>326</v>
      </c>
      <c r="P641" s="8"/>
      <c r="Q641" s="8"/>
      <c r="R641" s="10"/>
      <c r="S641" s="10"/>
    </row>
    <row r="642" spans="2:19" ht="14" outlineLevel="1">
      <c r="B642" s="225"/>
      <c r="C642" s="225"/>
      <c r="D642" s="225"/>
      <c r="E642" s="225"/>
      <c r="F642" s="9"/>
      <c r="G642" s="9"/>
      <c r="H642" s="43" t="s">
        <v>202</v>
      </c>
      <c r="I642" s="35">
        <v>6</v>
      </c>
      <c r="J642" s="35" t="s">
        <v>332</v>
      </c>
      <c r="K642" s="53" t="s">
        <v>349</v>
      </c>
      <c r="L642" s="53">
        <v>44291</v>
      </c>
      <c r="M642" s="35" t="s">
        <v>1382</v>
      </c>
      <c r="N642" s="35" t="s">
        <v>1383</v>
      </c>
      <c r="O642" s="12" t="s">
        <v>326</v>
      </c>
      <c r="P642" s="8"/>
      <c r="Q642" s="8"/>
      <c r="R642" s="10"/>
      <c r="S642" s="10"/>
    </row>
    <row r="643" spans="2:19" ht="14" outlineLevel="1">
      <c r="B643" s="225"/>
      <c r="C643" s="225"/>
      <c r="D643" s="225"/>
      <c r="E643" s="225"/>
      <c r="F643" s="9"/>
      <c r="G643" s="9"/>
      <c r="H643" s="43" t="s">
        <v>202</v>
      </c>
      <c r="I643" s="35">
        <v>7</v>
      </c>
      <c r="J643" s="35" t="s">
        <v>332</v>
      </c>
      <c r="K643" s="53" t="s">
        <v>349</v>
      </c>
      <c r="L643" s="53" t="s">
        <v>2343</v>
      </c>
      <c r="M643" s="35" t="s">
        <v>2341</v>
      </c>
      <c r="N643" s="35" t="s">
        <v>2342</v>
      </c>
      <c r="O643" s="12" t="s">
        <v>326</v>
      </c>
      <c r="P643" s="8"/>
      <c r="Q643" s="8"/>
      <c r="R643" s="10"/>
      <c r="S643" s="10"/>
    </row>
    <row r="644" spans="2:19" ht="14" outlineLevel="1">
      <c r="B644" s="225"/>
      <c r="C644" s="225"/>
      <c r="D644" s="225"/>
      <c r="E644" s="225"/>
      <c r="F644" s="9"/>
      <c r="G644" s="9"/>
      <c r="H644" s="43" t="s">
        <v>202</v>
      </c>
      <c r="I644" s="35">
        <v>8</v>
      </c>
      <c r="J644" s="35" t="s">
        <v>332</v>
      </c>
      <c r="K644" s="53" t="s">
        <v>349</v>
      </c>
      <c r="L644" s="53">
        <v>44483</v>
      </c>
      <c r="M644" s="35" t="s">
        <v>2362</v>
      </c>
      <c r="N644" s="35" t="s">
        <v>2363</v>
      </c>
      <c r="O644" s="12" t="s">
        <v>326</v>
      </c>
      <c r="P644" s="8"/>
      <c r="Q644" s="8"/>
      <c r="R644" s="10"/>
      <c r="S644" s="10"/>
    </row>
    <row r="645" spans="2:19" outlineLevel="1">
      <c r="B645" s="225"/>
      <c r="C645" s="225"/>
      <c r="D645" s="225"/>
      <c r="E645" s="225"/>
      <c r="F645" s="9"/>
      <c r="G645" s="9"/>
      <c r="H645" s="43"/>
      <c r="I645" s="32"/>
      <c r="J645" s="8"/>
      <c r="K645" s="8"/>
      <c r="L645" s="53"/>
      <c r="M645" s="35"/>
      <c r="N645" s="35"/>
      <c r="O645" s="8"/>
      <c r="P645" s="8"/>
      <c r="Q645" s="8"/>
      <c r="R645" s="10"/>
      <c r="S645" s="10"/>
    </row>
    <row r="646" spans="2:19" ht="14" outlineLevel="1">
      <c r="B646" s="225"/>
      <c r="C646" s="225"/>
      <c r="D646" s="225"/>
      <c r="E646" s="225"/>
      <c r="F646" s="9" t="s">
        <v>208</v>
      </c>
      <c r="G646" s="9"/>
      <c r="H646" s="43" t="s">
        <v>203</v>
      </c>
      <c r="I646" s="32"/>
      <c r="J646" s="8"/>
      <c r="K646" s="8"/>
      <c r="L646" s="53"/>
      <c r="M646" s="8"/>
      <c r="N646" s="8"/>
      <c r="O646" s="8"/>
      <c r="P646" s="8"/>
      <c r="Q646" s="8"/>
      <c r="R646" s="10"/>
      <c r="S646" s="10"/>
    </row>
    <row r="647" spans="2:19" ht="14" outlineLevel="1">
      <c r="B647" s="225"/>
      <c r="C647" s="225"/>
      <c r="D647" s="225"/>
      <c r="E647" s="225"/>
      <c r="F647" s="9"/>
      <c r="G647" s="9"/>
      <c r="H647" s="109" t="s">
        <v>2624</v>
      </c>
      <c r="I647" s="32" t="s">
        <v>3</v>
      </c>
      <c r="J647" s="8" t="s">
        <v>332</v>
      </c>
      <c r="K647" s="8" t="s">
        <v>349</v>
      </c>
      <c r="L647" s="53">
        <v>44279</v>
      </c>
      <c r="M647" s="8" t="s">
        <v>1317</v>
      </c>
      <c r="N647" s="8" t="s">
        <v>1318</v>
      </c>
      <c r="O647" s="8" t="s">
        <v>326</v>
      </c>
      <c r="P647" s="8"/>
      <c r="Q647" s="8"/>
      <c r="R647" s="10"/>
      <c r="S647" s="10"/>
    </row>
    <row r="648" spans="2:19" ht="14" outlineLevel="1">
      <c r="B648" s="225"/>
      <c r="C648" s="225"/>
      <c r="D648" s="225"/>
      <c r="E648" s="225"/>
      <c r="F648" s="9"/>
      <c r="G648" s="9"/>
      <c r="H648" s="109" t="s">
        <v>2625</v>
      </c>
      <c r="I648" s="32" t="s">
        <v>3</v>
      </c>
      <c r="J648" s="8" t="s">
        <v>332</v>
      </c>
      <c r="K648" s="8" t="s">
        <v>349</v>
      </c>
      <c r="L648" s="53">
        <v>44483</v>
      </c>
      <c r="M648" s="8" t="s">
        <v>2359</v>
      </c>
      <c r="N648" s="8" t="s">
        <v>2358</v>
      </c>
      <c r="O648" s="8" t="s">
        <v>326</v>
      </c>
      <c r="P648" s="8"/>
      <c r="Q648" s="8"/>
      <c r="R648" s="10"/>
      <c r="S648" s="10"/>
    </row>
    <row r="649" spans="2:19" ht="14" outlineLevel="1">
      <c r="B649" s="225"/>
      <c r="C649" s="225"/>
      <c r="D649" s="225"/>
      <c r="E649" s="225"/>
      <c r="F649" s="9"/>
      <c r="G649" s="9"/>
      <c r="H649" s="109" t="s">
        <v>2626</v>
      </c>
      <c r="I649" s="32" t="s">
        <v>3</v>
      </c>
      <c r="J649" s="8" t="s">
        <v>332</v>
      </c>
      <c r="K649" s="8" t="s">
        <v>349</v>
      </c>
      <c r="L649" s="53">
        <v>44769</v>
      </c>
      <c r="M649" s="8" t="s">
        <v>3127</v>
      </c>
      <c r="N649" s="8" t="s">
        <v>3128</v>
      </c>
      <c r="O649" s="8" t="s">
        <v>326</v>
      </c>
      <c r="P649" s="8"/>
      <c r="Q649" s="8"/>
      <c r="R649" s="10"/>
      <c r="S649" s="10"/>
    </row>
    <row r="650" spans="2:19" ht="14" outlineLevel="1">
      <c r="B650" s="225"/>
      <c r="C650" s="225"/>
      <c r="D650" s="225"/>
      <c r="E650" s="225"/>
      <c r="F650" s="9"/>
      <c r="G650" s="9"/>
      <c r="H650" s="109" t="s">
        <v>2627</v>
      </c>
      <c r="I650" s="32" t="s">
        <v>3</v>
      </c>
      <c r="J650" s="8" t="s">
        <v>332</v>
      </c>
      <c r="K650" s="8" t="s">
        <v>349</v>
      </c>
      <c r="L650" s="53">
        <v>44946</v>
      </c>
      <c r="M650" s="8" t="s">
        <v>3410</v>
      </c>
      <c r="N650" s="8" t="s">
        <v>3413</v>
      </c>
      <c r="O650" s="8" t="s">
        <v>326</v>
      </c>
      <c r="P650" s="8"/>
      <c r="Q650" s="8"/>
      <c r="R650" s="10"/>
      <c r="S650" s="10"/>
    </row>
    <row r="651" spans="2:19" ht="14" outlineLevel="1">
      <c r="B651" s="225"/>
      <c r="C651" s="225"/>
      <c r="D651" s="225"/>
      <c r="E651" s="225"/>
      <c r="F651" s="9"/>
      <c r="G651" s="9"/>
      <c r="H651" s="109" t="s">
        <v>2628</v>
      </c>
      <c r="I651" s="32" t="s">
        <v>3</v>
      </c>
      <c r="J651" s="8" t="s">
        <v>332</v>
      </c>
      <c r="K651" s="8" t="s">
        <v>349</v>
      </c>
      <c r="L651" s="53">
        <v>45051</v>
      </c>
      <c r="M651" s="8" t="s">
        <v>3725</v>
      </c>
      <c r="N651" s="8" t="s">
        <v>3724</v>
      </c>
      <c r="O651" s="8" t="s">
        <v>326</v>
      </c>
      <c r="P651" s="8"/>
      <c r="Q651" s="8"/>
      <c r="R651" s="10"/>
      <c r="S651" s="10"/>
    </row>
    <row r="652" spans="2:19" outlineLevel="1">
      <c r="B652" s="225"/>
      <c r="C652" s="225"/>
      <c r="D652" s="225"/>
      <c r="E652" s="225"/>
      <c r="F652" s="9"/>
      <c r="G652" s="9"/>
      <c r="H652" s="43"/>
      <c r="I652" s="32"/>
      <c r="J652" s="8"/>
      <c r="K652" s="8"/>
      <c r="L652" s="53"/>
      <c r="M652" s="8"/>
      <c r="N652" s="8"/>
      <c r="O652" s="8"/>
      <c r="P652" s="8"/>
      <c r="Q652" s="8"/>
      <c r="R652" s="10"/>
      <c r="S652" s="10"/>
    </row>
    <row r="653" spans="2:19" ht="14" outlineLevel="1">
      <c r="B653" s="225"/>
      <c r="C653" s="225"/>
      <c r="D653" s="225"/>
      <c r="E653" s="225"/>
      <c r="F653" s="9" t="s">
        <v>209</v>
      </c>
      <c r="G653" s="9"/>
      <c r="H653" s="65" t="s">
        <v>1384</v>
      </c>
      <c r="I653" s="32"/>
      <c r="J653" s="8"/>
      <c r="K653" s="8"/>
      <c r="L653" s="53"/>
      <c r="M653" s="8"/>
      <c r="N653" s="8"/>
      <c r="O653" s="8"/>
      <c r="P653" s="8"/>
      <c r="Q653" s="8"/>
      <c r="R653" s="10"/>
      <c r="S653" s="10"/>
    </row>
    <row r="654" spans="2:19" ht="14" outlineLevel="1">
      <c r="B654" s="225"/>
      <c r="C654" s="225"/>
      <c r="D654" s="225"/>
      <c r="E654" s="225"/>
      <c r="F654" s="9"/>
      <c r="G654" s="9"/>
      <c r="H654" s="147" t="s">
        <v>2173</v>
      </c>
      <c r="I654" s="32" t="s">
        <v>349</v>
      </c>
      <c r="J654" s="8" t="s">
        <v>333</v>
      </c>
      <c r="K654" s="8" t="s">
        <v>349</v>
      </c>
      <c r="L654" s="53">
        <v>44291</v>
      </c>
      <c r="M654" s="8" t="s">
        <v>1371</v>
      </c>
      <c r="N654" s="8" t="s">
        <v>1372</v>
      </c>
      <c r="O654" s="8" t="s">
        <v>326</v>
      </c>
      <c r="P654" s="8"/>
      <c r="Q654" s="8"/>
      <c r="R654" s="10"/>
      <c r="S654" s="10"/>
    </row>
    <row r="655" spans="2:19" ht="14" outlineLevel="1">
      <c r="B655" s="225"/>
      <c r="C655" s="225"/>
      <c r="D655" s="225"/>
      <c r="E655" s="225"/>
      <c r="F655" s="9"/>
      <c r="G655" s="9"/>
      <c r="H655" s="147" t="s">
        <v>2618</v>
      </c>
      <c r="I655" s="32" t="s">
        <v>349</v>
      </c>
      <c r="J655" s="8" t="s">
        <v>333</v>
      </c>
      <c r="K655" s="8" t="s">
        <v>349</v>
      </c>
      <c r="L655" s="53">
        <v>44426</v>
      </c>
      <c r="M655" s="8" t="s">
        <v>3728</v>
      </c>
      <c r="N655" s="8" t="s">
        <v>2174</v>
      </c>
      <c r="O655" s="8" t="s">
        <v>326</v>
      </c>
      <c r="P655" s="8"/>
      <c r="Q655" s="8"/>
      <c r="R655" s="10"/>
      <c r="S655" s="10"/>
    </row>
    <row r="656" spans="2:19" ht="14" outlineLevel="1">
      <c r="B656" s="225"/>
      <c r="C656" s="225"/>
      <c r="D656" s="225"/>
      <c r="E656" s="225"/>
      <c r="F656" s="9"/>
      <c r="G656" s="9"/>
      <c r="H656" s="147" t="s">
        <v>2619</v>
      </c>
      <c r="I656" s="32" t="s">
        <v>349</v>
      </c>
      <c r="J656" s="8" t="s">
        <v>333</v>
      </c>
      <c r="K656" s="8" t="s">
        <v>349</v>
      </c>
      <c r="L656" s="53">
        <v>44587</v>
      </c>
      <c r="M656" s="8" t="s">
        <v>3727</v>
      </c>
      <c r="N656" s="8" t="s">
        <v>2640</v>
      </c>
      <c r="O656" s="8" t="s">
        <v>326</v>
      </c>
      <c r="P656" s="8"/>
      <c r="Q656" s="8"/>
      <c r="R656" s="10"/>
      <c r="S656" s="10"/>
    </row>
    <row r="657" spans="2:19" ht="14" outlineLevel="1">
      <c r="B657" s="225"/>
      <c r="C657" s="225"/>
      <c r="D657" s="225"/>
      <c r="E657" s="225"/>
      <c r="F657" s="9"/>
      <c r="G657" s="9"/>
      <c r="H657" s="147" t="s">
        <v>2622</v>
      </c>
      <c r="I657" s="32" t="s">
        <v>349</v>
      </c>
      <c r="J657" s="8" t="s">
        <v>333</v>
      </c>
      <c r="K657" s="8" t="s">
        <v>349</v>
      </c>
      <c r="L657" s="53">
        <v>44769</v>
      </c>
      <c r="M657" s="8" t="s">
        <v>3726</v>
      </c>
      <c r="N657" s="8" t="s">
        <v>3126</v>
      </c>
      <c r="O657" s="8" t="s">
        <v>326</v>
      </c>
      <c r="P657" s="8"/>
      <c r="Q657" s="8"/>
      <c r="R657" s="10"/>
      <c r="S657" s="10"/>
    </row>
    <row r="658" spans="2:19" ht="14" outlineLevel="1">
      <c r="B658" s="225"/>
      <c r="C658" s="225"/>
      <c r="D658" s="225"/>
      <c r="E658" s="225"/>
      <c r="F658" s="9"/>
      <c r="G658" s="9"/>
      <c r="H658" s="147" t="s">
        <v>2623</v>
      </c>
      <c r="I658" s="32" t="s">
        <v>349</v>
      </c>
      <c r="J658" s="8" t="s">
        <v>333</v>
      </c>
      <c r="K658" s="8" t="s">
        <v>349</v>
      </c>
      <c r="L658" s="53">
        <v>44952</v>
      </c>
      <c r="M658" s="8" t="s">
        <v>3443</v>
      </c>
      <c r="N658" s="8" t="s">
        <v>3451</v>
      </c>
      <c r="O658" s="8" t="s">
        <v>326</v>
      </c>
      <c r="P658" s="8"/>
      <c r="Q658" s="8"/>
      <c r="R658" s="10"/>
      <c r="S658" s="10"/>
    </row>
    <row r="659" spans="2:19" ht="14" outlineLevel="1">
      <c r="B659" s="225"/>
      <c r="C659" s="225"/>
      <c r="D659" s="225"/>
      <c r="E659" s="225"/>
      <c r="F659" s="9"/>
      <c r="G659" s="9"/>
      <c r="H659" s="147" t="s">
        <v>3123</v>
      </c>
      <c r="I659" s="32" t="s">
        <v>349</v>
      </c>
      <c r="J659" s="8" t="s">
        <v>333</v>
      </c>
      <c r="K659" s="8" t="s">
        <v>349</v>
      </c>
      <c r="L659" s="53">
        <v>45051</v>
      </c>
      <c r="M659" s="8" t="s">
        <v>3722</v>
      </c>
      <c r="N659" s="8" t="s">
        <v>3724</v>
      </c>
      <c r="O659" s="8" t="s">
        <v>326</v>
      </c>
      <c r="P659" s="8"/>
      <c r="Q659" s="8"/>
      <c r="R659" s="10"/>
      <c r="S659" s="10"/>
    </row>
    <row r="660" spans="2:19" outlineLevel="1">
      <c r="B660" s="225"/>
      <c r="C660" s="225"/>
      <c r="D660" s="225"/>
      <c r="E660" s="225"/>
      <c r="F660" s="9"/>
      <c r="G660" s="9"/>
      <c r="H660" s="147"/>
      <c r="I660" s="32"/>
      <c r="J660" s="8"/>
      <c r="K660" s="8"/>
      <c r="L660" s="53"/>
      <c r="M660" s="8"/>
      <c r="N660" s="8"/>
      <c r="O660" s="8"/>
      <c r="P660" s="8"/>
      <c r="Q660" s="8"/>
      <c r="R660" s="10"/>
      <c r="S660" s="10"/>
    </row>
    <row r="661" spans="2:19" ht="14" outlineLevel="1">
      <c r="B661" s="225"/>
      <c r="C661" s="225"/>
      <c r="D661" s="225"/>
      <c r="E661" s="225"/>
      <c r="F661" s="9" t="s">
        <v>210</v>
      </c>
      <c r="G661" s="9"/>
      <c r="H661" s="70" t="s">
        <v>4114</v>
      </c>
      <c r="I661" s="32"/>
      <c r="J661" s="8"/>
      <c r="K661" s="55"/>
      <c r="L661" s="53"/>
      <c r="M661" s="55"/>
      <c r="N661" s="8"/>
      <c r="O661" s="8"/>
      <c r="P661" s="8"/>
      <c r="Q661" s="8"/>
      <c r="R661" s="10"/>
      <c r="S661" s="10"/>
    </row>
    <row r="662" spans="2:19" ht="14" outlineLevel="1">
      <c r="B662" s="225"/>
      <c r="C662" s="225"/>
      <c r="D662" s="225"/>
      <c r="E662" s="225"/>
      <c r="F662" s="9"/>
      <c r="G662" s="9" t="s">
        <v>177</v>
      </c>
      <c r="H662" s="153" t="s">
        <v>3374</v>
      </c>
      <c r="I662" s="53" t="s">
        <v>349</v>
      </c>
      <c r="J662" s="8" t="s">
        <v>332</v>
      </c>
      <c r="K662" s="53" t="s">
        <v>349</v>
      </c>
      <c r="L662" s="53">
        <v>45237</v>
      </c>
      <c r="M662" s="53" t="s">
        <v>349</v>
      </c>
      <c r="N662" s="8" t="s">
        <v>4121</v>
      </c>
      <c r="O662" s="159" t="s">
        <v>326</v>
      </c>
      <c r="P662" s="8"/>
      <c r="Q662" s="8"/>
      <c r="R662" s="10"/>
      <c r="S662" s="10"/>
    </row>
    <row r="663" spans="2:19" outlineLevel="1">
      <c r="B663" s="225"/>
      <c r="C663" s="225"/>
      <c r="D663" s="225"/>
      <c r="E663" s="225"/>
      <c r="F663" s="9"/>
      <c r="G663" s="9"/>
      <c r="H663" s="147"/>
      <c r="I663" s="32"/>
      <c r="J663" s="8"/>
      <c r="K663" s="8"/>
      <c r="L663" s="53"/>
      <c r="M663" s="8"/>
      <c r="N663" s="8"/>
      <c r="O663" s="8"/>
      <c r="P663" s="8"/>
      <c r="Q663" s="8"/>
      <c r="R663" s="10"/>
      <c r="S663" s="10"/>
    </row>
    <row r="664" spans="2:19" outlineLevel="1">
      <c r="B664" s="225"/>
      <c r="C664" s="225"/>
      <c r="D664" s="225"/>
      <c r="E664" s="225"/>
      <c r="F664" s="9"/>
      <c r="G664" s="9"/>
      <c r="H664" s="147"/>
      <c r="I664" s="32"/>
      <c r="J664" s="8"/>
      <c r="K664" s="8"/>
      <c r="L664" s="53"/>
      <c r="M664" s="8"/>
      <c r="N664" s="8"/>
      <c r="O664" s="8"/>
      <c r="P664" s="8"/>
      <c r="Q664" s="8"/>
      <c r="R664" s="10"/>
      <c r="S664" s="10"/>
    </row>
    <row r="665" spans="2:19" outlineLevel="1">
      <c r="B665" s="225"/>
      <c r="C665" s="225"/>
      <c r="D665" s="226"/>
      <c r="E665" s="226"/>
      <c r="F665" s="9"/>
      <c r="G665" s="9"/>
      <c r="H665" s="43"/>
      <c r="I665" s="32"/>
      <c r="J665" s="8"/>
      <c r="K665" s="8"/>
      <c r="L665" s="53"/>
      <c r="M665" s="8"/>
      <c r="N665" s="8"/>
      <c r="O665" s="8"/>
      <c r="P665" s="8"/>
      <c r="Q665" s="8"/>
      <c r="R665" s="10"/>
      <c r="S665" s="10"/>
    </row>
    <row r="666" spans="2:19" ht="28" outlineLevel="1">
      <c r="B666" s="225"/>
      <c r="C666" s="225"/>
      <c r="D666" s="9" t="s">
        <v>52</v>
      </c>
      <c r="E666" s="227" t="s">
        <v>143</v>
      </c>
      <c r="F666" s="228"/>
      <c r="G666" s="228"/>
      <c r="H666" s="229"/>
      <c r="I666" s="32"/>
      <c r="J666" s="8"/>
      <c r="K666" s="8"/>
      <c r="L666" s="8"/>
      <c r="M666" s="8"/>
      <c r="N666" s="8"/>
      <c r="O666" s="8"/>
      <c r="P666" s="8"/>
      <c r="Q666" s="8"/>
      <c r="R666" s="10"/>
      <c r="S666" s="10"/>
    </row>
    <row r="667" spans="2:19" ht="14" outlineLevel="1">
      <c r="B667" s="225"/>
      <c r="C667" s="225"/>
      <c r="D667" s="81"/>
      <c r="E667" s="81"/>
      <c r="F667" s="9" t="s">
        <v>27</v>
      </c>
      <c r="G667" s="9"/>
      <c r="H667" s="41" t="s">
        <v>219</v>
      </c>
      <c r="I667" s="8" t="s">
        <v>349</v>
      </c>
      <c r="J667" s="8" t="s">
        <v>332</v>
      </c>
      <c r="K667" s="8" t="s">
        <v>349</v>
      </c>
      <c r="L667" s="53">
        <v>44180</v>
      </c>
      <c r="M667" s="8" t="s">
        <v>45</v>
      </c>
      <c r="N667" s="8" t="s">
        <v>785</v>
      </c>
      <c r="O667" s="12" t="s">
        <v>326</v>
      </c>
      <c r="P667" s="8"/>
      <c r="Q667" s="8"/>
      <c r="R667" s="10"/>
      <c r="S667" s="10"/>
    </row>
    <row r="668" spans="2:19" ht="28" outlineLevel="1">
      <c r="B668" s="225"/>
      <c r="C668" s="225"/>
      <c r="D668" s="9" t="s">
        <v>42</v>
      </c>
      <c r="E668" s="227" t="s">
        <v>144</v>
      </c>
      <c r="F668" s="228"/>
      <c r="G668" s="228"/>
      <c r="H668" s="229"/>
      <c r="I668" s="32"/>
      <c r="J668" s="8"/>
      <c r="K668" s="8"/>
      <c r="L668" s="8"/>
      <c r="M668" s="8"/>
      <c r="N668" s="8"/>
      <c r="O668" s="8"/>
      <c r="P668" s="8"/>
      <c r="Q668" s="8"/>
      <c r="R668" s="10"/>
      <c r="S668" s="10"/>
    </row>
    <row r="669" spans="2:19" ht="14" outlineLevel="1">
      <c r="B669" s="225"/>
      <c r="C669" s="225"/>
      <c r="D669" s="224"/>
      <c r="E669" s="232"/>
      <c r="F669" s="9" t="s">
        <v>27</v>
      </c>
      <c r="G669" s="9"/>
      <c r="H669" s="4" t="s">
        <v>1787</v>
      </c>
      <c r="I669" s="62" t="s">
        <v>758</v>
      </c>
      <c r="J669" s="65" t="s">
        <v>332</v>
      </c>
      <c r="K669" s="55">
        <v>44071</v>
      </c>
      <c r="L669" s="55">
        <v>44176</v>
      </c>
      <c r="M669" s="12" t="s">
        <v>687</v>
      </c>
      <c r="N669" s="62" t="s">
        <v>757</v>
      </c>
      <c r="O669" s="53" t="s">
        <v>349</v>
      </c>
      <c r="P669" s="8"/>
      <c r="Q669" s="8"/>
      <c r="R669" s="10"/>
      <c r="S669" s="10" t="s">
        <v>1784</v>
      </c>
    </row>
    <row r="670" spans="2:19" ht="14" outlineLevel="1">
      <c r="B670" s="225"/>
      <c r="C670" s="225"/>
      <c r="D670" s="225"/>
      <c r="E670" s="232"/>
      <c r="F670" s="9" t="s">
        <v>29</v>
      </c>
      <c r="G670" s="9"/>
      <c r="H670" s="7" t="s">
        <v>1785</v>
      </c>
      <c r="I670" s="32"/>
      <c r="J670" s="8" t="s">
        <v>333</v>
      </c>
      <c r="K670" s="53">
        <v>44104</v>
      </c>
      <c r="L670" s="8"/>
      <c r="M670" s="8"/>
      <c r="N670" s="8"/>
      <c r="O670" s="8"/>
      <c r="P670" s="8"/>
      <c r="Q670" s="8"/>
      <c r="R670" s="10"/>
      <c r="S670" s="10"/>
    </row>
    <row r="671" spans="2:19" ht="14" outlineLevel="1">
      <c r="B671" s="225"/>
      <c r="C671" s="225"/>
      <c r="D671" s="225"/>
      <c r="E671" s="232"/>
      <c r="F671" s="9" t="s">
        <v>35</v>
      </c>
      <c r="G671" s="9"/>
      <c r="H671" s="7" t="s">
        <v>1786</v>
      </c>
      <c r="I671" s="32"/>
      <c r="J671" s="8" t="s">
        <v>333</v>
      </c>
      <c r="K671" s="53"/>
      <c r="L671" s="8"/>
      <c r="M671" s="8"/>
      <c r="N671" s="8"/>
      <c r="O671" s="8"/>
      <c r="P671" s="8"/>
      <c r="Q671" s="8"/>
      <c r="R671" s="10"/>
      <c r="S671" s="10"/>
    </row>
    <row r="672" spans="2:19" ht="14" outlineLevel="1">
      <c r="B672" s="225"/>
      <c r="C672" s="225"/>
      <c r="D672" s="225"/>
      <c r="E672" s="232"/>
      <c r="F672" s="9" t="s">
        <v>36</v>
      </c>
      <c r="G672" s="9"/>
      <c r="H672" s="7" t="s">
        <v>199</v>
      </c>
      <c r="I672" s="32" t="s">
        <v>349</v>
      </c>
      <c r="J672" s="8" t="s">
        <v>333</v>
      </c>
      <c r="K672" s="8" t="s">
        <v>349</v>
      </c>
      <c r="L672" s="53">
        <v>44369</v>
      </c>
      <c r="M672" s="8" t="s">
        <v>349</v>
      </c>
      <c r="N672" s="8" t="s">
        <v>1783</v>
      </c>
      <c r="O672" s="8" t="s">
        <v>326</v>
      </c>
      <c r="P672" s="8"/>
      <c r="Q672" s="8"/>
      <c r="R672" s="10"/>
      <c r="S672" s="10"/>
    </row>
    <row r="673" spans="2:19" ht="14" outlineLevel="1">
      <c r="B673" s="225"/>
      <c r="C673" s="225"/>
      <c r="D673" s="225"/>
      <c r="E673" s="232"/>
      <c r="F673" s="9"/>
      <c r="G673" s="9"/>
      <c r="H673" s="7" t="s">
        <v>199</v>
      </c>
      <c r="I673" s="32" t="s">
        <v>349</v>
      </c>
      <c r="J673" s="8" t="s">
        <v>333</v>
      </c>
      <c r="K673" s="8" t="s">
        <v>349</v>
      </c>
      <c r="L673" s="53">
        <v>44567</v>
      </c>
      <c r="M673" s="8" t="s">
        <v>2608</v>
      </c>
      <c r="N673" s="8" t="s">
        <v>2609</v>
      </c>
      <c r="O673" s="8" t="s">
        <v>326</v>
      </c>
      <c r="P673" s="8"/>
      <c r="Q673" s="8"/>
      <c r="R673" s="10"/>
      <c r="S673" s="10"/>
    </row>
    <row r="674" spans="2:19" ht="14" outlineLevel="1">
      <c r="B674" s="225"/>
      <c r="C674" s="225"/>
      <c r="D674" s="225"/>
      <c r="E674" s="232"/>
      <c r="F674" s="9" t="s">
        <v>38</v>
      </c>
      <c r="G674" s="9"/>
      <c r="H674" s="7" t="s">
        <v>3809</v>
      </c>
      <c r="I674" s="32" t="s">
        <v>349</v>
      </c>
      <c r="J674" s="8" t="s">
        <v>333</v>
      </c>
      <c r="K674" s="32" t="s">
        <v>349</v>
      </c>
      <c r="L674" s="53">
        <v>44369</v>
      </c>
      <c r="M674" s="8" t="s">
        <v>349</v>
      </c>
      <c r="N674" s="8" t="s">
        <v>1783</v>
      </c>
      <c r="O674" s="8" t="s">
        <v>326</v>
      </c>
      <c r="P674" s="8"/>
      <c r="Q674" s="8"/>
      <c r="R674" s="10"/>
      <c r="S674" s="10"/>
    </row>
    <row r="675" spans="2:19" ht="14" outlineLevel="1">
      <c r="B675" s="225"/>
      <c r="C675" s="225"/>
      <c r="D675" s="225"/>
      <c r="E675" s="232"/>
      <c r="F675" s="9"/>
      <c r="G675" s="9"/>
      <c r="H675" s="7" t="s">
        <v>3809</v>
      </c>
      <c r="I675" s="32" t="s">
        <v>349</v>
      </c>
      <c r="J675" s="8" t="s">
        <v>333</v>
      </c>
      <c r="K675" s="32" t="s">
        <v>349</v>
      </c>
      <c r="L675" s="53">
        <v>45091</v>
      </c>
      <c r="M675" s="8" t="s">
        <v>349</v>
      </c>
      <c r="N675" s="8" t="s">
        <v>3810</v>
      </c>
      <c r="O675" s="8" t="s">
        <v>326</v>
      </c>
      <c r="P675" s="8"/>
      <c r="Q675" s="8"/>
      <c r="R675" s="10"/>
      <c r="S675" s="10"/>
    </row>
    <row r="676" spans="2:19" ht="14" outlineLevel="1">
      <c r="B676" s="225"/>
      <c r="C676" s="225"/>
      <c r="D676" s="225"/>
      <c r="E676" s="232"/>
      <c r="F676" s="9" t="s">
        <v>40</v>
      </c>
      <c r="G676" s="9"/>
      <c r="H676" s="7" t="s">
        <v>222</v>
      </c>
      <c r="I676" s="32" t="s">
        <v>758</v>
      </c>
      <c r="J676" s="8" t="s">
        <v>333</v>
      </c>
      <c r="K676" s="8" t="s">
        <v>349</v>
      </c>
      <c r="L676" s="53">
        <v>44369</v>
      </c>
      <c r="M676" s="8" t="s">
        <v>1782</v>
      </c>
      <c r="N676" s="8" t="s">
        <v>1783</v>
      </c>
      <c r="O676" s="8" t="s">
        <v>326</v>
      </c>
      <c r="P676" s="8"/>
      <c r="Q676" s="8"/>
      <c r="R676" s="10"/>
      <c r="S676" s="10"/>
    </row>
    <row r="677" spans="2:19" ht="14" outlineLevel="1">
      <c r="B677" s="225"/>
      <c r="C677" s="225"/>
      <c r="D677" s="225"/>
      <c r="E677" s="232"/>
      <c r="F677" s="9"/>
      <c r="G677" s="9"/>
      <c r="H677" s="7"/>
      <c r="I677" s="32" t="s">
        <v>1164</v>
      </c>
      <c r="J677" s="8" t="s">
        <v>333</v>
      </c>
      <c r="K677" s="8" t="s">
        <v>349</v>
      </c>
      <c r="L677" s="53">
        <v>44515</v>
      </c>
      <c r="M677" s="8" t="s">
        <v>1782</v>
      </c>
      <c r="N677" s="8" t="s">
        <v>2443</v>
      </c>
      <c r="O677" s="8" t="s">
        <v>326</v>
      </c>
      <c r="P677" s="8"/>
      <c r="Q677" s="8"/>
      <c r="R677" s="10"/>
      <c r="S677" s="10"/>
    </row>
    <row r="678" spans="2:19" outlineLevel="1">
      <c r="B678" s="225"/>
      <c r="C678" s="225"/>
      <c r="D678" s="225"/>
      <c r="E678" s="232"/>
      <c r="F678" s="9"/>
      <c r="G678" s="9"/>
      <c r="H678" s="7"/>
      <c r="I678" s="32"/>
      <c r="J678" s="8"/>
      <c r="K678" s="8"/>
      <c r="L678" s="53"/>
      <c r="M678" s="8"/>
      <c r="N678" s="8"/>
      <c r="O678" s="8"/>
      <c r="P678" s="8"/>
      <c r="Q678" s="8"/>
      <c r="R678" s="10"/>
      <c r="S678" s="10"/>
    </row>
    <row r="679" spans="2:19" ht="14" outlineLevel="1">
      <c r="B679" s="225"/>
      <c r="C679" s="225"/>
      <c r="D679" s="225"/>
      <c r="E679" s="232"/>
      <c r="F679" s="9" t="s">
        <v>108</v>
      </c>
      <c r="G679" s="9"/>
      <c r="H679" s="7" t="s">
        <v>202</v>
      </c>
      <c r="I679" s="32"/>
      <c r="J679" s="8"/>
      <c r="K679" s="53"/>
      <c r="L679" s="53"/>
      <c r="M679" s="8"/>
      <c r="N679" s="8"/>
      <c r="O679" s="8"/>
      <c r="P679" s="8"/>
      <c r="Q679" s="8"/>
      <c r="R679" s="10"/>
      <c r="S679" s="10" t="s">
        <v>329</v>
      </c>
    </row>
    <row r="680" spans="2:19" ht="14" outlineLevel="1">
      <c r="B680" s="225"/>
      <c r="C680" s="225"/>
      <c r="D680" s="225"/>
      <c r="E680" s="232"/>
      <c r="F680" s="9"/>
      <c r="G680" s="9" t="s">
        <v>177</v>
      </c>
      <c r="H680" s="103" t="s">
        <v>1813</v>
      </c>
      <c r="I680" s="32" t="s">
        <v>758</v>
      </c>
      <c r="J680" s="8" t="s">
        <v>333</v>
      </c>
      <c r="K680" s="53">
        <v>44204</v>
      </c>
      <c r="L680" s="53">
        <v>44371</v>
      </c>
      <c r="M680" s="8" t="s">
        <v>349</v>
      </c>
      <c r="N680" s="8" t="s">
        <v>1812</v>
      </c>
      <c r="O680" s="8" t="s">
        <v>326</v>
      </c>
      <c r="P680" s="8"/>
      <c r="Q680" s="8"/>
      <c r="R680" s="10"/>
      <c r="S680" s="10"/>
    </row>
    <row r="681" spans="2:19" ht="14" outlineLevel="1">
      <c r="B681" s="225"/>
      <c r="C681" s="225"/>
      <c r="D681" s="225"/>
      <c r="E681" s="232"/>
      <c r="F681" s="9"/>
      <c r="G681" s="9"/>
      <c r="H681" s="103"/>
      <c r="I681" s="32" t="s">
        <v>1164</v>
      </c>
      <c r="J681" s="8" t="s">
        <v>333</v>
      </c>
      <c r="K681" s="8" t="s">
        <v>349</v>
      </c>
      <c r="L681" s="53">
        <v>44390</v>
      </c>
      <c r="M681" s="8" t="s">
        <v>349</v>
      </c>
      <c r="N681" s="8" t="s">
        <v>1964</v>
      </c>
      <c r="O681" s="8" t="s">
        <v>326</v>
      </c>
      <c r="P681" s="8"/>
      <c r="Q681" s="8"/>
      <c r="R681" s="10"/>
      <c r="S681" s="10"/>
    </row>
    <row r="682" spans="2:19" ht="14" outlineLevel="1">
      <c r="B682" s="225"/>
      <c r="C682" s="225"/>
      <c r="D682" s="225"/>
      <c r="E682" s="232"/>
      <c r="F682" s="9"/>
      <c r="G682" s="9" t="s">
        <v>181</v>
      </c>
      <c r="H682" s="103" t="s">
        <v>1814</v>
      </c>
      <c r="I682" s="32" t="s">
        <v>758</v>
      </c>
      <c r="J682" s="8" t="s">
        <v>333</v>
      </c>
      <c r="K682" s="53">
        <v>44204</v>
      </c>
      <c r="L682" s="53">
        <v>44371</v>
      </c>
      <c r="M682" s="8" t="s">
        <v>349</v>
      </c>
      <c r="N682" s="8" t="s">
        <v>1812</v>
      </c>
      <c r="O682" s="8" t="s">
        <v>326</v>
      </c>
      <c r="P682" s="8"/>
      <c r="Q682" s="8"/>
      <c r="R682" s="10"/>
      <c r="S682" s="10"/>
    </row>
    <row r="683" spans="2:19" ht="14" outlineLevel="1">
      <c r="B683" s="225"/>
      <c r="C683" s="225"/>
      <c r="D683" s="225"/>
      <c r="E683" s="232"/>
      <c r="F683" s="9"/>
      <c r="G683" s="9"/>
      <c r="H683" s="103"/>
      <c r="I683" s="32" t="s">
        <v>1164</v>
      </c>
      <c r="J683" s="8" t="s">
        <v>333</v>
      </c>
      <c r="K683" s="8" t="s">
        <v>349</v>
      </c>
      <c r="L683" s="53">
        <v>44390</v>
      </c>
      <c r="M683" s="8" t="s">
        <v>349</v>
      </c>
      <c r="N683" s="8" t="s">
        <v>1964</v>
      </c>
      <c r="O683" s="8" t="s">
        <v>326</v>
      </c>
      <c r="P683" s="8"/>
      <c r="Q683" s="8"/>
      <c r="R683" s="10"/>
      <c r="S683" s="10"/>
    </row>
    <row r="684" spans="2:19" ht="14" outlineLevel="1">
      <c r="B684" s="225"/>
      <c r="C684" s="225"/>
      <c r="D684" s="225"/>
      <c r="E684" s="232"/>
      <c r="F684" s="9"/>
      <c r="G684" s="9" t="s">
        <v>183</v>
      </c>
      <c r="H684" s="103" t="s">
        <v>1963</v>
      </c>
      <c r="I684" s="32" t="s">
        <v>758</v>
      </c>
      <c r="J684" s="8" t="s">
        <v>333</v>
      </c>
      <c r="K684" s="8" t="s">
        <v>349</v>
      </c>
      <c r="L684" s="53">
        <v>44390</v>
      </c>
      <c r="M684" s="8" t="s">
        <v>349</v>
      </c>
      <c r="N684" s="8" t="s">
        <v>1964</v>
      </c>
      <c r="O684" s="8" t="s">
        <v>326</v>
      </c>
      <c r="P684" s="8"/>
      <c r="Q684" s="8"/>
      <c r="R684" s="10"/>
      <c r="S684" s="10"/>
    </row>
    <row r="685" spans="2:19" outlineLevel="1">
      <c r="B685" s="225"/>
      <c r="C685" s="225"/>
      <c r="D685" s="225"/>
      <c r="E685" s="232"/>
      <c r="F685" s="9"/>
      <c r="G685" s="9"/>
      <c r="H685" s="103"/>
      <c r="I685" s="32"/>
      <c r="J685" s="8"/>
      <c r="K685" s="53"/>
      <c r="L685" s="53"/>
      <c r="M685" s="8"/>
      <c r="N685" s="8"/>
      <c r="O685" s="8"/>
      <c r="P685" s="8"/>
      <c r="Q685" s="8"/>
      <c r="R685" s="10"/>
      <c r="S685" s="10"/>
    </row>
    <row r="686" spans="2:19" ht="14" outlineLevel="1">
      <c r="B686" s="225"/>
      <c r="C686" s="225"/>
      <c r="D686" s="225"/>
      <c r="E686" s="232"/>
      <c r="F686" s="9" t="s">
        <v>129</v>
      </c>
      <c r="G686" s="9"/>
      <c r="H686" s="7" t="s">
        <v>203</v>
      </c>
      <c r="I686" s="32"/>
      <c r="J686" s="8"/>
      <c r="K686" s="32"/>
      <c r="L686" s="53"/>
      <c r="M686" s="8"/>
      <c r="N686" s="8"/>
      <c r="O686" s="8"/>
      <c r="P686" s="8"/>
      <c r="Q686" s="8"/>
      <c r="R686" s="10"/>
      <c r="S686" s="10"/>
    </row>
    <row r="687" spans="2:19" ht="14" outlineLevel="1">
      <c r="B687" s="225"/>
      <c r="C687" s="225"/>
      <c r="D687" s="225"/>
      <c r="E687" s="232"/>
      <c r="F687" s="9"/>
      <c r="G687" s="9"/>
      <c r="H687" s="109" t="s">
        <v>2624</v>
      </c>
      <c r="I687" s="32" t="s">
        <v>349</v>
      </c>
      <c r="J687" s="8" t="s">
        <v>332</v>
      </c>
      <c r="K687" s="32" t="s">
        <v>349</v>
      </c>
      <c r="L687" s="53">
        <v>44405</v>
      </c>
      <c r="M687" s="8" t="s">
        <v>349</v>
      </c>
      <c r="N687" s="8" t="s">
        <v>2068</v>
      </c>
      <c r="O687" s="8" t="s">
        <v>326</v>
      </c>
      <c r="P687" s="8"/>
      <c r="Q687" s="8"/>
      <c r="R687" s="10"/>
      <c r="S687" s="10"/>
    </row>
    <row r="688" spans="2:19" ht="14" outlineLevel="1">
      <c r="B688" s="225"/>
      <c r="C688" s="225"/>
      <c r="D688" s="225"/>
      <c r="E688" s="232"/>
      <c r="F688" s="9"/>
      <c r="G688" s="9"/>
      <c r="H688" s="109" t="s">
        <v>2625</v>
      </c>
      <c r="I688" s="32" t="s">
        <v>349</v>
      </c>
      <c r="J688" s="8" t="s">
        <v>332</v>
      </c>
      <c r="K688" s="32" t="s">
        <v>349</v>
      </c>
      <c r="L688" s="53">
        <v>44568</v>
      </c>
      <c r="M688" s="8" t="s">
        <v>50</v>
      </c>
      <c r="N688" s="8" t="s">
        <v>2610</v>
      </c>
      <c r="O688" s="8" t="s">
        <v>326</v>
      </c>
      <c r="P688" s="8"/>
      <c r="Q688" s="8"/>
      <c r="R688" s="10"/>
      <c r="S688" s="10"/>
    </row>
    <row r="689" spans="2:19" ht="14" outlineLevel="1">
      <c r="B689" s="225"/>
      <c r="C689" s="225"/>
      <c r="D689" s="225"/>
      <c r="E689" s="232"/>
      <c r="F689" s="9"/>
      <c r="G689" s="9"/>
      <c r="H689" s="109" t="s">
        <v>2626</v>
      </c>
      <c r="I689" s="32" t="s">
        <v>349</v>
      </c>
      <c r="J689" s="8" t="s">
        <v>332</v>
      </c>
      <c r="K689" s="32" t="s">
        <v>349</v>
      </c>
      <c r="L689" s="53">
        <v>44946</v>
      </c>
      <c r="M689" s="8" t="s">
        <v>50</v>
      </c>
      <c r="N689" s="8" t="s">
        <v>3394</v>
      </c>
      <c r="O689" s="8" t="s">
        <v>326</v>
      </c>
      <c r="P689" s="8"/>
      <c r="Q689" s="8"/>
      <c r="R689" s="10"/>
      <c r="S689" s="10"/>
    </row>
    <row r="690" spans="2:19" ht="14" outlineLevel="1">
      <c r="B690" s="225"/>
      <c r="C690" s="225"/>
      <c r="D690" s="225"/>
      <c r="E690" s="232"/>
      <c r="F690" s="9"/>
      <c r="G690" s="9"/>
      <c r="H690" s="109" t="s">
        <v>2627</v>
      </c>
      <c r="I690" s="32" t="s">
        <v>349</v>
      </c>
      <c r="J690" s="8" t="s">
        <v>332</v>
      </c>
      <c r="K690" s="32" t="s">
        <v>349</v>
      </c>
      <c r="L690" s="53">
        <v>44999</v>
      </c>
      <c r="M690" s="8" t="s">
        <v>50</v>
      </c>
      <c r="N690" s="8" t="s">
        <v>3608</v>
      </c>
      <c r="O690" s="8" t="s">
        <v>326</v>
      </c>
      <c r="P690" s="8"/>
      <c r="Q690" s="8"/>
      <c r="R690" s="10"/>
      <c r="S690" s="10"/>
    </row>
    <row r="691" spans="2:19" ht="14" outlineLevel="1">
      <c r="B691" s="225"/>
      <c r="C691" s="225"/>
      <c r="D691" s="225"/>
      <c r="E691" s="232"/>
      <c r="F691" s="9"/>
      <c r="G691" s="9"/>
      <c r="H691" s="109" t="s">
        <v>2628</v>
      </c>
      <c r="I691" s="32" t="s">
        <v>349</v>
      </c>
      <c r="J691" s="8" t="s">
        <v>332</v>
      </c>
      <c r="K691" s="32" t="s">
        <v>349</v>
      </c>
      <c r="L691" s="53">
        <v>45281</v>
      </c>
      <c r="M691" s="8" t="s">
        <v>50</v>
      </c>
      <c r="N691" s="8" t="s">
        <v>4186</v>
      </c>
      <c r="O691" s="8" t="s">
        <v>326</v>
      </c>
      <c r="P691" s="8"/>
      <c r="Q691" s="8"/>
      <c r="R691" s="10"/>
      <c r="S691" s="10"/>
    </row>
    <row r="692" spans="2:19" outlineLevel="1">
      <c r="B692" s="225"/>
      <c r="C692" s="225"/>
      <c r="D692" s="225"/>
      <c r="E692" s="232"/>
      <c r="F692" s="9"/>
      <c r="G692" s="9"/>
      <c r="H692" s="7"/>
      <c r="I692" s="32"/>
      <c r="J692" s="8"/>
      <c r="K692" s="32"/>
      <c r="L692" s="53"/>
      <c r="M692" s="8"/>
      <c r="N692" s="8"/>
      <c r="O692" s="8"/>
      <c r="P692" s="8"/>
      <c r="Q692" s="8"/>
      <c r="R692" s="10"/>
      <c r="S692" s="10"/>
    </row>
    <row r="693" spans="2:19" ht="14" outlineLevel="1">
      <c r="B693" s="225"/>
      <c r="C693" s="225"/>
      <c r="D693" s="225"/>
      <c r="E693" s="232"/>
      <c r="F693" s="9" t="s">
        <v>134</v>
      </c>
      <c r="G693" s="9"/>
      <c r="H693" s="7" t="s">
        <v>211</v>
      </c>
      <c r="I693" s="32"/>
      <c r="J693" s="8" t="s">
        <v>333</v>
      </c>
      <c r="K693" s="8"/>
      <c r="L693" s="8"/>
      <c r="M693" s="8"/>
      <c r="N693" s="8"/>
      <c r="O693" s="8"/>
      <c r="P693" s="8"/>
      <c r="Q693" s="8"/>
      <c r="R693" s="10"/>
      <c r="S693" s="10"/>
    </row>
    <row r="694" spans="2:19" ht="14" outlineLevel="1">
      <c r="B694" s="225"/>
      <c r="C694" s="225"/>
      <c r="D694" s="225"/>
      <c r="E694" s="232"/>
      <c r="F694" s="9" t="s">
        <v>135</v>
      </c>
      <c r="G694" s="9"/>
      <c r="H694" s="65" t="s">
        <v>1384</v>
      </c>
      <c r="I694" s="32"/>
      <c r="J694" s="8"/>
      <c r="K694" s="55"/>
      <c r="L694" s="68"/>
      <c r="M694" s="8"/>
      <c r="N694" s="8"/>
      <c r="O694" s="8"/>
      <c r="P694" s="8"/>
      <c r="Q694" s="8"/>
      <c r="R694" s="10"/>
      <c r="S694" s="10"/>
    </row>
    <row r="695" spans="2:19" ht="14" outlineLevel="1">
      <c r="B695" s="225"/>
      <c r="C695" s="225"/>
      <c r="D695" s="225"/>
      <c r="E695" s="232"/>
      <c r="F695" s="9"/>
      <c r="G695" s="9"/>
      <c r="H695" s="147" t="s">
        <v>2173</v>
      </c>
      <c r="I695" s="32" t="s">
        <v>349</v>
      </c>
      <c r="J695" s="8" t="s">
        <v>333</v>
      </c>
      <c r="K695" s="55" t="s">
        <v>349</v>
      </c>
      <c r="L695" s="53">
        <v>44369</v>
      </c>
      <c r="M695" s="8" t="s">
        <v>1805</v>
      </c>
      <c r="N695" s="8" t="s">
        <v>1806</v>
      </c>
      <c r="O695" s="8" t="s">
        <v>326</v>
      </c>
      <c r="P695" s="8"/>
      <c r="Q695" s="8"/>
      <c r="R695" s="10"/>
      <c r="S695" s="10"/>
    </row>
    <row r="696" spans="2:19" ht="14" outlineLevel="1">
      <c r="B696" s="225"/>
      <c r="C696" s="225"/>
      <c r="D696" s="225"/>
      <c r="E696" s="232"/>
      <c r="F696" s="9"/>
      <c r="G696" s="9"/>
      <c r="H696" s="147" t="s">
        <v>3124</v>
      </c>
      <c r="I696" s="32" t="s">
        <v>349</v>
      </c>
      <c r="J696" s="8" t="s">
        <v>333</v>
      </c>
      <c r="K696" s="55" t="s">
        <v>349</v>
      </c>
      <c r="L696" s="53">
        <v>44769</v>
      </c>
      <c r="M696" s="8" t="s">
        <v>3125</v>
      </c>
      <c r="N696" s="8" t="s">
        <v>3126</v>
      </c>
      <c r="O696" s="8" t="s">
        <v>326</v>
      </c>
      <c r="P696" s="8"/>
      <c r="Q696" s="8"/>
      <c r="R696" s="10"/>
      <c r="S696" s="10"/>
    </row>
    <row r="697" spans="2:19" ht="14" outlineLevel="1">
      <c r="B697" s="225"/>
      <c r="C697" s="225"/>
      <c r="D697" s="225"/>
      <c r="E697" s="232"/>
      <c r="F697" s="9"/>
      <c r="G697" s="9"/>
      <c r="H697" s="147" t="s">
        <v>2618</v>
      </c>
      <c r="I697" s="32" t="s">
        <v>349</v>
      </c>
      <c r="J697" s="8" t="s">
        <v>333</v>
      </c>
      <c r="K697" s="55" t="s">
        <v>349</v>
      </c>
      <c r="L697" s="53">
        <v>44438</v>
      </c>
      <c r="M697" s="8" t="s">
        <v>2217</v>
      </c>
      <c r="N697" s="8" t="s">
        <v>2227</v>
      </c>
      <c r="O697" s="8" t="s">
        <v>326</v>
      </c>
      <c r="P697" s="8"/>
      <c r="Q697" s="8"/>
      <c r="R697" s="10"/>
      <c r="S697" s="10"/>
    </row>
    <row r="698" spans="2:19" ht="14" outlineLevel="1">
      <c r="B698" s="225"/>
      <c r="C698" s="225"/>
      <c r="D698" s="225"/>
      <c r="E698" s="232"/>
      <c r="F698" s="9"/>
      <c r="G698" s="9"/>
      <c r="H698" s="147" t="s">
        <v>2619</v>
      </c>
      <c r="I698" s="32" t="s">
        <v>349</v>
      </c>
      <c r="J698" s="8" t="s">
        <v>333</v>
      </c>
      <c r="K698" s="55" t="s">
        <v>349</v>
      </c>
      <c r="L698" s="53">
        <v>44631</v>
      </c>
      <c r="M698" s="8" t="s">
        <v>2760</v>
      </c>
      <c r="N698" s="8" t="s">
        <v>2750</v>
      </c>
      <c r="O698" s="8" t="s">
        <v>326</v>
      </c>
      <c r="P698" s="8"/>
      <c r="Q698" s="8"/>
      <c r="R698" s="10"/>
      <c r="S698" s="10"/>
    </row>
    <row r="699" spans="2:19" ht="14" outlineLevel="1">
      <c r="B699" s="225"/>
      <c r="C699" s="225"/>
      <c r="D699" s="225"/>
      <c r="E699" s="232"/>
      <c r="F699" s="9"/>
      <c r="G699" s="9"/>
      <c r="H699" s="147" t="s">
        <v>2622</v>
      </c>
      <c r="I699" s="32" t="s">
        <v>349</v>
      </c>
      <c r="J699" s="8" t="s">
        <v>333</v>
      </c>
      <c r="K699" s="55" t="s">
        <v>349</v>
      </c>
      <c r="L699" s="53">
        <v>44952</v>
      </c>
      <c r="M699" s="8" t="s">
        <v>4201</v>
      </c>
      <c r="N699" s="8" t="s">
        <v>3451</v>
      </c>
      <c r="O699" s="8" t="s">
        <v>326</v>
      </c>
      <c r="P699" s="8"/>
      <c r="Q699" s="8"/>
      <c r="R699" s="10"/>
      <c r="S699" s="10"/>
    </row>
    <row r="700" spans="2:19" ht="14" outlineLevel="1">
      <c r="B700" s="225"/>
      <c r="C700" s="225"/>
      <c r="D700" s="225"/>
      <c r="E700" s="232"/>
      <c r="F700" s="9"/>
      <c r="G700" s="9"/>
      <c r="H700" s="147" t="s">
        <v>2623</v>
      </c>
      <c r="I700" s="32" t="s">
        <v>349</v>
      </c>
      <c r="J700" s="8" t="s">
        <v>333</v>
      </c>
      <c r="K700" s="55" t="s">
        <v>349</v>
      </c>
      <c r="L700" s="53">
        <v>44999</v>
      </c>
      <c r="M700" s="8" t="s">
        <v>4202</v>
      </c>
      <c r="N700" s="8" t="s">
        <v>3608</v>
      </c>
      <c r="O700" s="8" t="s">
        <v>326</v>
      </c>
      <c r="P700" s="8"/>
      <c r="Q700" s="8"/>
      <c r="R700" s="10"/>
      <c r="S700" s="10"/>
    </row>
    <row r="701" spans="2:19" ht="14" outlineLevel="1">
      <c r="B701" s="225"/>
      <c r="C701" s="225"/>
      <c r="D701" s="225"/>
      <c r="E701" s="232"/>
      <c r="F701" s="9"/>
      <c r="G701" s="9"/>
      <c r="H701" s="147" t="s">
        <v>3123</v>
      </c>
      <c r="I701" s="32" t="s">
        <v>349</v>
      </c>
      <c r="J701" s="8" t="s">
        <v>333</v>
      </c>
      <c r="K701" s="55" t="s">
        <v>349</v>
      </c>
      <c r="L701" s="53">
        <v>45293</v>
      </c>
      <c r="M701" s="8" t="s">
        <v>4199</v>
      </c>
      <c r="N701" s="8" t="s">
        <v>4203</v>
      </c>
      <c r="O701" s="8" t="s">
        <v>326</v>
      </c>
      <c r="P701" s="8"/>
      <c r="Q701" s="8"/>
      <c r="R701" s="10"/>
      <c r="S701" s="10"/>
    </row>
    <row r="702" spans="2:19" outlineLevel="1">
      <c r="B702" s="225"/>
      <c r="C702" s="225"/>
      <c r="D702" s="225"/>
      <c r="E702" s="232"/>
      <c r="F702" s="9"/>
      <c r="G702" s="9"/>
      <c r="H702" s="147"/>
      <c r="I702" s="32"/>
      <c r="J702" s="8"/>
      <c r="K702" s="55"/>
      <c r="L702" s="53"/>
      <c r="M702" s="8"/>
      <c r="N702" s="8"/>
      <c r="O702" s="8"/>
      <c r="P702" s="8"/>
      <c r="Q702" s="8"/>
      <c r="R702" s="10"/>
      <c r="S702" s="10"/>
    </row>
    <row r="703" spans="2:19" ht="14" outlineLevel="1">
      <c r="B703" s="225"/>
      <c r="C703" s="225"/>
      <c r="D703" s="225"/>
      <c r="E703" s="232"/>
      <c r="F703" s="9" t="s">
        <v>204</v>
      </c>
      <c r="G703" s="9"/>
      <c r="H703" s="65" t="s">
        <v>2534</v>
      </c>
      <c r="I703" s="32"/>
      <c r="J703" s="8"/>
      <c r="K703" s="55"/>
      <c r="L703" s="53"/>
      <c r="M703" s="8"/>
      <c r="N703" s="8"/>
      <c r="O703" s="8"/>
      <c r="P703" s="8"/>
      <c r="Q703" s="8"/>
      <c r="R703" s="10"/>
      <c r="S703" s="10"/>
    </row>
    <row r="704" spans="2:19" ht="14" outlineLevel="1">
      <c r="B704" s="225"/>
      <c r="C704" s="225"/>
      <c r="D704" s="225"/>
      <c r="E704" s="232"/>
      <c r="F704" s="9"/>
      <c r="G704" s="9" t="s">
        <v>177</v>
      </c>
      <c r="H704" s="147" t="s">
        <v>2535</v>
      </c>
      <c r="I704" s="32" t="s">
        <v>349</v>
      </c>
      <c r="J704" s="8" t="s">
        <v>333</v>
      </c>
      <c r="K704" s="55" t="s">
        <v>349</v>
      </c>
      <c r="L704" s="53">
        <v>44536</v>
      </c>
      <c r="M704" s="55" t="s">
        <v>349</v>
      </c>
      <c r="N704" s="8" t="s">
        <v>2536</v>
      </c>
      <c r="O704" s="8" t="s">
        <v>326</v>
      </c>
      <c r="P704" s="8"/>
      <c r="Q704" s="8"/>
      <c r="R704" s="10"/>
      <c r="S704" s="10"/>
    </row>
    <row r="705" spans="2:19" ht="14" outlineLevel="1">
      <c r="B705" s="225"/>
      <c r="C705" s="225"/>
      <c r="D705" s="225"/>
      <c r="E705" s="232"/>
      <c r="F705" s="9"/>
      <c r="G705" s="9" t="s">
        <v>181</v>
      </c>
      <c r="H705" s="147" t="s">
        <v>1814</v>
      </c>
      <c r="I705" s="32" t="s">
        <v>349</v>
      </c>
      <c r="J705" s="8" t="s">
        <v>333</v>
      </c>
      <c r="K705" s="55" t="s">
        <v>349</v>
      </c>
      <c r="L705" s="53">
        <v>44536</v>
      </c>
      <c r="M705" s="55" t="s">
        <v>349</v>
      </c>
      <c r="N705" s="8" t="s">
        <v>2536</v>
      </c>
      <c r="O705" s="8" t="s">
        <v>326</v>
      </c>
      <c r="P705" s="8"/>
      <c r="Q705" s="8"/>
      <c r="R705" s="10"/>
      <c r="S705" s="10"/>
    </row>
    <row r="706" spans="2:19" ht="14" outlineLevel="1">
      <c r="B706" s="225"/>
      <c r="C706" s="225"/>
      <c r="D706" s="225"/>
      <c r="E706" s="232"/>
      <c r="F706" s="9"/>
      <c r="G706" s="9" t="s">
        <v>183</v>
      </c>
      <c r="H706" s="147" t="s">
        <v>1939</v>
      </c>
      <c r="I706" s="32" t="s">
        <v>349</v>
      </c>
      <c r="J706" s="8" t="s">
        <v>333</v>
      </c>
      <c r="K706" s="55" t="s">
        <v>349</v>
      </c>
      <c r="L706" s="53">
        <v>44536</v>
      </c>
      <c r="M706" s="55" t="s">
        <v>349</v>
      </c>
      <c r="N706" s="8" t="s">
        <v>2536</v>
      </c>
      <c r="O706" s="8" t="s">
        <v>326</v>
      </c>
      <c r="P706" s="8"/>
      <c r="Q706" s="8"/>
      <c r="R706" s="10"/>
      <c r="S706" s="10"/>
    </row>
    <row r="707" spans="2:19" ht="14" outlineLevel="1">
      <c r="B707" s="225"/>
      <c r="C707" s="225"/>
      <c r="D707" s="225"/>
      <c r="E707" s="232"/>
      <c r="F707" s="9"/>
      <c r="G707" s="9"/>
      <c r="H707" s="147" t="s">
        <v>1939</v>
      </c>
      <c r="I707" s="32" t="s">
        <v>349</v>
      </c>
      <c r="J707" s="8" t="s">
        <v>333</v>
      </c>
      <c r="K707" s="55" t="s">
        <v>349</v>
      </c>
      <c r="L707" s="53">
        <v>44769</v>
      </c>
      <c r="M707" s="55" t="s">
        <v>349</v>
      </c>
      <c r="N707" s="8" t="s">
        <v>3147</v>
      </c>
      <c r="O707" s="8" t="s">
        <v>326</v>
      </c>
      <c r="P707" s="8"/>
      <c r="Q707" s="8"/>
      <c r="R707" s="10"/>
      <c r="S707" s="10"/>
    </row>
    <row r="708" spans="2:19" outlineLevel="1">
      <c r="B708" s="225"/>
      <c r="C708" s="225"/>
      <c r="D708" s="225"/>
      <c r="E708" s="232"/>
      <c r="F708" s="9"/>
      <c r="G708" s="9"/>
      <c r="H708" s="147"/>
      <c r="I708" s="32"/>
      <c r="J708" s="8"/>
      <c r="K708" s="55"/>
      <c r="L708" s="53"/>
      <c r="M708" s="8"/>
      <c r="N708" s="8"/>
      <c r="O708" s="8"/>
      <c r="P708" s="8"/>
      <c r="Q708" s="8"/>
      <c r="R708" s="10"/>
      <c r="S708" s="10"/>
    </row>
    <row r="709" spans="2:19" ht="14" outlineLevel="1">
      <c r="B709" s="225"/>
      <c r="C709" s="225"/>
      <c r="D709" s="225"/>
      <c r="E709" s="232"/>
      <c r="F709" s="9" t="s">
        <v>205</v>
      </c>
      <c r="G709" s="9"/>
      <c r="H709" s="65" t="s">
        <v>3019</v>
      </c>
      <c r="I709" s="32" t="s">
        <v>349</v>
      </c>
      <c r="J709" s="8" t="s">
        <v>333</v>
      </c>
      <c r="K709" s="55" t="s">
        <v>349</v>
      </c>
      <c r="L709" s="53">
        <v>44732</v>
      </c>
      <c r="M709" s="55" t="s">
        <v>349</v>
      </c>
      <c r="N709" s="8" t="s">
        <v>3020</v>
      </c>
      <c r="O709" s="8" t="s">
        <v>326</v>
      </c>
      <c r="P709" s="8"/>
      <c r="Q709" s="8"/>
      <c r="R709" s="10"/>
      <c r="S709" s="10"/>
    </row>
    <row r="710" spans="2:19" outlineLevel="1">
      <c r="B710" s="225"/>
      <c r="C710" s="225"/>
      <c r="D710" s="225"/>
      <c r="E710" s="232"/>
      <c r="F710" s="9"/>
      <c r="G710" s="9"/>
      <c r="H710" s="65"/>
      <c r="I710" s="32"/>
      <c r="J710" s="8"/>
      <c r="K710" s="55"/>
      <c r="L710" s="53"/>
      <c r="M710" s="55"/>
      <c r="N710" s="8"/>
      <c r="O710" s="8"/>
      <c r="P710" s="8"/>
      <c r="Q710" s="8"/>
      <c r="R710" s="10"/>
      <c r="S710" s="10"/>
    </row>
    <row r="711" spans="2:19" ht="14" outlineLevel="1">
      <c r="B711" s="225"/>
      <c r="C711" s="225"/>
      <c r="D711" s="225"/>
      <c r="E711" s="232"/>
      <c r="F711" s="9" t="s">
        <v>206</v>
      </c>
      <c r="G711" s="9"/>
      <c r="H711" s="65" t="s">
        <v>3266</v>
      </c>
      <c r="I711" s="32"/>
      <c r="J711" s="8"/>
      <c r="K711" s="55"/>
      <c r="L711" s="53"/>
      <c r="M711" s="55"/>
      <c r="N711" s="8"/>
      <c r="O711" s="8"/>
      <c r="P711" s="8"/>
      <c r="Q711" s="8"/>
      <c r="R711" s="10"/>
      <c r="S711" s="10"/>
    </row>
    <row r="712" spans="2:19" ht="14" outlineLevel="1">
      <c r="B712" s="225"/>
      <c r="C712" s="225"/>
      <c r="D712" s="225"/>
      <c r="E712" s="232"/>
      <c r="F712" s="9"/>
      <c r="G712" s="9"/>
      <c r="H712" s="109" t="s">
        <v>2624</v>
      </c>
      <c r="I712" s="32" t="s">
        <v>349</v>
      </c>
      <c r="J712" s="8" t="s">
        <v>333</v>
      </c>
      <c r="K712" s="55" t="s">
        <v>349</v>
      </c>
      <c r="L712" s="53">
        <v>44838</v>
      </c>
      <c r="M712" s="55" t="s">
        <v>349</v>
      </c>
      <c r="N712" s="8" t="s">
        <v>3267</v>
      </c>
      <c r="O712" s="8" t="s">
        <v>326</v>
      </c>
      <c r="P712" s="8"/>
      <c r="Q712" s="8"/>
      <c r="R712" s="10"/>
      <c r="S712" s="10"/>
    </row>
    <row r="713" spans="2:19" ht="14" outlineLevel="1">
      <c r="B713" s="225"/>
      <c r="C713" s="225"/>
      <c r="D713" s="225"/>
      <c r="E713" s="232"/>
      <c r="F713" s="9"/>
      <c r="G713" s="9"/>
      <c r="H713" s="109" t="s">
        <v>2625</v>
      </c>
      <c r="I713" s="32" t="s">
        <v>349</v>
      </c>
      <c r="J713" s="8" t="s">
        <v>333</v>
      </c>
      <c r="K713" s="55" t="s">
        <v>349</v>
      </c>
      <c r="L713" s="53">
        <v>44838</v>
      </c>
      <c r="M713" s="55" t="s">
        <v>349</v>
      </c>
      <c r="N713" s="8" t="s">
        <v>3267</v>
      </c>
      <c r="O713" s="8" t="s">
        <v>326</v>
      </c>
      <c r="P713" s="8"/>
      <c r="Q713" s="8"/>
      <c r="R713" s="10"/>
      <c r="S713" s="10"/>
    </row>
    <row r="714" spans="2:19" outlineLevel="1">
      <c r="B714" s="225"/>
      <c r="C714" s="225"/>
      <c r="D714" s="225"/>
      <c r="E714" s="232"/>
      <c r="F714" s="9"/>
      <c r="G714" s="9"/>
      <c r="H714" s="109" t="s">
        <v>2626</v>
      </c>
      <c r="I714" s="32"/>
      <c r="J714" s="8"/>
      <c r="K714" s="55"/>
      <c r="L714" s="53"/>
      <c r="M714" s="55"/>
      <c r="N714" s="8"/>
      <c r="O714" s="8"/>
      <c r="P714" s="8"/>
      <c r="Q714" s="8"/>
      <c r="R714" s="10"/>
      <c r="S714" s="10"/>
    </row>
    <row r="715" spans="2:19" outlineLevel="1">
      <c r="B715" s="225"/>
      <c r="C715" s="225"/>
      <c r="D715" s="225"/>
      <c r="E715" s="232"/>
      <c r="F715" s="9"/>
      <c r="G715" s="9"/>
      <c r="H715" s="109" t="s">
        <v>2627</v>
      </c>
      <c r="I715" s="32"/>
      <c r="J715" s="8"/>
      <c r="K715" s="55"/>
      <c r="L715" s="53"/>
      <c r="M715" s="55"/>
      <c r="N715" s="8"/>
      <c r="O715" s="8"/>
      <c r="P715" s="8"/>
      <c r="Q715" s="8"/>
      <c r="R715" s="10"/>
      <c r="S715" s="10"/>
    </row>
    <row r="716" spans="2:19" outlineLevel="1">
      <c r="B716" s="225"/>
      <c r="C716" s="225"/>
      <c r="D716" s="225"/>
      <c r="E716" s="232"/>
      <c r="F716" s="9"/>
      <c r="G716" s="9"/>
      <c r="H716" s="109" t="s">
        <v>3265</v>
      </c>
      <c r="I716" s="32"/>
      <c r="J716" s="8"/>
      <c r="K716" s="55"/>
      <c r="L716" s="53"/>
      <c r="M716" s="55"/>
      <c r="N716" s="8"/>
      <c r="O716" s="8"/>
      <c r="P716" s="8"/>
      <c r="Q716" s="8"/>
      <c r="R716" s="10"/>
      <c r="S716" s="10"/>
    </row>
    <row r="717" spans="2:19" outlineLevel="1">
      <c r="B717" s="225"/>
      <c r="C717" s="225"/>
      <c r="D717" s="225"/>
      <c r="E717" s="232"/>
      <c r="F717" s="9"/>
      <c r="G717" s="9"/>
      <c r="H717" s="109"/>
      <c r="I717" s="32"/>
      <c r="J717" s="8"/>
      <c r="K717" s="55"/>
      <c r="L717" s="53"/>
      <c r="M717" s="55"/>
      <c r="N717" s="8"/>
      <c r="O717" s="8"/>
      <c r="P717" s="8"/>
      <c r="Q717" s="8"/>
      <c r="R717" s="10"/>
      <c r="S717" s="10"/>
    </row>
    <row r="718" spans="2:19" ht="14" outlineLevel="1">
      <c r="B718" s="225"/>
      <c r="C718" s="225"/>
      <c r="D718" s="225"/>
      <c r="E718" s="232"/>
      <c r="F718" s="9" t="s">
        <v>207</v>
      </c>
      <c r="G718" s="9"/>
      <c r="H718" s="70" t="s">
        <v>4114</v>
      </c>
      <c r="I718" s="32"/>
      <c r="J718" s="8"/>
      <c r="K718" s="55"/>
      <c r="L718" s="53"/>
      <c r="M718" s="55"/>
      <c r="N718" s="8"/>
      <c r="O718" s="8"/>
      <c r="P718" s="8"/>
      <c r="Q718" s="8"/>
      <c r="R718" s="10"/>
      <c r="S718" s="10"/>
    </row>
    <row r="719" spans="2:19" ht="14" outlineLevel="1">
      <c r="B719" s="225"/>
      <c r="C719" s="225"/>
      <c r="D719" s="225"/>
      <c r="E719" s="232"/>
      <c r="F719" s="9"/>
      <c r="G719" s="9" t="s">
        <v>177</v>
      </c>
      <c r="H719" s="153" t="s">
        <v>4123</v>
      </c>
      <c r="I719" s="53" t="s">
        <v>349</v>
      </c>
      <c r="J719" s="8" t="s">
        <v>332</v>
      </c>
      <c r="K719" s="53" t="s">
        <v>349</v>
      </c>
      <c r="L719" s="53">
        <v>45237</v>
      </c>
      <c r="M719" s="53" t="s">
        <v>349</v>
      </c>
      <c r="N719" s="8" t="s">
        <v>4121</v>
      </c>
      <c r="O719" s="159" t="s">
        <v>326</v>
      </c>
      <c r="P719" s="8"/>
      <c r="Q719" s="8"/>
      <c r="R719" s="10"/>
      <c r="S719" s="10"/>
    </row>
    <row r="720" spans="2:19" ht="14" outlineLevel="1">
      <c r="B720" s="225"/>
      <c r="C720" s="225"/>
      <c r="D720" s="225"/>
      <c r="E720" s="232"/>
      <c r="F720" s="9"/>
      <c r="G720" s="9"/>
      <c r="H720" s="153" t="s">
        <v>4123</v>
      </c>
      <c r="I720" s="32" t="s">
        <v>4135</v>
      </c>
      <c r="J720" s="8" t="s">
        <v>332</v>
      </c>
      <c r="K720" s="53" t="s">
        <v>349</v>
      </c>
      <c r="L720" s="53">
        <v>45250</v>
      </c>
      <c r="M720" s="53" t="s">
        <v>349</v>
      </c>
      <c r="N720" s="8" t="s">
        <v>4136</v>
      </c>
      <c r="O720" s="8" t="s">
        <v>326</v>
      </c>
      <c r="P720" s="8"/>
      <c r="Q720" s="8"/>
      <c r="R720" s="10"/>
      <c r="S720" s="10"/>
    </row>
    <row r="721" spans="2:19" outlineLevel="1">
      <c r="B721" s="225"/>
      <c r="C721" s="225"/>
      <c r="D721" s="226"/>
      <c r="E721" s="232"/>
      <c r="F721" s="9"/>
      <c r="G721" s="9"/>
      <c r="H721" s="7"/>
      <c r="I721" s="32"/>
      <c r="J721" s="8"/>
      <c r="K721" s="8"/>
      <c r="L721" s="8"/>
      <c r="M721" s="8"/>
      <c r="N721" s="8"/>
      <c r="O721" s="8"/>
      <c r="P721" s="8"/>
      <c r="Q721" s="8"/>
      <c r="R721" s="10"/>
      <c r="S721" s="10"/>
    </row>
    <row r="722" spans="2:19" ht="12.75" customHeight="1" outlineLevel="1">
      <c r="B722" s="225"/>
      <c r="C722" s="225"/>
      <c r="D722" s="9" t="s">
        <v>55</v>
      </c>
      <c r="E722" s="251" t="s">
        <v>754</v>
      </c>
      <c r="F722" s="251"/>
      <c r="G722" s="251"/>
      <c r="H722" s="251"/>
      <c r="I722" s="32"/>
      <c r="J722" s="8"/>
      <c r="K722" s="8"/>
      <c r="L722" s="8"/>
      <c r="M722" s="8"/>
      <c r="N722" s="8"/>
      <c r="O722" s="8"/>
      <c r="P722" s="8"/>
      <c r="Q722" s="8"/>
      <c r="R722" s="10"/>
      <c r="S722" s="10"/>
    </row>
    <row r="723" spans="2:19" ht="14" outlineLevel="1">
      <c r="B723" s="225"/>
      <c r="C723" s="225"/>
      <c r="D723" s="224"/>
      <c r="E723" s="224"/>
      <c r="F723" s="9" t="s">
        <v>27</v>
      </c>
      <c r="G723" s="9"/>
      <c r="H723" s="43" t="s">
        <v>220</v>
      </c>
      <c r="I723" s="32" t="s">
        <v>330</v>
      </c>
      <c r="J723" s="8" t="s">
        <v>333</v>
      </c>
      <c r="K723" s="53">
        <v>44000</v>
      </c>
      <c r="L723" s="53">
        <v>44000</v>
      </c>
      <c r="M723" s="35" t="s">
        <v>339</v>
      </c>
      <c r="N723" s="8" t="s">
        <v>335</v>
      </c>
      <c r="O723" s="8" t="s">
        <v>326</v>
      </c>
      <c r="P723" s="8"/>
      <c r="Q723" s="8"/>
      <c r="R723" s="10"/>
      <c r="S723" s="10"/>
    </row>
    <row r="724" spans="2:19" ht="14" outlineLevel="1">
      <c r="B724" s="225"/>
      <c r="C724" s="225"/>
      <c r="D724" s="225"/>
      <c r="E724" s="225"/>
      <c r="F724" s="9"/>
      <c r="G724" s="9"/>
      <c r="H724" s="43" t="s">
        <v>220</v>
      </c>
      <c r="I724" s="32" t="s">
        <v>512</v>
      </c>
      <c r="J724" s="8" t="s">
        <v>333</v>
      </c>
      <c r="K724" s="53">
        <v>44104</v>
      </c>
      <c r="L724" s="53">
        <v>44168</v>
      </c>
      <c r="M724" s="35" t="s">
        <v>714</v>
      </c>
      <c r="N724" s="35" t="s">
        <v>715</v>
      </c>
      <c r="O724" s="8" t="s">
        <v>326</v>
      </c>
      <c r="P724" s="8"/>
      <c r="Q724" s="8"/>
      <c r="R724" s="10"/>
      <c r="S724" s="10"/>
    </row>
    <row r="725" spans="2:19" ht="14" outlineLevel="1">
      <c r="B725" s="225"/>
      <c r="C725" s="225"/>
      <c r="D725" s="225"/>
      <c r="E725" s="225"/>
      <c r="F725" s="9"/>
      <c r="G725" s="9"/>
      <c r="H725" s="43" t="s">
        <v>1787</v>
      </c>
      <c r="I725" s="32" t="s">
        <v>729</v>
      </c>
      <c r="J725" s="8" t="s">
        <v>333</v>
      </c>
      <c r="K725" s="8" t="s">
        <v>349</v>
      </c>
      <c r="L725" s="53">
        <v>44858</v>
      </c>
      <c r="M725" s="35" t="s">
        <v>714</v>
      </c>
      <c r="N725" s="35" t="s">
        <v>3307</v>
      </c>
      <c r="O725" s="8" t="s">
        <v>326</v>
      </c>
      <c r="P725" s="8"/>
      <c r="Q725" s="8"/>
      <c r="R725" s="10"/>
      <c r="S725" s="10"/>
    </row>
    <row r="726" spans="2:19" ht="14" outlineLevel="1">
      <c r="B726" s="225"/>
      <c r="C726" s="225"/>
      <c r="D726" s="225"/>
      <c r="E726" s="225"/>
      <c r="F726" s="9"/>
      <c r="G726" s="9"/>
      <c r="H726" s="43" t="s">
        <v>1787</v>
      </c>
      <c r="I726" s="32" t="s">
        <v>349</v>
      </c>
      <c r="J726" s="8" t="s">
        <v>333</v>
      </c>
      <c r="K726" s="8" t="s">
        <v>349</v>
      </c>
      <c r="L726" s="53">
        <v>44939</v>
      </c>
      <c r="M726" s="35" t="s">
        <v>714</v>
      </c>
      <c r="N726" s="35" t="s">
        <v>3383</v>
      </c>
      <c r="O726" s="8" t="s">
        <v>326</v>
      </c>
      <c r="P726" s="8"/>
      <c r="Q726" s="8"/>
      <c r="R726" s="10"/>
      <c r="S726" s="10"/>
    </row>
    <row r="727" spans="2:19" ht="14" outlineLevel="1">
      <c r="B727" s="225"/>
      <c r="C727" s="225"/>
      <c r="D727" s="225"/>
      <c r="E727" s="225"/>
      <c r="F727" s="9"/>
      <c r="G727" s="9"/>
      <c r="H727" s="43" t="s">
        <v>1787</v>
      </c>
      <c r="I727" s="32" t="s">
        <v>349</v>
      </c>
      <c r="J727" s="8" t="s">
        <v>333</v>
      </c>
      <c r="K727" s="8" t="s">
        <v>349</v>
      </c>
      <c r="L727" s="53">
        <v>45058</v>
      </c>
      <c r="M727" s="35" t="s">
        <v>714</v>
      </c>
      <c r="N727" s="35" t="s">
        <v>3751</v>
      </c>
      <c r="O727" s="8" t="s">
        <v>326</v>
      </c>
      <c r="P727" s="8"/>
      <c r="Q727" s="8"/>
      <c r="R727" s="10"/>
      <c r="S727" s="10"/>
    </row>
    <row r="728" spans="2:19" ht="14" outlineLevel="1">
      <c r="B728" s="225"/>
      <c r="C728" s="225"/>
      <c r="D728" s="225"/>
      <c r="E728" s="225"/>
      <c r="F728" s="9"/>
      <c r="G728" s="9"/>
      <c r="H728" s="43" t="s">
        <v>1787</v>
      </c>
      <c r="I728" s="32" t="s">
        <v>349</v>
      </c>
      <c r="J728" s="8" t="s">
        <v>333</v>
      </c>
      <c r="K728" s="8" t="s">
        <v>349</v>
      </c>
      <c r="L728" s="53">
        <v>45320</v>
      </c>
      <c r="M728" s="35" t="s">
        <v>714</v>
      </c>
      <c r="N728" s="35" t="s">
        <v>4218</v>
      </c>
      <c r="O728" s="8" t="s">
        <v>326</v>
      </c>
      <c r="P728" s="8"/>
      <c r="Q728" s="8"/>
      <c r="R728" s="10"/>
      <c r="S728" s="10"/>
    </row>
    <row r="729" spans="2:19" outlineLevel="1">
      <c r="B729" s="225"/>
      <c r="C729" s="225"/>
      <c r="D729" s="225"/>
      <c r="E729" s="225"/>
      <c r="F729" s="9"/>
      <c r="G729" s="9"/>
      <c r="H729" s="43"/>
      <c r="I729" s="32"/>
      <c r="J729" s="8"/>
      <c r="K729" s="53"/>
      <c r="L729" s="53"/>
      <c r="M729" s="35"/>
      <c r="N729" s="35"/>
      <c r="O729" s="8"/>
      <c r="P729" s="8"/>
      <c r="Q729" s="8"/>
      <c r="R729" s="10"/>
      <c r="S729" s="10"/>
    </row>
    <row r="730" spans="2:19" ht="14" outlineLevel="1">
      <c r="B730" s="225"/>
      <c r="C730" s="225"/>
      <c r="D730" s="225"/>
      <c r="E730" s="225"/>
      <c r="F730" s="9" t="s">
        <v>29</v>
      </c>
      <c r="G730" s="9"/>
      <c r="H730" s="43" t="s">
        <v>1639</v>
      </c>
      <c r="I730" s="32" t="s">
        <v>3</v>
      </c>
      <c r="J730" s="8" t="s">
        <v>333</v>
      </c>
      <c r="K730" s="53">
        <v>44104</v>
      </c>
      <c r="L730" s="53">
        <v>44439</v>
      </c>
      <c r="M730" s="8" t="s">
        <v>2243</v>
      </c>
      <c r="N730" s="8" t="s">
        <v>2244</v>
      </c>
      <c r="O730" s="8" t="s">
        <v>326</v>
      </c>
      <c r="P730" s="8"/>
      <c r="Q730" s="8"/>
      <c r="R730" s="10"/>
      <c r="S730" s="10"/>
    </row>
    <row r="731" spans="2:19" ht="14" outlineLevel="1">
      <c r="B731" s="225"/>
      <c r="C731" s="225"/>
      <c r="D731" s="225"/>
      <c r="E731" s="225"/>
      <c r="F731" s="9" t="s">
        <v>35</v>
      </c>
      <c r="G731" s="9"/>
      <c r="H731" s="43" t="s">
        <v>232</v>
      </c>
      <c r="I731" s="32" t="s">
        <v>3</v>
      </c>
      <c r="J731" s="8" t="s">
        <v>333</v>
      </c>
      <c r="K731" s="8" t="s">
        <v>349</v>
      </c>
      <c r="L731" s="53">
        <v>44319</v>
      </c>
      <c r="M731" s="8" t="s">
        <v>1636</v>
      </c>
      <c r="N731" s="8" t="s">
        <v>1637</v>
      </c>
      <c r="O731" s="8" t="s">
        <v>326</v>
      </c>
      <c r="P731" s="8"/>
      <c r="Q731" s="8"/>
      <c r="R731" s="10"/>
      <c r="S731" s="10"/>
    </row>
    <row r="732" spans="2:19" ht="14" outlineLevel="1">
      <c r="B732" s="225"/>
      <c r="C732" s="225"/>
      <c r="D732" s="225"/>
      <c r="E732" s="225"/>
      <c r="F732" s="9" t="s">
        <v>36</v>
      </c>
      <c r="G732" s="9"/>
      <c r="H732" s="43" t="s">
        <v>233</v>
      </c>
      <c r="I732" s="32"/>
      <c r="J732" s="8" t="s">
        <v>333</v>
      </c>
      <c r="K732" s="8"/>
      <c r="L732" s="8"/>
      <c r="M732" s="8"/>
      <c r="N732" s="8"/>
      <c r="O732" s="8"/>
      <c r="P732" s="8"/>
      <c r="Q732" s="8"/>
      <c r="R732" s="10"/>
      <c r="S732" s="10"/>
    </row>
    <row r="733" spans="2:19" ht="14" outlineLevel="1">
      <c r="B733" s="225"/>
      <c r="C733" s="225"/>
      <c r="D733" s="225"/>
      <c r="E733" s="225"/>
      <c r="F733" s="9" t="s">
        <v>38</v>
      </c>
      <c r="G733" s="9"/>
      <c r="H733" s="33" t="s">
        <v>202</v>
      </c>
      <c r="I733" s="32"/>
      <c r="J733" s="8" t="s">
        <v>333</v>
      </c>
      <c r="K733" s="53">
        <v>44207</v>
      </c>
      <c r="L733" s="8"/>
      <c r="M733" s="8"/>
      <c r="N733" s="8"/>
      <c r="O733" s="8"/>
      <c r="P733" s="8"/>
      <c r="Q733" s="8"/>
      <c r="R733" s="10"/>
      <c r="S733" s="10" t="s">
        <v>329</v>
      </c>
    </row>
    <row r="734" spans="2:19" ht="14" outlineLevel="1">
      <c r="B734" s="225"/>
      <c r="C734" s="225"/>
      <c r="D734" s="225"/>
      <c r="E734" s="225"/>
      <c r="F734" s="9" t="s">
        <v>40</v>
      </c>
      <c r="G734" s="9"/>
      <c r="H734" s="33" t="s">
        <v>230</v>
      </c>
      <c r="I734" s="32"/>
      <c r="J734" s="8" t="s">
        <v>333</v>
      </c>
      <c r="K734" s="8"/>
      <c r="L734" s="8"/>
      <c r="M734" s="8"/>
      <c r="N734" s="8"/>
      <c r="O734" s="8"/>
      <c r="P734" s="8"/>
      <c r="Q734" s="8"/>
      <c r="R734" s="10"/>
      <c r="S734" s="10"/>
    </row>
    <row r="735" spans="2:19" ht="14" outlineLevel="1">
      <c r="B735" s="225"/>
      <c r="C735" s="225"/>
      <c r="D735" s="225"/>
      <c r="E735" s="225"/>
      <c r="F735" s="9"/>
      <c r="G735" s="9" t="s">
        <v>176</v>
      </c>
      <c r="H735" s="109" t="s">
        <v>2624</v>
      </c>
      <c r="I735" s="53" t="s">
        <v>349</v>
      </c>
      <c r="J735" s="8" t="s">
        <v>333</v>
      </c>
      <c r="K735" s="53" t="s">
        <v>349</v>
      </c>
      <c r="L735" s="53">
        <v>44473</v>
      </c>
      <c r="M735" s="53" t="s">
        <v>349</v>
      </c>
      <c r="N735" s="8" t="s">
        <v>2297</v>
      </c>
      <c r="O735" s="159" t="s">
        <v>326</v>
      </c>
      <c r="P735" s="8"/>
      <c r="Q735" s="8"/>
      <c r="R735" s="10"/>
      <c r="S735" s="10"/>
    </row>
    <row r="736" spans="2:19" ht="14" outlineLevel="1">
      <c r="B736" s="225"/>
      <c r="C736" s="225"/>
      <c r="D736" s="225"/>
      <c r="E736" s="225"/>
      <c r="F736" s="9"/>
      <c r="G736" s="9" t="s">
        <v>177</v>
      </c>
      <c r="H736" s="109" t="s">
        <v>2625</v>
      </c>
      <c r="I736" s="53" t="s">
        <v>349</v>
      </c>
      <c r="J736" s="8" t="s">
        <v>333</v>
      </c>
      <c r="K736" s="55" t="s">
        <v>349</v>
      </c>
      <c r="L736" s="55">
        <v>44616</v>
      </c>
      <c r="M736" s="55" t="s">
        <v>349</v>
      </c>
      <c r="N736" s="12" t="s">
        <v>2716</v>
      </c>
      <c r="O736" s="12" t="s">
        <v>326</v>
      </c>
      <c r="P736" s="8"/>
      <c r="Q736" s="8"/>
      <c r="R736" s="10"/>
      <c r="S736" s="10"/>
    </row>
    <row r="737" spans="2:19" ht="14" outlineLevel="1">
      <c r="B737" s="225"/>
      <c r="C737" s="225"/>
      <c r="D737" s="225"/>
      <c r="E737" s="225"/>
      <c r="F737" s="9"/>
      <c r="G737" s="9" t="s">
        <v>181</v>
      </c>
      <c r="H737" s="109" t="s">
        <v>2626</v>
      </c>
      <c r="I737" s="32" t="s">
        <v>349</v>
      </c>
      <c r="J737" s="8" t="s">
        <v>333</v>
      </c>
      <c r="K737" s="32" t="s">
        <v>349</v>
      </c>
      <c r="L737" s="53">
        <v>44939</v>
      </c>
      <c r="M737" s="8" t="s">
        <v>50</v>
      </c>
      <c r="N737" s="8" t="s">
        <v>3370</v>
      </c>
      <c r="O737" s="8" t="s">
        <v>326</v>
      </c>
      <c r="P737" s="8"/>
      <c r="Q737" s="8"/>
      <c r="R737" s="10"/>
      <c r="S737" s="10"/>
    </row>
    <row r="738" spans="2:19" ht="14" outlineLevel="1">
      <c r="B738" s="225"/>
      <c r="C738" s="225"/>
      <c r="D738" s="225"/>
      <c r="E738" s="225"/>
      <c r="F738" s="9"/>
      <c r="G738" s="9" t="s">
        <v>183</v>
      </c>
      <c r="H738" s="109" t="s">
        <v>2627</v>
      </c>
      <c r="I738" s="32" t="s">
        <v>349</v>
      </c>
      <c r="J738" s="8" t="s">
        <v>333</v>
      </c>
      <c r="K738" s="32" t="s">
        <v>349</v>
      </c>
      <c r="L738" s="53">
        <v>44973</v>
      </c>
      <c r="M738" s="8" t="s">
        <v>50</v>
      </c>
      <c r="N738" s="8" t="s">
        <v>3587</v>
      </c>
      <c r="O738" s="8" t="s">
        <v>326</v>
      </c>
      <c r="P738" s="8"/>
      <c r="Q738" s="8"/>
      <c r="R738" s="10"/>
      <c r="S738" s="10"/>
    </row>
    <row r="739" spans="2:19" ht="14" outlineLevel="1">
      <c r="B739" s="225"/>
      <c r="C739" s="225"/>
      <c r="D739" s="225"/>
      <c r="E739" s="225"/>
      <c r="F739" s="9"/>
      <c r="G739" s="9" t="s">
        <v>184</v>
      </c>
      <c r="H739" s="109" t="s">
        <v>3265</v>
      </c>
      <c r="I739" s="32" t="s">
        <v>349</v>
      </c>
      <c r="J739" s="8" t="s">
        <v>333</v>
      </c>
      <c r="K739" s="32" t="s">
        <v>349</v>
      </c>
      <c r="L739" s="53">
        <v>45320</v>
      </c>
      <c r="M739" s="8" t="s">
        <v>50</v>
      </c>
      <c r="N739" s="35" t="s">
        <v>4218</v>
      </c>
      <c r="O739" s="8" t="s">
        <v>326</v>
      </c>
      <c r="P739" s="8"/>
      <c r="Q739" s="8"/>
      <c r="R739" s="10"/>
      <c r="S739" s="10"/>
    </row>
    <row r="740" spans="2:19" outlineLevel="1">
      <c r="B740" s="225"/>
      <c r="C740" s="225"/>
      <c r="D740" s="225"/>
      <c r="E740" s="225"/>
      <c r="F740" s="9"/>
      <c r="G740" s="9"/>
      <c r="H740" s="109"/>
      <c r="I740" s="32"/>
      <c r="J740" s="8"/>
      <c r="K740" s="8"/>
      <c r="L740" s="8"/>
      <c r="M740" s="8"/>
      <c r="N740" s="8"/>
      <c r="O740" s="8"/>
      <c r="P740" s="8"/>
      <c r="Q740" s="8"/>
      <c r="R740" s="10"/>
      <c r="S740" s="10"/>
    </row>
    <row r="741" spans="2:19" ht="14" outlineLevel="1">
      <c r="B741" s="225"/>
      <c r="C741" s="225"/>
      <c r="D741" s="225"/>
      <c r="E741" s="225"/>
      <c r="F741" s="9" t="s">
        <v>108</v>
      </c>
      <c r="G741" s="9"/>
      <c r="H741" s="65" t="s">
        <v>1384</v>
      </c>
      <c r="I741" s="32"/>
      <c r="J741" s="8"/>
      <c r="K741" s="8"/>
      <c r="L741" s="8"/>
      <c r="M741" s="8"/>
      <c r="N741" s="8"/>
      <c r="O741" s="8"/>
      <c r="P741" s="8"/>
      <c r="Q741" s="8"/>
      <c r="R741" s="10"/>
      <c r="S741" s="10"/>
    </row>
    <row r="742" spans="2:19" ht="14" outlineLevel="1">
      <c r="B742" s="225"/>
      <c r="C742" s="225"/>
      <c r="D742" s="225"/>
      <c r="E742" s="225"/>
      <c r="F742" s="9"/>
      <c r="G742" s="9"/>
      <c r="H742" s="147" t="s">
        <v>2173</v>
      </c>
      <c r="I742" s="53" t="s">
        <v>349</v>
      </c>
      <c r="J742" s="8" t="s">
        <v>333</v>
      </c>
      <c r="K742" s="53" t="s">
        <v>349</v>
      </c>
      <c r="L742" s="53">
        <v>44480</v>
      </c>
      <c r="M742" s="8" t="s">
        <v>2248</v>
      </c>
      <c r="N742" s="8" t="s">
        <v>2338</v>
      </c>
      <c r="O742" s="159" t="s">
        <v>326</v>
      </c>
      <c r="P742" s="8"/>
      <c r="Q742" s="8"/>
      <c r="R742" s="10"/>
      <c r="S742" s="10"/>
    </row>
    <row r="743" spans="2:19" ht="14" outlineLevel="1">
      <c r="B743" s="225"/>
      <c r="C743" s="225"/>
      <c r="D743" s="225"/>
      <c r="E743" s="225"/>
      <c r="F743" s="9"/>
      <c r="G743" s="9"/>
      <c r="H743" s="147" t="s">
        <v>2618</v>
      </c>
      <c r="I743" s="53" t="s">
        <v>349</v>
      </c>
      <c r="J743" s="8" t="s">
        <v>333</v>
      </c>
      <c r="K743" s="53" t="s">
        <v>349</v>
      </c>
      <c r="L743" s="53">
        <v>44480</v>
      </c>
      <c r="M743" s="8" t="s">
        <v>2337</v>
      </c>
      <c r="N743" s="8" t="s">
        <v>2338</v>
      </c>
      <c r="O743" s="159" t="s">
        <v>326</v>
      </c>
      <c r="P743" s="8"/>
      <c r="Q743" s="8"/>
      <c r="R743" s="10"/>
      <c r="S743" s="10"/>
    </row>
    <row r="744" spans="2:19" ht="14" outlineLevel="1">
      <c r="B744" s="225"/>
      <c r="C744" s="225"/>
      <c r="D744" s="225"/>
      <c r="E744" s="225"/>
      <c r="F744" s="9"/>
      <c r="G744" s="9"/>
      <c r="H744" s="147" t="s">
        <v>2619</v>
      </c>
      <c r="I744" s="53" t="s">
        <v>349</v>
      </c>
      <c r="J744" s="8" t="s">
        <v>333</v>
      </c>
      <c r="K744" s="53" t="s">
        <v>349</v>
      </c>
      <c r="L744" s="53">
        <v>44939</v>
      </c>
      <c r="M744" s="53" t="s">
        <v>3378</v>
      </c>
      <c r="N744" s="8" t="s">
        <v>3370</v>
      </c>
      <c r="O744" s="159" t="s">
        <v>326</v>
      </c>
      <c r="P744" s="8"/>
      <c r="Q744" s="8"/>
      <c r="R744" s="10"/>
      <c r="S744" s="10"/>
    </row>
    <row r="745" spans="2:19" ht="14" outlineLevel="1">
      <c r="B745" s="225"/>
      <c r="C745" s="225"/>
      <c r="D745" s="225"/>
      <c r="E745" s="225"/>
      <c r="F745" s="9"/>
      <c r="G745" s="9"/>
      <c r="H745" s="147" t="s">
        <v>2622</v>
      </c>
      <c r="I745" s="53" t="s">
        <v>349</v>
      </c>
      <c r="J745" s="8" t="s">
        <v>333</v>
      </c>
      <c r="K745" s="53" t="s">
        <v>349</v>
      </c>
      <c r="L745" s="53">
        <v>44939</v>
      </c>
      <c r="M745" s="53" t="s">
        <v>2781</v>
      </c>
      <c r="N745" s="8" t="s">
        <v>3370</v>
      </c>
      <c r="O745" s="159" t="s">
        <v>326</v>
      </c>
      <c r="P745" s="8"/>
      <c r="Q745" s="8"/>
      <c r="R745" s="10"/>
      <c r="S745" s="10"/>
    </row>
    <row r="746" spans="2:19" ht="14" outlineLevel="1">
      <c r="B746" s="225"/>
      <c r="C746" s="225"/>
      <c r="D746" s="225"/>
      <c r="E746" s="225"/>
      <c r="F746" s="9"/>
      <c r="G746" s="9"/>
      <c r="H746" s="147" t="s">
        <v>2623</v>
      </c>
      <c r="I746" s="53" t="s">
        <v>349</v>
      </c>
      <c r="J746" s="8" t="s">
        <v>333</v>
      </c>
      <c r="K746" s="53" t="s">
        <v>349</v>
      </c>
      <c r="L746" s="53">
        <v>45001</v>
      </c>
      <c r="M746" s="8" t="s">
        <v>3620</v>
      </c>
      <c r="N746" s="8" t="s">
        <v>3622</v>
      </c>
      <c r="O746" s="159" t="s">
        <v>326</v>
      </c>
      <c r="P746" s="8"/>
      <c r="Q746" s="8"/>
      <c r="R746" s="10"/>
      <c r="S746" s="10"/>
    </row>
    <row r="747" spans="2:19" ht="14" outlineLevel="1">
      <c r="B747" s="225"/>
      <c r="C747" s="225"/>
      <c r="D747" s="225"/>
      <c r="E747" s="225"/>
      <c r="F747" s="9"/>
      <c r="G747" s="9"/>
      <c r="H747" s="147" t="s">
        <v>3123</v>
      </c>
      <c r="I747" s="53" t="s">
        <v>349</v>
      </c>
      <c r="J747" s="8" t="s">
        <v>333</v>
      </c>
      <c r="K747" s="53" t="s">
        <v>349</v>
      </c>
      <c r="L747" s="53">
        <v>45320</v>
      </c>
      <c r="M747" s="8" t="s">
        <v>4219</v>
      </c>
      <c r="N747" s="35" t="s">
        <v>4218</v>
      </c>
      <c r="O747" s="8" t="s">
        <v>326</v>
      </c>
      <c r="P747" s="8"/>
      <c r="Q747" s="8"/>
      <c r="R747" s="10"/>
      <c r="S747" s="10"/>
    </row>
    <row r="748" spans="2:19" outlineLevel="1">
      <c r="B748" s="225"/>
      <c r="C748" s="225"/>
      <c r="D748" s="225"/>
      <c r="E748" s="225"/>
      <c r="F748" s="9"/>
      <c r="G748" s="9"/>
      <c r="H748" s="101"/>
      <c r="I748" s="53"/>
      <c r="J748" s="8"/>
      <c r="K748" s="53"/>
      <c r="L748" s="53"/>
      <c r="M748" s="8"/>
      <c r="N748" s="8"/>
      <c r="O748" s="159"/>
      <c r="P748" s="8"/>
      <c r="Q748" s="8"/>
      <c r="R748" s="10"/>
      <c r="S748" s="10"/>
    </row>
    <row r="749" spans="2:19" ht="14" outlineLevel="1">
      <c r="B749" s="225"/>
      <c r="C749" s="225"/>
      <c r="D749" s="225"/>
      <c r="E749" s="225"/>
      <c r="F749" s="9" t="s">
        <v>129</v>
      </c>
      <c r="G749" s="9"/>
      <c r="H749" s="4" t="s">
        <v>2251</v>
      </c>
      <c r="I749" s="53"/>
      <c r="J749" s="8"/>
      <c r="K749" s="53"/>
      <c r="L749" s="53"/>
      <c r="M749" s="53"/>
      <c r="N749" s="8"/>
      <c r="O749" s="159"/>
      <c r="P749" s="8"/>
      <c r="Q749" s="8"/>
      <c r="R749" s="10"/>
      <c r="S749" s="10"/>
    </row>
    <row r="750" spans="2:19" ht="14" outlineLevel="1">
      <c r="B750" s="225"/>
      <c r="C750" s="225"/>
      <c r="D750" s="225"/>
      <c r="E750" s="225"/>
      <c r="F750" s="9"/>
      <c r="G750" s="9"/>
      <c r="H750" s="101" t="s">
        <v>3374</v>
      </c>
      <c r="I750" s="53" t="s">
        <v>349</v>
      </c>
      <c r="J750" s="8" t="s">
        <v>333</v>
      </c>
      <c r="K750" s="53" t="s">
        <v>349</v>
      </c>
      <c r="L750" s="53">
        <v>44473</v>
      </c>
      <c r="M750" s="53" t="s">
        <v>349</v>
      </c>
      <c r="N750" s="8" t="s">
        <v>2297</v>
      </c>
      <c r="O750" s="159" t="s">
        <v>326</v>
      </c>
      <c r="P750" s="8"/>
      <c r="Q750" s="8"/>
      <c r="R750" s="10"/>
      <c r="S750" s="10"/>
    </row>
    <row r="751" spans="2:19" ht="14" outlineLevel="1">
      <c r="B751" s="225"/>
      <c r="C751" s="225"/>
      <c r="D751" s="225"/>
      <c r="E751" s="225"/>
      <c r="F751" s="9"/>
      <c r="G751" s="9"/>
      <c r="H751" s="101" t="s">
        <v>3375</v>
      </c>
      <c r="I751" s="53" t="s">
        <v>349</v>
      </c>
      <c r="J751" s="8" t="s">
        <v>333</v>
      </c>
      <c r="K751" s="53" t="s">
        <v>349</v>
      </c>
      <c r="L751" s="53">
        <v>44939</v>
      </c>
      <c r="M751" s="53" t="s">
        <v>349</v>
      </c>
      <c r="N751" s="8" t="s">
        <v>3370</v>
      </c>
      <c r="O751" s="159" t="s">
        <v>326</v>
      </c>
      <c r="P751" s="8"/>
      <c r="Q751" s="8"/>
      <c r="R751" s="10"/>
      <c r="S751" s="10"/>
    </row>
    <row r="752" spans="2:19" ht="14" outlineLevel="1">
      <c r="B752" s="225"/>
      <c r="C752" s="225"/>
      <c r="D752" s="225"/>
      <c r="E752" s="225"/>
      <c r="F752" s="9"/>
      <c r="G752" s="9"/>
      <c r="H752" s="101" t="s">
        <v>3376</v>
      </c>
      <c r="I752" s="53" t="s">
        <v>349</v>
      </c>
      <c r="J752" s="8" t="s">
        <v>333</v>
      </c>
      <c r="K752" s="53" t="s">
        <v>349</v>
      </c>
      <c r="L752" s="53">
        <v>44939</v>
      </c>
      <c r="M752" s="53" t="s">
        <v>349</v>
      </c>
      <c r="N752" s="8" t="s">
        <v>3370</v>
      </c>
      <c r="O752" s="159" t="s">
        <v>326</v>
      </c>
      <c r="P752" s="8"/>
      <c r="Q752" s="8"/>
      <c r="R752" s="10"/>
      <c r="S752" s="10"/>
    </row>
    <row r="753" spans="2:19" outlineLevel="1">
      <c r="B753" s="225"/>
      <c r="C753" s="225"/>
      <c r="D753" s="225"/>
      <c r="E753" s="225"/>
      <c r="F753" s="9"/>
      <c r="G753" s="9"/>
      <c r="H753" s="4"/>
      <c r="I753" s="53"/>
      <c r="J753" s="8"/>
      <c r="K753" s="53"/>
      <c r="L753" s="53"/>
      <c r="M753" s="53"/>
      <c r="N753" s="8"/>
      <c r="O753" s="159"/>
      <c r="P753" s="8"/>
      <c r="Q753" s="8"/>
      <c r="R753" s="10"/>
      <c r="S753" s="10"/>
    </row>
    <row r="754" spans="2:19" ht="14" outlineLevel="1">
      <c r="B754" s="225"/>
      <c r="C754" s="225"/>
      <c r="D754" s="225"/>
      <c r="E754" s="225"/>
      <c r="F754" s="9" t="s">
        <v>134</v>
      </c>
      <c r="G754" s="9"/>
      <c r="H754" s="4" t="s">
        <v>2534</v>
      </c>
      <c r="I754" s="32" t="s">
        <v>3</v>
      </c>
      <c r="J754" s="8" t="s">
        <v>333</v>
      </c>
      <c r="K754" s="53" t="s">
        <v>349</v>
      </c>
      <c r="L754" s="53">
        <v>44540</v>
      </c>
      <c r="M754" s="53" t="s">
        <v>2551</v>
      </c>
      <c r="N754" s="8" t="s">
        <v>2553</v>
      </c>
      <c r="O754" s="159" t="s">
        <v>326</v>
      </c>
      <c r="P754" s="8"/>
      <c r="Q754" s="8"/>
      <c r="R754" s="10"/>
      <c r="S754" s="10"/>
    </row>
    <row r="755" spans="2:19" outlineLevel="1">
      <c r="B755" s="225"/>
      <c r="C755" s="225"/>
      <c r="D755" s="225"/>
      <c r="E755" s="225"/>
      <c r="F755" s="9"/>
      <c r="G755" s="9"/>
      <c r="H755" s="4"/>
      <c r="I755" s="32"/>
      <c r="J755" s="8"/>
      <c r="K755" s="53"/>
      <c r="L755" s="53"/>
      <c r="M755" s="53"/>
      <c r="N755" s="8"/>
      <c r="O755" s="159"/>
      <c r="P755" s="8"/>
      <c r="Q755" s="8"/>
      <c r="R755" s="10"/>
      <c r="S755" s="10"/>
    </row>
    <row r="756" spans="2:19" ht="14" outlineLevel="1">
      <c r="B756" s="225"/>
      <c r="C756" s="225"/>
      <c r="D756" s="225"/>
      <c r="E756" s="225"/>
      <c r="F756" s="9" t="s">
        <v>135</v>
      </c>
      <c r="G756" s="9"/>
      <c r="H756" s="70" t="s">
        <v>4114</v>
      </c>
      <c r="I756" s="32"/>
      <c r="J756" s="8"/>
      <c r="K756" s="53"/>
      <c r="L756" s="53"/>
      <c r="M756" s="53"/>
      <c r="N756" s="8"/>
      <c r="O756" s="159"/>
      <c r="P756" s="8"/>
      <c r="Q756" s="8"/>
      <c r="R756" s="10"/>
      <c r="S756" s="10"/>
    </row>
    <row r="757" spans="2:19" ht="14" outlineLevel="1">
      <c r="B757" s="225"/>
      <c r="C757" s="225"/>
      <c r="D757" s="225"/>
      <c r="E757" s="225"/>
      <c r="F757" s="9"/>
      <c r="G757" s="9" t="s">
        <v>177</v>
      </c>
      <c r="H757" s="153" t="s">
        <v>4122</v>
      </c>
      <c r="I757" s="53" t="s">
        <v>349</v>
      </c>
      <c r="J757" s="8" t="s">
        <v>332</v>
      </c>
      <c r="K757" s="53" t="s">
        <v>349</v>
      </c>
      <c r="L757" s="53">
        <v>45237</v>
      </c>
      <c r="M757" s="53" t="s">
        <v>349</v>
      </c>
      <c r="N757" s="8" t="s">
        <v>4121</v>
      </c>
      <c r="O757" s="159" t="s">
        <v>326</v>
      </c>
      <c r="P757" s="8"/>
      <c r="Q757" s="8"/>
      <c r="R757" s="10"/>
      <c r="S757" s="10"/>
    </row>
    <row r="758" spans="2:19" outlineLevel="1">
      <c r="B758" s="225"/>
      <c r="C758" s="225"/>
      <c r="D758" s="225"/>
      <c r="E758" s="225"/>
      <c r="F758" s="9"/>
      <c r="G758" s="9"/>
      <c r="H758" s="4"/>
      <c r="I758" s="53"/>
      <c r="J758" s="8"/>
      <c r="K758" s="53"/>
      <c r="L758" s="53"/>
      <c r="M758" s="53"/>
      <c r="N758" s="8"/>
      <c r="O758" s="159"/>
      <c r="P758" s="8"/>
      <c r="Q758" s="8"/>
      <c r="R758" s="10"/>
      <c r="S758" s="10"/>
    </row>
    <row r="759" spans="2:19" outlineLevel="1">
      <c r="B759" s="225"/>
      <c r="C759" s="225"/>
      <c r="D759" s="225"/>
      <c r="E759" s="225"/>
      <c r="F759" s="9"/>
      <c r="G759" s="9"/>
      <c r="H759" s="101"/>
      <c r="I759" s="32"/>
      <c r="J759" s="8"/>
      <c r="K759" s="8"/>
      <c r="L759" s="8"/>
      <c r="M759" s="8"/>
      <c r="N759" s="8"/>
      <c r="O759" s="8"/>
      <c r="P759" s="8"/>
      <c r="Q759" s="8"/>
      <c r="R759" s="10"/>
      <c r="S759" s="10"/>
    </row>
    <row r="760" spans="2:19" ht="12.75" customHeight="1" outlineLevel="1">
      <c r="B760" s="225"/>
      <c r="C760" s="225"/>
      <c r="D760" s="9" t="s">
        <v>57</v>
      </c>
      <c r="E760" s="227" t="s">
        <v>236</v>
      </c>
      <c r="F760" s="228"/>
      <c r="G760" s="228"/>
      <c r="H760" s="229"/>
      <c r="I760" s="32"/>
      <c r="J760" s="8"/>
      <c r="K760" s="8"/>
      <c r="L760" s="8"/>
      <c r="M760" s="8"/>
      <c r="N760" s="8"/>
      <c r="O760" s="8"/>
      <c r="P760" s="8"/>
      <c r="Q760" s="8"/>
      <c r="R760" s="10"/>
      <c r="S760" s="10"/>
    </row>
    <row r="761" spans="2:19" ht="14" outlineLevel="1">
      <c r="B761" s="225"/>
      <c r="C761" s="225"/>
      <c r="D761" s="224"/>
      <c r="E761" s="224"/>
      <c r="F761" s="9" t="s">
        <v>27</v>
      </c>
      <c r="G761" s="9"/>
      <c r="H761" s="43" t="s">
        <v>220</v>
      </c>
      <c r="I761" s="32" t="s">
        <v>330</v>
      </c>
      <c r="J761" s="8" t="s">
        <v>333</v>
      </c>
      <c r="K761" s="53">
        <v>44000</v>
      </c>
      <c r="L761" s="53">
        <v>44000</v>
      </c>
      <c r="M761" s="8" t="s">
        <v>338</v>
      </c>
      <c r="N761" s="8" t="s">
        <v>335</v>
      </c>
      <c r="O761" s="8" t="s">
        <v>326</v>
      </c>
      <c r="P761" s="8"/>
      <c r="Q761" s="8"/>
      <c r="R761" s="10"/>
      <c r="S761" s="10"/>
    </row>
    <row r="762" spans="2:19" ht="14" outlineLevel="1">
      <c r="B762" s="225"/>
      <c r="C762" s="225"/>
      <c r="D762" s="225"/>
      <c r="E762" s="225"/>
      <c r="F762" s="9"/>
      <c r="G762" s="9"/>
      <c r="H762" s="70" t="s">
        <v>791</v>
      </c>
      <c r="I762" s="32" t="s">
        <v>3</v>
      </c>
      <c r="J762" s="8" t="s">
        <v>332</v>
      </c>
      <c r="K762" s="53" t="s">
        <v>349</v>
      </c>
      <c r="L762" s="53">
        <v>44183</v>
      </c>
      <c r="M762" s="71" t="s">
        <v>797</v>
      </c>
      <c r="N762" s="8" t="s">
        <v>803</v>
      </c>
      <c r="O762" s="8" t="s">
        <v>326</v>
      </c>
      <c r="P762" s="8"/>
      <c r="Q762" s="8"/>
      <c r="R762" s="10"/>
      <c r="S762" s="10"/>
    </row>
    <row r="763" spans="2:19" ht="14" outlineLevel="1">
      <c r="B763" s="225"/>
      <c r="C763" s="225"/>
      <c r="D763" s="225"/>
      <c r="E763" s="225"/>
      <c r="F763" s="9"/>
      <c r="G763" s="9"/>
      <c r="H763" s="70" t="s">
        <v>792</v>
      </c>
      <c r="I763" s="32" t="s">
        <v>3</v>
      </c>
      <c r="J763" s="8" t="s">
        <v>332</v>
      </c>
      <c r="K763" s="53" t="s">
        <v>349</v>
      </c>
      <c r="L763" s="53">
        <v>44183</v>
      </c>
      <c r="M763" s="71" t="s">
        <v>798</v>
      </c>
      <c r="N763" s="8" t="s">
        <v>803</v>
      </c>
      <c r="O763" s="8" t="s">
        <v>326</v>
      </c>
      <c r="P763" s="8"/>
      <c r="Q763" s="8"/>
      <c r="R763" s="10"/>
      <c r="S763" s="10"/>
    </row>
    <row r="764" spans="2:19" ht="14" outlineLevel="1">
      <c r="B764" s="225"/>
      <c r="C764" s="225"/>
      <c r="D764" s="225"/>
      <c r="E764" s="225"/>
      <c r="F764" s="9"/>
      <c r="G764" s="9"/>
      <c r="H764" s="70" t="s">
        <v>793</v>
      </c>
      <c r="I764" s="32" t="s">
        <v>3</v>
      </c>
      <c r="J764" s="8" t="s">
        <v>332</v>
      </c>
      <c r="K764" s="53" t="s">
        <v>349</v>
      </c>
      <c r="L764" s="53">
        <v>44183</v>
      </c>
      <c r="M764" s="71" t="s">
        <v>799</v>
      </c>
      <c r="N764" s="8" t="s">
        <v>803</v>
      </c>
      <c r="O764" s="8" t="s">
        <v>326</v>
      </c>
      <c r="P764" s="8"/>
      <c r="Q764" s="8"/>
      <c r="R764" s="10"/>
      <c r="S764" s="10"/>
    </row>
    <row r="765" spans="2:19" ht="14" outlineLevel="1">
      <c r="B765" s="225"/>
      <c r="C765" s="225"/>
      <c r="D765" s="225"/>
      <c r="E765" s="225"/>
      <c r="F765" s="9"/>
      <c r="G765" s="9"/>
      <c r="H765" s="70" t="s">
        <v>794</v>
      </c>
      <c r="I765" s="32" t="s">
        <v>3</v>
      </c>
      <c r="J765" s="8" t="s">
        <v>332</v>
      </c>
      <c r="K765" s="53" t="s">
        <v>349</v>
      </c>
      <c r="L765" s="53">
        <v>44183</v>
      </c>
      <c r="M765" s="71" t="s">
        <v>800</v>
      </c>
      <c r="N765" s="8" t="s">
        <v>803</v>
      </c>
      <c r="O765" s="8" t="s">
        <v>326</v>
      </c>
      <c r="P765" s="8"/>
      <c r="Q765" s="8"/>
      <c r="R765" s="10"/>
      <c r="S765" s="10"/>
    </row>
    <row r="766" spans="2:19" ht="14" outlineLevel="1">
      <c r="B766" s="225"/>
      <c r="C766" s="225"/>
      <c r="D766" s="225"/>
      <c r="E766" s="225"/>
      <c r="F766" s="9"/>
      <c r="G766" s="9"/>
      <c r="H766" s="70" t="s">
        <v>795</v>
      </c>
      <c r="I766" s="32" t="s">
        <v>3</v>
      </c>
      <c r="J766" s="8" t="s">
        <v>332</v>
      </c>
      <c r="K766" s="53" t="s">
        <v>349</v>
      </c>
      <c r="L766" s="53">
        <v>44183</v>
      </c>
      <c r="M766" s="71" t="s">
        <v>801</v>
      </c>
      <c r="N766" s="8" t="s">
        <v>803</v>
      </c>
      <c r="O766" s="8" t="s">
        <v>326</v>
      </c>
      <c r="P766" s="8"/>
      <c r="Q766" s="8"/>
      <c r="R766" s="10"/>
      <c r="S766" s="10"/>
    </row>
    <row r="767" spans="2:19" ht="14" outlineLevel="1">
      <c r="B767" s="225"/>
      <c r="C767" s="225"/>
      <c r="D767" s="225"/>
      <c r="E767" s="225"/>
      <c r="F767" s="9"/>
      <c r="G767" s="9"/>
      <c r="H767" s="70" t="s">
        <v>796</v>
      </c>
      <c r="I767" s="32" t="s">
        <v>3</v>
      </c>
      <c r="J767" s="8" t="s">
        <v>332</v>
      </c>
      <c r="K767" s="53" t="s">
        <v>349</v>
      </c>
      <c r="L767" s="53">
        <v>44183</v>
      </c>
      <c r="M767" s="71" t="s">
        <v>802</v>
      </c>
      <c r="N767" s="8" t="s">
        <v>803</v>
      </c>
      <c r="O767" s="8" t="s">
        <v>326</v>
      </c>
      <c r="P767" s="8"/>
      <c r="Q767" s="8"/>
      <c r="R767" s="10"/>
      <c r="S767" s="10"/>
    </row>
    <row r="768" spans="2:19" outlineLevel="1">
      <c r="B768" s="225"/>
      <c r="C768" s="225"/>
      <c r="D768" s="225"/>
      <c r="E768" s="225"/>
      <c r="F768" s="9"/>
      <c r="G768" s="9"/>
      <c r="H768" s="70"/>
      <c r="I768" s="32"/>
      <c r="J768" s="8"/>
      <c r="K768" s="53"/>
      <c r="L768" s="53"/>
      <c r="M768" s="71"/>
      <c r="N768" s="8"/>
      <c r="O768" s="8"/>
      <c r="P768" s="8"/>
      <c r="Q768" s="8"/>
      <c r="R768" s="10"/>
      <c r="S768" s="10"/>
    </row>
    <row r="769" spans="2:19" ht="14" outlineLevel="1">
      <c r="B769" s="225"/>
      <c r="C769" s="225"/>
      <c r="D769" s="225"/>
      <c r="E769" s="225"/>
      <c r="F769" s="9" t="s">
        <v>29</v>
      </c>
      <c r="G769" s="9"/>
      <c r="H769" s="43" t="s">
        <v>1639</v>
      </c>
      <c r="I769" s="32"/>
      <c r="J769" s="8" t="s">
        <v>333</v>
      </c>
      <c r="K769" s="53">
        <v>44104</v>
      </c>
      <c r="L769" s="8"/>
      <c r="M769" s="8"/>
      <c r="N769" s="8"/>
      <c r="O769" s="8"/>
      <c r="P769" s="8"/>
      <c r="Q769" s="8"/>
      <c r="R769" s="10"/>
      <c r="S769" s="10"/>
    </row>
    <row r="770" spans="2:19" ht="14" outlineLevel="1">
      <c r="B770" s="225"/>
      <c r="C770" s="225"/>
      <c r="D770" s="225"/>
      <c r="E770" s="225"/>
      <c r="F770" s="9" t="s">
        <v>35</v>
      </c>
      <c r="G770" s="9"/>
      <c r="H770" s="43" t="s">
        <v>232</v>
      </c>
      <c r="I770" s="32" t="s">
        <v>3</v>
      </c>
      <c r="J770" s="8" t="s">
        <v>333</v>
      </c>
      <c r="K770" s="8" t="s">
        <v>349</v>
      </c>
      <c r="L770" s="53">
        <v>44319</v>
      </c>
      <c r="M770" s="8" t="s">
        <v>1638</v>
      </c>
      <c r="N770" s="8" t="s">
        <v>1637</v>
      </c>
      <c r="O770" s="8" t="s">
        <v>326</v>
      </c>
      <c r="P770" s="8"/>
      <c r="Q770" s="8"/>
      <c r="R770" s="10"/>
      <c r="S770" s="10"/>
    </row>
    <row r="771" spans="2:19" ht="14" outlineLevel="1">
      <c r="B771" s="225"/>
      <c r="C771" s="225"/>
      <c r="D771" s="225"/>
      <c r="E771" s="225"/>
      <c r="F771" s="9" t="s">
        <v>36</v>
      </c>
      <c r="G771" s="9"/>
      <c r="H771" s="43" t="s">
        <v>233</v>
      </c>
      <c r="I771" s="56" t="s">
        <v>1440</v>
      </c>
      <c r="J771" s="8" t="s">
        <v>333</v>
      </c>
      <c r="K771" s="8" t="s">
        <v>349</v>
      </c>
      <c r="L771" s="53">
        <v>44298</v>
      </c>
      <c r="M771" s="35" t="s">
        <v>714</v>
      </c>
      <c r="N771" s="35" t="s">
        <v>1439</v>
      </c>
      <c r="O771" s="8" t="s">
        <v>326</v>
      </c>
      <c r="P771" s="8"/>
      <c r="Q771" s="8"/>
      <c r="R771" s="10"/>
      <c r="S771" s="10"/>
    </row>
    <row r="772" spans="2:19" ht="14" outlineLevel="1">
      <c r="B772" s="225"/>
      <c r="C772" s="225"/>
      <c r="D772" s="225"/>
      <c r="E772" s="225"/>
      <c r="F772" s="9" t="s">
        <v>38</v>
      </c>
      <c r="G772" s="9"/>
      <c r="H772" s="33" t="s">
        <v>237</v>
      </c>
      <c r="I772" s="32"/>
      <c r="J772" s="8" t="s">
        <v>333</v>
      </c>
      <c r="K772" s="53">
        <v>44207</v>
      </c>
      <c r="L772" s="8"/>
      <c r="M772" s="8"/>
      <c r="N772" s="8"/>
      <c r="O772" s="8"/>
      <c r="P772" s="8"/>
      <c r="Q772" s="8"/>
      <c r="R772" s="10"/>
      <c r="S772" s="10" t="s">
        <v>329</v>
      </c>
    </row>
    <row r="773" spans="2:19" ht="14" outlineLevel="1">
      <c r="B773" s="225"/>
      <c r="C773" s="225"/>
      <c r="D773" s="225"/>
      <c r="E773" s="225"/>
      <c r="F773" s="9" t="s">
        <v>40</v>
      </c>
      <c r="G773" s="9"/>
      <c r="H773" s="33" t="s">
        <v>203</v>
      </c>
      <c r="I773" s="32"/>
      <c r="J773" s="8" t="s">
        <v>333</v>
      </c>
      <c r="K773" s="8"/>
      <c r="L773" s="8"/>
      <c r="M773" s="8"/>
      <c r="N773" s="8"/>
      <c r="O773" s="159"/>
      <c r="P773" s="8"/>
      <c r="Q773" s="8"/>
      <c r="R773" s="10"/>
      <c r="S773" s="10"/>
    </row>
    <row r="774" spans="2:19" ht="14" outlineLevel="1">
      <c r="B774" s="225"/>
      <c r="C774" s="225"/>
      <c r="D774" s="225"/>
      <c r="E774" s="225"/>
      <c r="F774" s="9"/>
      <c r="G774" s="9" t="s">
        <v>176</v>
      </c>
      <c r="H774" s="109" t="s">
        <v>2624</v>
      </c>
      <c r="I774" s="32"/>
      <c r="J774" s="8"/>
      <c r="K774" s="8"/>
      <c r="L774" s="8"/>
      <c r="M774" s="8"/>
      <c r="N774" s="8"/>
      <c r="O774" s="159"/>
      <c r="P774" s="8"/>
      <c r="Q774" s="8"/>
      <c r="R774" s="10"/>
      <c r="S774" s="10"/>
    </row>
    <row r="775" spans="2:19" ht="14" outlineLevel="1">
      <c r="B775" s="225"/>
      <c r="C775" s="225"/>
      <c r="D775" s="225"/>
      <c r="E775" s="225"/>
      <c r="F775" s="9"/>
      <c r="G775" s="9"/>
      <c r="H775" s="151" t="s">
        <v>2298</v>
      </c>
      <c r="I775" s="53" t="s">
        <v>349</v>
      </c>
      <c r="J775" s="8" t="s">
        <v>333</v>
      </c>
      <c r="K775" s="53" t="s">
        <v>349</v>
      </c>
      <c r="L775" s="53">
        <v>44473</v>
      </c>
      <c r="M775" s="53" t="s">
        <v>349</v>
      </c>
      <c r="N775" s="8" t="s">
        <v>2297</v>
      </c>
      <c r="O775" s="159" t="s">
        <v>326</v>
      </c>
      <c r="P775" s="8"/>
      <c r="Q775" s="8"/>
      <c r="R775" s="10"/>
      <c r="S775" s="10"/>
    </row>
    <row r="776" spans="2:19" ht="14" outlineLevel="1">
      <c r="B776" s="225"/>
      <c r="C776" s="225"/>
      <c r="D776" s="225"/>
      <c r="E776" s="225"/>
      <c r="F776" s="9"/>
      <c r="G776" s="9"/>
      <c r="H776" s="151" t="s">
        <v>2299</v>
      </c>
      <c r="I776" s="53" t="s">
        <v>349</v>
      </c>
      <c r="J776" s="8" t="s">
        <v>333</v>
      </c>
      <c r="K776" s="53" t="s">
        <v>349</v>
      </c>
      <c r="L776" s="53">
        <v>44473</v>
      </c>
      <c r="M776" s="53" t="s">
        <v>349</v>
      </c>
      <c r="N776" s="8" t="s">
        <v>2297</v>
      </c>
      <c r="O776" s="159" t="s">
        <v>326</v>
      </c>
      <c r="P776" s="8"/>
      <c r="Q776" s="8"/>
      <c r="R776" s="10"/>
      <c r="S776" s="10"/>
    </row>
    <row r="777" spans="2:19" ht="14" outlineLevel="1">
      <c r="B777" s="225"/>
      <c r="C777" s="225"/>
      <c r="D777" s="225"/>
      <c r="E777" s="225"/>
      <c r="F777" s="9"/>
      <c r="G777" s="9"/>
      <c r="H777" s="151" t="s">
        <v>247</v>
      </c>
      <c r="I777" s="53" t="s">
        <v>349</v>
      </c>
      <c r="J777" s="8" t="s">
        <v>333</v>
      </c>
      <c r="K777" s="53" t="s">
        <v>349</v>
      </c>
      <c r="L777" s="53">
        <v>44473</v>
      </c>
      <c r="M777" s="53" t="s">
        <v>349</v>
      </c>
      <c r="N777" s="8" t="s">
        <v>2297</v>
      </c>
      <c r="O777" s="159" t="s">
        <v>326</v>
      </c>
      <c r="P777" s="8"/>
      <c r="Q777" s="8"/>
      <c r="R777" s="10"/>
      <c r="S777" s="10"/>
    </row>
    <row r="778" spans="2:19" ht="14" outlineLevel="1">
      <c r="B778" s="225"/>
      <c r="C778" s="225"/>
      <c r="D778" s="225"/>
      <c r="E778" s="225"/>
      <c r="F778" s="9"/>
      <c r="G778" s="9" t="s">
        <v>177</v>
      </c>
      <c r="H778" s="109" t="s">
        <v>2625</v>
      </c>
      <c r="I778" s="55"/>
      <c r="J778" s="12"/>
      <c r="K778" s="55"/>
      <c r="L778" s="55"/>
      <c r="M778" s="55"/>
      <c r="N778" s="12"/>
      <c r="O778" s="12"/>
      <c r="P778" s="8"/>
      <c r="Q778" s="8"/>
      <c r="R778" s="10"/>
      <c r="S778" s="10"/>
    </row>
    <row r="779" spans="2:19" ht="14" outlineLevel="1">
      <c r="B779" s="225"/>
      <c r="C779" s="225"/>
      <c r="D779" s="225"/>
      <c r="E779" s="225"/>
      <c r="F779" s="9"/>
      <c r="G779" s="9"/>
      <c r="H779" s="168" t="s">
        <v>2713</v>
      </c>
      <c r="I779" s="53" t="s">
        <v>349</v>
      </c>
      <c r="J779" s="8" t="s">
        <v>333</v>
      </c>
      <c r="K779" s="55" t="s">
        <v>349</v>
      </c>
      <c r="L779" s="55">
        <v>44616</v>
      </c>
      <c r="M779" s="55" t="s">
        <v>349</v>
      </c>
      <c r="N779" s="12" t="s">
        <v>2716</v>
      </c>
      <c r="O779" s="12" t="s">
        <v>326</v>
      </c>
      <c r="P779" s="8"/>
      <c r="Q779" s="8"/>
      <c r="R779" s="10"/>
      <c r="S779" s="10"/>
    </row>
    <row r="780" spans="2:19" ht="14" outlineLevel="1">
      <c r="B780" s="225"/>
      <c r="C780" s="225"/>
      <c r="D780" s="225"/>
      <c r="E780" s="225"/>
      <c r="F780" s="9"/>
      <c r="G780" s="9"/>
      <c r="H780" s="168" t="s">
        <v>2714</v>
      </c>
      <c r="I780" s="53" t="s">
        <v>349</v>
      </c>
      <c r="J780" s="8" t="s">
        <v>333</v>
      </c>
      <c r="K780" s="55" t="s">
        <v>349</v>
      </c>
      <c r="L780" s="55">
        <v>44616</v>
      </c>
      <c r="M780" s="55" t="s">
        <v>349</v>
      </c>
      <c r="N780" s="12" t="s">
        <v>2716</v>
      </c>
      <c r="O780" s="12" t="s">
        <v>326</v>
      </c>
      <c r="P780" s="8"/>
      <c r="Q780" s="8"/>
      <c r="R780" s="10"/>
      <c r="S780" s="10"/>
    </row>
    <row r="781" spans="2:19" ht="14" outlineLevel="1">
      <c r="B781" s="225"/>
      <c r="C781" s="225"/>
      <c r="D781" s="225"/>
      <c r="E781" s="225"/>
      <c r="F781" s="9"/>
      <c r="G781" s="9"/>
      <c r="H781" s="168" t="s">
        <v>2715</v>
      </c>
      <c r="I781" s="53" t="s">
        <v>349</v>
      </c>
      <c r="J781" s="8" t="s">
        <v>333</v>
      </c>
      <c r="K781" s="55" t="s">
        <v>349</v>
      </c>
      <c r="L781" s="55">
        <v>44616</v>
      </c>
      <c r="M781" s="55" t="s">
        <v>349</v>
      </c>
      <c r="N781" s="12" t="s">
        <v>2716</v>
      </c>
      <c r="O781" s="12" t="s">
        <v>326</v>
      </c>
      <c r="P781" s="8"/>
      <c r="Q781" s="8"/>
      <c r="R781" s="10"/>
      <c r="S781" s="10"/>
    </row>
    <row r="782" spans="2:19" ht="14" outlineLevel="1">
      <c r="B782" s="225"/>
      <c r="C782" s="225"/>
      <c r="D782" s="225"/>
      <c r="E782" s="225"/>
      <c r="F782" s="9"/>
      <c r="G782" s="9" t="s">
        <v>181</v>
      </c>
      <c r="H782" s="109" t="s">
        <v>2626</v>
      </c>
      <c r="I782" s="53"/>
      <c r="J782" s="8"/>
      <c r="K782" s="55"/>
      <c r="L782" s="55"/>
      <c r="M782" s="55"/>
      <c r="N782" s="12"/>
      <c r="O782" s="174"/>
      <c r="P782" s="8"/>
      <c r="Q782" s="8"/>
      <c r="R782" s="10"/>
      <c r="S782" s="10"/>
    </row>
    <row r="783" spans="2:19" ht="14" outlineLevel="1">
      <c r="B783" s="225"/>
      <c r="C783" s="225"/>
      <c r="D783" s="225"/>
      <c r="E783" s="225"/>
      <c r="F783" s="9"/>
      <c r="G783" s="9"/>
      <c r="H783" s="168" t="s">
        <v>3371</v>
      </c>
      <c r="I783" s="53" t="s">
        <v>349</v>
      </c>
      <c r="J783" s="8" t="s">
        <v>333</v>
      </c>
      <c r="K783" s="55" t="s">
        <v>349</v>
      </c>
      <c r="L783" s="55">
        <v>44939</v>
      </c>
      <c r="M783" s="55" t="s">
        <v>349</v>
      </c>
      <c r="N783" s="12" t="s">
        <v>3370</v>
      </c>
      <c r="O783" s="12" t="s">
        <v>326</v>
      </c>
      <c r="P783" s="8"/>
      <c r="Q783" s="8"/>
      <c r="R783" s="10"/>
      <c r="S783" s="10"/>
    </row>
    <row r="784" spans="2:19" ht="14" outlineLevel="1">
      <c r="B784" s="225"/>
      <c r="C784" s="225"/>
      <c r="D784" s="225"/>
      <c r="E784" s="225"/>
      <c r="F784" s="9"/>
      <c r="G784" s="9"/>
      <c r="H784" s="168" t="s">
        <v>3372</v>
      </c>
      <c r="I784" s="53" t="s">
        <v>349</v>
      </c>
      <c r="J784" s="8" t="s">
        <v>333</v>
      </c>
      <c r="K784" s="55" t="s">
        <v>349</v>
      </c>
      <c r="L784" s="55">
        <v>44939</v>
      </c>
      <c r="M784" s="55" t="s">
        <v>349</v>
      </c>
      <c r="N784" s="12" t="s">
        <v>3370</v>
      </c>
      <c r="O784" s="12" t="s">
        <v>326</v>
      </c>
      <c r="P784" s="8"/>
      <c r="Q784" s="8"/>
      <c r="R784" s="10"/>
      <c r="S784" s="10"/>
    </row>
    <row r="785" spans="2:19" ht="14" outlineLevel="1">
      <c r="B785" s="225"/>
      <c r="C785" s="225"/>
      <c r="D785" s="225"/>
      <c r="E785" s="225"/>
      <c r="F785" s="9"/>
      <c r="G785" s="9"/>
      <c r="H785" s="168" t="s">
        <v>3373</v>
      </c>
      <c r="I785" s="53" t="s">
        <v>349</v>
      </c>
      <c r="J785" s="8" t="s">
        <v>333</v>
      </c>
      <c r="K785" s="55" t="s">
        <v>349</v>
      </c>
      <c r="L785" s="55">
        <v>44939</v>
      </c>
      <c r="M785" s="55" t="s">
        <v>349</v>
      </c>
      <c r="N785" s="12" t="s">
        <v>3370</v>
      </c>
      <c r="O785" s="12" t="s">
        <v>326</v>
      </c>
      <c r="P785" s="8"/>
      <c r="Q785" s="8"/>
      <c r="R785" s="10"/>
      <c r="S785" s="10"/>
    </row>
    <row r="786" spans="2:19" ht="14" outlineLevel="1">
      <c r="B786" s="225"/>
      <c r="C786" s="225"/>
      <c r="D786" s="225"/>
      <c r="E786" s="225"/>
      <c r="F786" s="9"/>
      <c r="G786" s="9"/>
      <c r="H786" s="168" t="s">
        <v>3377</v>
      </c>
      <c r="I786" s="53" t="s">
        <v>349</v>
      </c>
      <c r="J786" s="8" t="s">
        <v>333</v>
      </c>
      <c r="K786" s="55" t="s">
        <v>349</v>
      </c>
      <c r="L786" s="55">
        <v>44939</v>
      </c>
      <c r="M786" s="55" t="s">
        <v>349</v>
      </c>
      <c r="N786" s="12" t="s">
        <v>3370</v>
      </c>
      <c r="O786" s="12" t="s">
        <v>326</v>
      </c>
      <c r="P786" s="8"/>
      <c r="Q786" s="8"/>
      <c r="R786" s="10"/>
      <c r="S786" s="10"/>
    </row>
    <row r="787" spans="2:19" ht="14" outlineLevel="1">
      <c r="B787" s="225"/>
      <c r="C787" s="225"/>
      <c r="D787" s="225"/>
      <c r="E787" s="225"/>
      <c r="F787" s="9"/>
      <c r="G787" s="9" t="s">
        <v>183</v>
      </c>
      <c r="H787" s="109" t="s">
        <v>2627</v>
      </c>
      <c r="I787" s="53"/>
      <c r="J787" s="8"/>
      <c r="K787" s="55"/>
      <c r="L787" s="55"/>
      <c r="M787" s="55"/>
      <c r="N787" s="12"/>
      <c r="O787" s="174"/>
      <c r="P787" s="8"/>
      <c r="Q787" s="8"/>
      <c r="R787" s="10"/>
      <c r="S787" s="10"/>
    </row>
    <row r="788" spans="2:19" ht="14" outlineLevel="1">
      <c r="B788" s="225"/>
      <c r="C788" s="225"/>
      <c r="D788" s="225"/>
      <c r="E788" s="225"/>
      <c r="F788" s="9"/>
      <c r="G788" s="9"/>
      <c r="H788" s="168" t="s">
        <v>3578</v>
      </c>
      <c r="I788" s="53" t="s">
        <v>349</v>
      </c>
      <c r="J788" s="8" t="s">
        <v>333</v>
      </c>
      <c r="K788" s="55" t="s">
        <v>349</v>
      </c>
      <c r="L788" s="53">
        <v>44973</v>
      </c>
      <c r="M788" s="8" t="s">
        <v>50</v>
      </c>
      <c r="N788" s="8" t="s">
        <v>3587</v>
      </c>
      <c r="O788" s="8" t="s">
        <v>326</v>
      </c>
      <c r="P788" s="8"/>
      <c r="Q788" s="8"/>
      <c r="R788" s="10"/>
      <c r="S788" s="10"/>
    </row>
    <row r="789" spans="2:19" ht="14" outlineLevel="1">
      <c r="B789" s="225"/>
      <c r="C789" s="225"/>
      <c r="D789" s="225"/>
      <c r="E789" s="225"/>
      <c r="F789" s="9"/>
      <c r="G789" s="9"/>
      <c r="H789" s="168" t="s">
        <v>3616</v>
      </c>
      <c r="I789" s="53"/>
      <c r="J789" s="8" t="s">
        <v>333</v>
      </c>
      <c r="K789" s="55" t="s">
        <v>349</v>
      </c>
      <c r="L789" s="53">
        <v>44999</v>
      </c>
      <c r="M789" s="8" t="s">
        <v>50</v>
      </c>
      <c r="N789" s="8" t="s">
        <v>3619</v>
      </c>
      <c r="O789" s="8" t="s">
        <v>326</v>
      </c>
      <c r="P789" s="8"/>
      <c r="Q789" s="8"/>
      <c r="R789" s="10"/>
      <c r="S789" s="10"/>
    </row>
    <row r="790" spans="2:19" ht="14" outlineLevel="1">
      <c r="B790" s="225"/>
      <c r="C790" s="225"/>
      <c r="D790" s="225"/>
      <c r="E790" s="225"/>
      <c r="F790" s="9"/>
      <c r="G790" s="9"/>
      <c r="H790" s="168" t="s">
        <v>3579</v>
      </c>
      <c r="I790" s="53" t="s">
        <v>349</v>
      </c>
      <c r="J790" s="8" t="s">
        <v>333</v>
      </c>
      <c r="K790" s="55" t="s">
        <v>349</v>
      </c>
      <c r="L790" s="53">
        <v>44973</v>
      </c>
      <c r="M790" s="8" t="s">
        <v>50</v>
      </c>
      <c r="N790" s="8" t="s">
        <v>3587</v>
      </c>
      <c r="O790" s="8" t="s">
        <v>326</v>
      </c>
      <c r="P790" s="8"/>
      <c r="Q790" s="8"/>
      <c r="R790" s="10"/>
      <c r="S790" s="10"/>
    </row>
    <row r="791" spans="2:19" ht="14" outlineLevel="1">
      <c r="B791" s="225"/>
      <c r="C791" s="225"/>
      <c r="D791" s="225"/>
      <c r="E791" s="225"/>
      <c r="F791" s="9"/>
      <c r="G791" s="9"/>
      <c r="H791" s="168" t="s">
        <v>3580</v>
      </c>
      <c r="I791" s="53" t="s">
        <v>349</v>
      </c>
      <c r="J791" s="8" t="s">
        <v>333</v>
      </c>
      <c r="K791" s="55" t="s">
        <v>349</v>
      </c>
      <c r="L791" s="53">
        <v>44973</v>
      </c>
      <c r="M791" s="8" t="s">
        <v>50</v>
      </c>
      <c r="N791" s="8" t="s">
        <v>3587</v>
      </c>
      <c r="O791" s="8" t="s">
        <v>326</v>
      </c>
      <c r="P791" s="8"/>
      <c r="Q791" s="8"/>
      <c r="R791" s="10"/>
      <c r="S791" s="10"/>
    </row>
    <row r="792" spans="2:19" ht="14" outlineLevel="1">
      <c r="B792" s="225"/>
      <c r="C792" s="225"/>
      <c r="D792" s="225"/>
      <c r="E792" s="225"/>
      <c r="F792" s="9"/>
      <c r="G792" s="9"/>
      <c r="H792" s="168" t="s">
        <v>3617</v>
      </c>
      <c r="I792" s="53"/>
      <c r="J792" s="8" t="s">
        <v>333</v>
      </c>
      <c r="K792" s="55" t="s">
        <v>349</v>
      </c>
      <c r="L792" s="53">
        <v>44999</v>
      </c>
      <c r="M792" s="8" t="s">
        <v>50</v>
      </c>
      <c r="N792" s="8" t="s">
        <v>3619</v>
      </c>
      <c r="O792" s="8" t="s">
        <v>326</v>
      </c>
      <c r="P792" s="8"/>
      <c r="Q792" s="8"/>
      <c r="R792" s="10"/>
      <c r="S792" s="10"/>
    </row>
    <row r="793" spans="2:19" ht="14" outlineLevel="1">
      <c r="B793" s="225"/>
      <c r="C793" s="225"/>
      <c r="D793" s="225"/>
      <c r="E793" s="225"/>
      <c r="F793" s="9"/>
      <c r="G793" s="9"/>
      <c r="H793" s="168" t="s">
        <v>3581</v>
      </c>
      <c r="I793" s="53" t="s">
        <v>349</v>
      </c>
      <c r="J793" s="8" t="s">
        <v>333</v>
      </c>
      <c r="K793" s="55" t="s">
        <v>349</v>
      </c>
      <c r="L793" s="53">
        <v>44973</v>
      </c>
      <c r="M793" s="8" t="s">
        <v>50</v>
      </c>
      <c r="N793" s="8" t="s">
        <v>3587</v>
      </c>
      <c r="O793" s="8" t="s">
        <v>326</v>
      </c>
      <c r="P793" s="8"/>
      <c r="Q793" s="8"/>
      <c r="R793" s="10"/>
      <c r="S793" s="10"/>
    </row>
    <row r="794" spans="2:19" ht="14" outlineLevel="1">
      <c r="B794" s="225"/>
      <c r="C794" s="225"/>
      <c r="D794" s="225"/>
      <c r="E794" s="225"/>
      <c r="F794" s="9"/>
      <c r="G794" s="9" t="s">
        <v>184</v>
      </c>
      <c r="H794" s="109" t="s">
        <v>2628</v>
      </c>
      <c r="I794" s="53"/>
      <c r="J794" s="8"/>
      <c r="K794" s="55"/>
      <c r="L794" s="53"/>
      <c r="M794" s="8"/>
      <c r="N794" s="8"/>
      <c r="O794" s="159"/>
      <c r="P794" s="8"/>
      <c r="Q794" s="8"/>
      <c r="R794" s="10"/>
      <c r="S794" s="10"/>
    </row>
    <row r="795" spans="2:19" ht="14" outlineLevel="1">
      <c r="B795" s="225"/>
      <c r="C795" s="225"/>
      <c r="D795" s="225"/>
      <c r="E795" s="225"/>
      <c r="F795" s="9"/>
      <c r="G795" s="9"/>
      <c r="H795" s="169" t="s">
        <v>4222</v>
      </c>
      <c r="I795" s="53" t="s">
        <v>349</v>
      </c>
      <c r="J795" s="8" t="s">
        <v>333</v>
      </c>
      <c r="K795" s="55" t="s">
        <v>349</v>
      </c>
      <c r="L795" s="53">
        <v>45320</v>
      </c>
      <c r="M795" s="8" t="s">
        <v>50</v>
      </c>
      <c r="N795" s="35" t="s">
        <v>4218</v>
      </c>
      <c r="O795" s="8" t="s">
        <v>326</v>
      </c>
      <c r="P795" s="8"/>
      <c r="Q795" s="8"/>
      <c r="R795" s="10"/>
      <c r="S795" s="10"/>
    </row>
    <row r="796" spans="2:19" ht="14" outlineLevel="1">
      <c r="B796" s="225"/>
      <c r="C796" s="225"/>
      <c r="D796" s="225"/>
      <c r="E796" s="225"/>
      <c r="F796" s="9"/>
      <c r="G796" s="9"/>
      <c r="H796" s="169" t="s">
        <v>4223</v>
      </c>
      <c r="I796" s="53" t="s">
        <v>349</v>
      </c>
      <c r="J796" s="8" t="s">
        <v>333</v>
      </c>
      <c r="K796" s="55" t="s">
        <v>349</v>
      </c>
      <c r="L796" s="53">
        <v>45320</v>
      </c>
      <c r="M796" s="8" t="s">
        <v>50</v>
      </c>
      <c r="N796" s="35" t="s">
        <v>4218</v>
      </c>
      <c r="O796" s="8" t="s">
        <v>326</v>
      </c>
      <c r="P796" s="8"/>
      <c r="Q796" s="8"/>
      <c r="R796" s="10"/>
      <c r="S796" s="10"/>
    </row>
    <row r="797" spans="2:19" ht="14" outlineLevel="1">
      <c r="B797" s="225"/>
      <c r="C797" s="225"/>
      <c r="D797" s="225"/>
      <c r="E797" s="225"/>
      <c r="F797" s="9"/>
      <c r="G797" s="9"/>
      <c r="H797" s="169" t="s">
        <v>4224</v>
      </c>
      <c r="I797" s="53" t="s">
        <v>349</v>
      </c>
      <c r="J797" s="8" t="s">
        <v>333</v>
      </c>
      <c r="K797" s="55" t="s">
        <v>349</v>
      </c>
      <c r="L797" s="53">
        <v>45320</v>
      </c>
      <c r="M797" s="8" t="s">
        <v>50</v>
      </c>
      <c r="N797" s="35" t="s">
        <v>4218</v>
      </c>
      <c r="O797" s="8" t="s">
        <v>326</v>
      </c>
      <c r="P797" s="8"/>
      <c r="Q797" s="8"/>
      <c r="R797" s="10"/>
      <c r="S797" s="10"/>
    </row>
    <row r="798" spans="2:19" ht="14" outlineLevel="1">
      <c r="B798" s="225"/>
      <c r="C798" s="225"/>
      <c r="D798" s="225"/>
      <c r="E798" s="225"/>
      <c r="F798" s="9"/>
      <c r="G798" s="9"/>
      <c r="H798" s="169" t="s">
        <v>4225</v>
      </c>
      <c r="I798" s="53" t="s">
        <v>349</v>
      </c>
      <c r="J798" s="8" t="s">
        <v>333</v>
      </c>
      <c r="K798" s="55" t="s">
        <v>349</v>
      </c>
      <c r="L798" s="53">
        <v>45320</v>
      </c>
      <c r="M798" s="8" t="s">
        <v>50</v>
      </c>
      <c r="N798" s="35" t="s">
        <v>4218</v>
      </c>
      <c r="O798" s="8" t="s">
        <v>326</v>
      </c>
      <c r="P798" s="8"/>
      <c r="Q798" s="8"/>
      <c r="R798" s="10"/>
      <c r="S798" s="10"/>
    </row>
    <row r="799" spans="2:19" ht="14" outlineLevel="1">
      <c r="B799" s="225"/>
      <c r="C799" s="225"/>
      <c r="D799" s="225"/>
      <c r="E799" s="225"/>
      <c r="F799" s="9"/>
      <c r="G799" s="9"/>
      <c r="H799" s="169" t="s">
        <v>4226</v>
      </c>
      <c r="I799" s="53" t="s">
        <v>349</v>
      </c>
      <c r="J799" s="8" t="s">
        <v>333</v>
      </c>
      <c r="K799" s="55" t="s">
        <v>349</v>
      </c>
      <c r="L799" s="53">
        <v>45320</v>
      </c>
      <c r="M799" s="8" t="s">
        <v>50</v>
      </c>
      <c r="N799" s="35" t="s">
        <v>4218</v>
      </c>
      <c r="O799" s="8" t="s">
        <v>326</v>
      </c>
      <c r="P799" s="8"/>
      <c r="Q799" s="8"/>
      <c r="R799" s="10"/>
      <c r="S799" s="10"/>
    </row>
    <row r="800" spans="2:19" ht="14" outlineLevel="1">
      <c r="B800" s="225"/>
      <c r="C800" s="225"/>
      <c r="D800" s="225"/>
      <c r="E800" s="225"/>
      <c r="F800" s="9"/>
      <c r="G800" s="9"/>
      <c r="H800" s="169" t="s">
        <v>4227</v>
      </c>
      <c r="I800" s="53" t="s">
        <v>349</v>
      </c>
      <c r="J800" s="8" t="s">
        <v>333</v>
      </c>
      <c r="K800" s="55" t="s">
        <v>349</v>
      </c>
      <c r="L800" s="53">
        <v>45320</v>
      </c>
      <c r="M800" s="8" t="s">
        <v>50</v>
      </c>
      <c r="N800" s="35" t="s">
        <v>4218</v>
      </c>
      <c r="O800" s="8" t="s">
        <v>326</v>
      </c>
      <c r="P800" s="8"/>
      <c r="Q800" s="8"/>
      <c r="R800" s="10"/>
      <c r="S800" s="10"/>
    </row>
    <row r="801" spans="2:19" ht="14" outlineLevel="1">
      <c r="B801" s="225"/>
      <c r="C801" s="225"/>
      <c r="D801" s="225"/>
      <c r="E801" s="225"/>
      <c r="F801" s="9"/>
      <c r="G801" s="9"/>
      <c r="H801" s="169" t="s">
        <v>4228</v>
      </c>
      <c r="I801" s="53" t="s">
        <v>349</v>
      </c>
      <c r="J801" s="8" t="s">
        <v>333</v>
      </c>
      <c r="K801" s="55" t="s">
        <v>349</v>
      </c>
      <c r="L801" s="53">
        <v>45320</v>
      </c>
      <c r="M801" s="8" t="s">
        <v>50</v>
      </c>
      <c r="N801" s="35" t="s">
        <v>4218</v>
      </c>
      <c r="O801" s="8" t="s">
        <v>326</v>
      </c>
      <c r="P801" s="8"/>
      <c r="Q801" s="8"/>
      <c r="R801" s="10"/>
      <c r="S801" s="10"/>
    </row>
    <row r="802" spans="2:19" ht="14" outlineLevel="1">
      <c r="B802" s="225"/>
      <c r="C802" s="225"/>
      <c r="D802" s="225"/>
      <c r="E802" s="225"/>
      <c r="F802" s="9"/>
      <c r="G802" s="9"/>
      <c r="H802" s="169" t="s">
        <v>4229</v>
      </c>
      <c r="I802" s="53" t="s">
        <v>349</v>
      </c>
      <c r="J802" s="8" t="s">
        <v>333</v>
      </c>
      <c r="K802" s="55" t="s">
        <v>349</v>
      </c>
      <c r="L802" s="53">
        <v>45320</v>
      </c>
      <c r="M802" s="8" t="s">
        <v>50</v>
      </c>
      <c r="N802" s="35" t="s">
        <v>4218</v>
      </c>
      <c r="O802" s="8" t="s">
        <v>326</v>
      </c>
      <c r="P802" s="8"/>
      <c r="Q802" s="8"/>
      <c r="R802" s="10"/>
      <c r="S802" s="10"/>
    </row>
    <row r="803" spans="2:19" outlineLevel="1">
      <c r="B803" s="225"/>
      <c r="C803" s="225"/>
      <c r="D803" s="225"/>
      <c r="E803" s="225"/>
      <c r="F803" s="9"/>
      <c r="G803" s="9"/>
      <c r="H803" s="33"/>
      <c r="I803" s="32"/>
      <c r="J803" s="8"/>
      <c r="K803" s="8"/>
      <c r="L803" s="8"/>
      <c r="M803" s="8"/>
      <c r="N803" s="8"/>
      <c r="O803" s="159"/>
      <c r="P803" s="8"/>
      <c r="Q803" s="8"/>
      <c r="R803" s="10"/>
      <c r="S803" s="10"/>
    </row>
    <row r="804" spans="2:19" ht="14" outlineLevel="1">
      <c r="B804" s="225"/>
      <c r="C804" s="225"/>
      <c r="D804" s="225"/>
      <c r="E804" s="225"/>
      <c r="F804" s="9" t="s">
        <v>108</v>
      </c>
      <c r="G804" s="9"/>
      <c r="H804" s="65" t="s">
        <v>1384</v>
      </c>
      <c r="I804" s="32"/>
      <c r="J804" s="8"/>
      <c r="K804" s="8"/>
      <c r="L804" s="8"/>
      <c r="M804" s="8"/>
      <c r="N804" s="8"/>
      <c r="O804" s="159"/>
      <c r="P804" s="8"/>
      <c r="Q804" s="8"/>
      <c r="R804" s="10"/>
      <c r="S804" s="10"/>
    </row>
    <row r="805" spans="2:19" ht="14" outlineLevel="1">
      <c r="B805" s="225"/>
      <c r="C805" s="225"/>
      <c r="D805" s="225"/>
      <c r="E805" s="225"/>
      <c r="F805" s="9"/>
      <c r="G805" s="9"/>
      <c r="H805" s="147" t="s">
        <v>2173</v>
      </c>
      <c r="I805" s="53" t="s">
        <v>349</v>
      </c>
      <c r="J805" s="8" t="s">
        <v>333</v>
      </c>
      <c r="K805" s="53" t="s">
        <v>349</v>
      </c>
      <c r="L805" s="53">
        <v>44480</v>
      </c>
      <c r="M805" s="8" t="s">
        <v>2248</v>
      </c>
      <c r="N805" s="8" t="s">
        <v>2338</v>
      </c>
      <c r="O805" s="159" t="s">
        <v>326</v>
      </c>
      <c r="P805" s="8"/>
      <c r="Q805" s="8"/>
      <c r="R805" s="10"/>
      <c r="S805" s="10"/>
    </row>
    <row r="806" spans="2:19" ht="14" outlineLevel="1">
      <c r="B806" s="225"/>
      <c r="C806" s="225"/>
      <c r="D806" s="225"/>
      <c r="E806" s="225"/>
      <c r="F806" s="9"/>
      <c r="G806" s="9"/>
      <c r="H806" s="147" t="s">
        <v>2618</v>
      </c>
      <c r="I806" s="53" t="s">
        <v>349</v>
      </c>
      <c r="J806" s="8" t="s">
        <v>333</v>
      </c>
      <c r="K806" s="53" t="s">
        <v>349</v>
      </c>
      <c r="L806" s="53">
        <v>44480</v>
      </c>
      <c r="M806" s="8" t="s">
        <v>2337</v>
      </c>
      <c r="N806" s="8" t="s">
        <v>2338</v>
      </c>
      <c r="O806" s="159" t="s">
        <v>326</v>
      </c>
      <c r="P806" s="8"/>
      <c r="Q806" s="8"/>
      <c r="R806" s="10"/>
      <c r="S806" s="10"/>
    </row>
    <row r="807" spans="2:19" ht="14" outlineLevel="1">
      <c r="B807" s="225"/>
      <c r="C807" s="225"/>
      <c r="D807" s="225"/>
      <c r="E807" s="225"/>
      <c r="F807" s="9"/>
      <c r="G807" s="9"/>
      <c r="H807" s="147" t="s">
        <v>2619</v>
      </c>
      <c r="I807" s="53" t="s">
        <v>349</v>
      </c>
      <c r="J807" s="8" t="s">
        <v>333</v>
      </c>
      <c r="K807" s="53" t="s">
        <v>349</v>
      </c>
      <c r="L807" s="53">
        <v>44643</v>
      </c>
      <c r="M807" s="8" t="s">
        <v>2781</v>
      </c>
      <c r="N807" s="8" t="s">
        <v>2783</v>
      </c>
      <c r="O807" s="159" t="s">
        <v>326</v>
      </c>
      <c r="P807" s="8"/>
      <c r="Q807" s="8"/>
      <c r="R807" s="10"/>
      <c r="S807" s="10"/>
    </row>
    <row r="808" spans="2:19" ht="14" outlineLevel="1">
      <c r="B808" s="225"/>
      <c r="C808" s="225"/>
      <c r="D808" s="225"/>
      <c r="E808" s="225"/>
      <c r="F808" s="9"/>
      <c r="G808" s="9"/>
      <c r="H808" s="147" t="s">
        <v>2622</v>
      </c>
      <c r="I808" s="53" t="s">
        <v>349</v>
      </c>
      <c r="J808" s="8" t="s">
        <v>333</v>
      </c>
      <c r="K808" s="53" t="s">
        <v>349</v>
      </c>
      <c r="L808" s="53">
        <v>44939</v>
      </c>
      <c r="M808" s="53" t="s">
        <v>3378</v>
      </c>
      <c r="N808" s="8" t="s">
        <v>3370</v>
      </c>
      <c r="O808" s="159" t="s">
        <v>326</v>
      </c>
      <c r="P808" s="8"/>
      <c r="Q808" s="8"/>
      <c r="R808" s="10"/>
      <c r="S808" s="10"/>
    </row>
    <row r="809" spans="2:19" ht="14" outlineLevel="1">
      <c r="B809" s="225"/>
      <c r="C809" s="225"/>
      <c r="D809" s="225"/>
      <c r="E809" s="225"/>
      <c r="F809" s="9"/>
      <c r="G809" s="9"/>
      <c r="H809" s="147" t="s">
        <v>2623</v>
      </c>
      <c r="I809" s="53" t="s">
        <v>349</v>
      </c>
      <c r="J809" s="8" t="s">
        <v>333</v>
      </c>
      <c r="K809" s="53" t="s">
        <v>349</v>
      </c>
      <c r="L809" s="53">
        <v>45001</v>
      </c>
      <c r="M809" s="8" t="s">
        <v>3620</v>
      </c>
      <c r="N809" s="8" t="s">
        <v>3622</v>
      </c>
      <c r="O809" s="159" t="s">
        <v>326</v>
      </c>
      <c r="P809" s="8"/>
      <c r="Q809" s="8"/>
      <c r="R809" s="10"/>
      <c r="S809" s="10"/>
    </row>
    <row r="810" spans="2:19" ht="14" outlineLevel="1">
      <c r="B810" s="225"/>
      <c r="C810" s="225"/>
      <c r="D810" s="225"/>
      <c r="E810" s="225"/>
      <c r="F810" s="9"/>
      <c r="G810" s="9"/>
      <c r="H810" s="147" t="s">
        <v>3123</v>
      </c>
      <c r="I810" s="53" t="s">
        <v>349</v>
      </c>
      <c r="J810" s="8" t="s">
        <v>333</v>
      </c>
      <c r="K810" s="53" t="s">
        <v>349</v>
      </c>
      <c r="L810" s="53">
        <v>45320</v>
      </c>
      <c r="M810" s="8" t="s">
        <v>4219</v>
      </c>
      <c r="N810" s="35" t="s">
        <v>4218</v>
      </c>
      <c r="O810" s="8" t="s">
        <v>326</v>
      </c>
      <c r="P810" s="8"/>
      <c r="Q810" s="8"/>
      <c r="R810" s="10"/>
      <c r="S810" s="10"/>
    </row>
    <row r="811" spans="2:19" outlineLevel="1">
      <c r="B811" s="225"/>
      <c r="C811" s="225"/>
      <c r="D811" s="225"/>
      <c r="E811" s="225"/>
      <c r="F811" s="9"/>
      <c r="G811" s="9"/>
      <c r="H811" s="101"/>
      <c r="I811" s="53"/>
      <c r="J811" s="8"/>
      <c r="K811" s="53"/>
      <c r="L811" s="53"/>
      <c r="M811" s="8"/>
      <c r="N811" s="8"/>
      <c r="O811" s="159"/>
      <c r="P811" s="8"/>
      <c r="Q811" s="8"/>
      <c r="R811" s="10"/>
      <c r="S811" s="10"/>
    </row>
    <row r="812" spans="2:19" ht="14" outlineLevel="1">
      <c r="B812" s="225"/>
      <c r="C812" s="225"/>
      <c r="D812" s="225"/>
      <c r="E812" s="225"/>
      <c r="F812" s="9" t="s">
        <v>129</v>
      </c>
      <c r="G812" s="9"/>
      <c r="H812" s="4" t="s">
        <v>2251</v>
      </c>
      <c r="I812" s="53"/>
      <c r="J812" s="8"/>
      <c r="K812" s="53"/>
      <c r="L812" s="53"/>
      <c r="M812" s="53"/>
      <c r="N812" s="8"/>
      <c r="O812" s="159"/>
      <c r="P812" s="8"/>
      <c r="Q812" s="8"/>
      <c r="R812" s="10"/>
      <c r="S812" s="10"/>
    </row>
    <row r="813" spans="2:19" ht="14" outlineLevel="1">
      <c r="B813" s="225"/>
      <c r="C813" s="225"/>
      <c r="D813" s="225"/>
      <c r="E813" s="225"/>
      <c r="F813" s="9"/>
      <c r="G813" s="9"/>
      <c r="H813" s="101" t="s">
        <v>3374</v>
      </c>
      <c r="I813" s="53" t="s">
        <v>349</v>
      </c>
      <c r="J813" s="8" t="s">
        <v>333</v>
      </c>
      <c r="K813" s="53" t="s">
        <v>349</v>
      </c>
      <c r="L813" s="53">
        <v>44473</v>
      </c>
      <c r="M813" s="53" t="s">
        <v>349</v>
      </c>
      <c r="N813" s="8" t="s">
        <v>2297</v>
      </c>
      <c r="O813" s="159" t="s">
        <v>326</v>
      </c>
      <c r="P813" s="8"/>
      <c r="Q813" s="8"/>
      <c r="R813" s="10"/>
      <c r="S813" s="10"/>
    </row>
    <row r="814" spans="2:19" ht="14" outlineLevel="1">
      <c r="B814" s="225"/>
      <c r="C814" s="225"/>
      <c r="D814" s="225"/>
      <c r="E814" s="225"/>
      <c r="F814" s="9"/>
      <c r="G814" s="9"/>
      <c r="H814" s="101" t="s">
        <v>3375</v>
      </c>
      <c r="I814" s="53" t="s">
        <v>349</v>
      </c>
      <c r="J814" s="8" t="s">
        <v>333</v>
      </c>
      <c r="K814" s="53" t="s">
        <v>349</v>
      </c>
      <c r="L814" s="53">
        <v>44939</v>
      </c>
      <c r="M814" s="53" t="s">
        <v>349</v>
      </c>
      <c r="N814" s="8" t="s">
        <v>3370</v>
      </c>
      <c r="O814" s="159" t="s">
        <v>326</v>
      </c>
      <c r="P814" s="8"/>
      <c r="Q814" s="8"/>
      <c r="R814" s="10"/>
      <c r="S814" s="10"/>
    </row>
    <row r="815" spans="2:19" ht="14" outlineLevel="1">
      <c r="B815" s="225"/>
      <c r="C815" s="225"/>
      <c r="D815" s="225"/>
      <c r="E815" s="225"/>
      <c r="F815" s="9"/>
      <c r="G815" s="9"/>
      <c r="H815" s="101" t="s">
        <v>3376</v>
      </c>
      <c r="I815" s="53" t="s">
        <v>349</v>
      </c>
      <c r="J815" s="8" t="s">
        <v>333</v>
      </c>
      <c r="K815" s="53" t="s">
        <v>349</v>
      </c>
      <c r="L815" s="53">
        <v>44939</v>
      </c>
      <c r="M815" s="53" t="s">
        <v>349</v>
      </c>
      <c r="N815" s="8" t="s">
        <v>3370</v>
      </c>
      <c r="O815" s="159" t="s">
        <v>326</v>
      </c>
      <c r="P815" s="8"/>
      <c r="Q815" s="8"/>
      <c r="R815" s="10"/>
      <c r="S815" s="10"/>
    </row>
    <row r="816" spans="2:19" outlineLevel="1">
      <c r="B816" s="225"/>
      <c r="C816" s="225"/>
      <c r="D816" s="225"/>
      <c r="E816" s="225"/>
      <c r="F816" s="9"/>
      <c r="G816" s="9"/>
      <c r="H816" s="101"/>
      <c r="I816" s="53"/>
      <c r="J816" s="8"/>
      <c r="K816" s="53"/>
      <c r="L816" s="53"/>
      <c r="M816" s="53"/>
      <c r="N816" s="8"/>
      <c r="O816" s="159"/>
      <c r="P816" s="8"/>
      <c r="Q816" s="8"/>
      <c r="R816" s="10"/>
      <c r="S816" s="10"/>
    </row>
    <row r="817" spans="2:19" ht="14" outlineLevel="1">
      <c r="B817" s="225"/>
      <c r="C817" s="225"/>
      <c r="D817" s="225"/>
      <c r="E817" s="225"/>
      <c r="F817" s="9" t="s">
        <v>134</v>
      </c>
      <c r="G817" s="9"/>
      <c r="H817" s="4" t="s">
        <v>2534</v>
      </c>
      <c r="I817" s="32" t="s">
        <v>3</v>
      </c>
      <c r="J817" s="8" t="s">
        <v>333</v>
      </c>
      <c r="K817" s="53" t="s">
        <v>349</v>
      </c>
      <c r="L817" s="53">
        <v>44540</v>
      </c>
      <c r="M817" s="53" t="s">
        <v>2551</v>
      </c>
      <c r="N817" s="8" t="s">
        <v>2553</v>
      </c>
      <c r="O817" s="159" t="s">
        <v>326</v>
      </c>
      <c r="P817" s="8"/>
      <c r="Q817" s="8"/>
      <c r="R817" s="10"/>
      <c r="S817" s="10"/>
    </row>
    <row r="818" spans="2:19" outlineLevel="1">
      <c r="B818" s="225"/>
      <c r="C818" s="225"/>
      <c r="D818" s="225"/>
      <c r="E818" s="225"/>
      <c r="F818" s="9"/>
      <c r="G818" s="9"/>
      <c r="H818" s="4"/>
      <c r="I818" s="32"/>
      <c r="J818" s="8"/>
      <c r="K818" s="53"/>
      <c r="L818" s="53"/>
      <c r="M818" s="53"/>
      <c r="N818" s="8"/>
      <c r="O818" s="159"/>
      <c r="P818" s="8"/>
      <c r="Q818" s="8"/>
      <c r="R818" s="10"/>
      <c r="S818" s="10"/>
    </row>
    <row r="819" spans="2:19" ht="14" outlineLevel="1">
      <c r="B819" s="225"/>
      <c r="C819" s="225"/>
      <c r="D819" s="225"/>
      <c r="E819" s="225"/>
      <c r="F819" s="9" t="s">
        <v>135</v>
      </c>
      <c r="G819" s="9"/>
      <c r="H819" s="4" t="s">
        <v>3384</v>
      </c>
      <c r="I819" s="32"/>
      <c r="J819" s="8"/>
      <c r="K819" s="53"/>
      <c r="L819" s="53"/>
      <c r="M819" s="53"/>
      <c r="N819" s="8"/>
      <c r="O819" s="159"/>
      <c r="P819" s="8"/>
      <c r="Q819" s="8"/>
      <c r="R819" s="10"/>
      <c r="S819" s="10"/>
    </row>
    <row r="820" spans="2:19" ht="14" outlineLevel="1">
      <c r="B820" s="225"/>
      <c r="C820" s="225"/>
      <c r="D820" s="225"/>
      <c r="E820" s="225"/>
      <c r="F820" s="9"/>
      <c r="G820" s="9" t="s">
        <v>177</v>
      </c>
      <c r="H820" s="101" t="s">
        <v>3509</v>
      </c>
      <c r="I820" s="32" t="s">
        <v>917</v>
      </c>
      <c r="J820" s="8" t="s">
        <v>333</v>
      </c>
      <c r="K820" s="53" t="s">
        <v>349</v>
      </c>
      <c r="L820" s="53">
        <v>44957</v>
      </c>
      <c r="M820" s="53" t="s">
        <v>3510</v>
      </c>
      <c r="N820" s="8" t="s">
        <v>3511</v>
      </c>
      <c r="O820" s="159" t="s">
        <v>326</v>
      </c>
      <c r="P820" s="8"/>
      <c r="Q820" s="8"/>
      <c r="R820" s="10"/>
      <c r="S820" s="10"/>
    </row>
    <row r="821" spans="2:19" outlineLevel="1">
      <c r="B821" s="225"/>
      <c r="C821" s="225"/>
      <c r="D821" s="225"/>
      <c r="E821" s="225"/>
      <c r="F821" s="9"/>
      <c r="G821" s="9"/>
      <c r="H821" s="4"/>
      <c r="I821" s="32"/>
      <c r="J821" s="8"/>
      <c r="K821" s="53"/>
      <c r="L821" s="53"/>
      <c r="M821" s="53"/>
      <c r="N821" s="8"/>
      <c r="O821" s="159"/>
      <c r="P821" s="8"/>
      <c r="Q821" s="8"/>
      <c r="R821" s="10"/>
      <c r="S821" s="10"/>
    </row>
    <row r="822" spans="2:19" ht="14" outlineLevel="1">
      <c r="B822" s="225"/>
      <c r="C822" s="225"/>
      <c r="D822" s="225"/>
      <c r="E822" s="225"/>
      <c r="F822" s="9"/>
      <c r="G822" s="9" t="s">
        <v>181</v>
      </c>
      <c r="H822" s="101" t="s">
        <v>3374</v>
      </c>
      <c r="I822" s="32"/>
      <c r="J822" s="8"/>
      <c r="K822" s="53"/>
      <c r="L822" s="53"/>
      <c r="M822" s="53"/>
      <c r="N822" s="8"/>
      <c r="O822" s="159"/>
      <c r="P822" s="8"/>
      <c r="Q822" s="8"/>
      <c r="R822" s="10"/>
      <c r="S822" s="10"/>
    </row>
    <row r="823" spans="2:19" ht="14" outlineLevel="1">
      <c r="B823" s="225"/>
      <c r="C823" s="225"/>
      <c r="D823" s="225"/>
      <c r="E823" s="225"/>
      <c r="F823" s="9"/>
      <c r="G823" s="9"/>
      <c r="H823" s="175" t="s">
        <v>3385</v>
      </c>
      <c r="I823" s="53" t="s">
        <v>349</v>
      </c>
      <c r="J823" s="8" t="s">
        <v>333</v>
      </c>
      <c r="K823" s="53" t="s">
        <v>349</v>
      </c>
      <c r="L823" s="53">
        <v>44939</v>
      </c>
      <c r="M823" s="53" t="s">
        <v>349</v>
      </c>
      <c r="N823" s="8" t="s">
        <v>3389</v>
      </c>
      <c r="O823" s="159" t="s">
        <v>326</v>
      </c>
      <c r="P823" s="8"/>
      <c r="Q823" s="8"/>
      <c r="R823" s="10"/>
      <c r="S823" s="10"/>
    </row>
    <row r="824" spans="2:19" ht="14" outlineLevel="1">
      <c r="B824" s="225"/>
      <c r="C824" s="225"/>
      <c r="D824" s="225"/>
      <c r="E824" s="225"/>
      <c r="F824" s="9"/>
      <c r="G824" s="9"/>
      <c r="H824" s="169" t="s">
        <v>3386</v>
      </c>
      <c r="I824" s="53" t="s">
        <v>349</v>
      </c>
      <c r="J824" s="8" t="s">
        <v>333</v>
      </c>
      <c r="K824" s="53" t="s">
        <v>349</v>
      </c>
      <c r="L824" s="53">
        <v>44939</v>
      </c>
      <c r="M824" s="53" t="s">
        <v>349</v>
      </c>
      <c r="N824" s="8" t="s">
        <v>3389</v>
      </c>
      <c r="O824" s="159" t="s">
        <v>326</v>
      </c>
      <c r="P824" s="8"/>
      <c r="Q824" s="8"/>
      <c r="R824" s="10"/>
      <c r="S824" s="10"/>
    </row>
    <row r="825" spans="2:19" ht="14" outlineLevel="1">
      <c r="B825" s="225"/>
      <c r="C825" s="225"/>
      <c r="D825" s="225"/>
      <c r="E825" s="225"/>
      <c r="F825" s="9"/>
      <c r="G825" s="9"/>
      <c r="H825" s="169" t="s">
        <v>3387</v>
      </c>
      <c r="I825" s="53" t="s">
        <v>349</v>
      </c>
      <c r="J825" s="8" t="s">
        <v>333</v>
      </c>
      <c r="K825" s="53" t="s">
        <v>349</v>
      </c>
      <c r="L825" s="53">
        <v>44939</v>
      </c>
      <c r="M825" s="53" t="s">
        <v>349</v>
      </c>
      <c r="N825" s="8" t="s">
        <v>3389</v>
      </c>
      <c r="O825" s="159" t="s">
        <v>326</v>
      </c>
      <c r="P825" s="8"/>
      <c r="Q825" s="8"/>
      <c r="R825" s="10"/>
      <c r="S825" s="10"/>
    </row>
    <row r="826" spans="2:19" ht="14" outlineLevel="1">
      <c r="B826" s="225"/>
      <c r="C826" s="225"/>
      <c r="D826" s="225"/>
      <c r="E826" s="225"/>
      <c r="F826" s="9"/>
      <c r="G826" s="9"/>
      <c r="H826" s="169" t="s">
        <v>3388</v>
      </c>
      <c r="I826" s="53" t="s">
        <v>349</v>
      </c>
      <c r="J826" s="8" t="s">
        <v>333</v>
      </c>
      <c r="K826" s="53" t="s">
        <v>349</v>
      </c>
      <c r="L826" s="53">
        <v>44939</v>
      </c>
      <c r="M826" s="53" t="s">
        <v>349</v>
      </c>
      <c r="N826" s="8" t="s">
        <v>3389</v>
      </c>
      <c r="O826" s="159" t="s">
        <v>326</v>
      </c>
      <c r="P826" s="8"/>
      <c r="Q826" s="8"/>
      <c r="R826" s="10"/>
      <c r="S826" s="10"/>
    </row>
    <row r="827" spans="2:19" ht="14" outlineLevel="1">
      <c r="B827" s="225"/>
      <c r="C827" s="225"/>
      <c r="D827" s="225"/>
      <c r="E827" s="225"/>
      <c r="F827" s="9"/>
      <c r="G827" s="9"/>
      <c r="H827" s="169" t="s">
        <v>3531</v>
      </c>
      <c r="I827" s="53" t="s">
        <v>349</v>
      </c>
      <c r="J827" s="8" t="s">
        <v>333</v>
      </c>
      <c r="K827" s="53" t="s">
        <v>349</v>
      </c>
      <c r="L827" s="53">
        <v>44972</v>
      </c>
      <c r="M827" s="53" t="s">
        <v>349</v>
      </c>
      <c r="N827" s="8" t="s">
        <v>3532</v>
      </c>
      <c r="O827" s="159" t="s">
        <v>326</v>
      </c>
      <c r="P827" s="8"/>
      <c r="Q827" s="8"/>
      <c r="R827" s="10"/>
      <c r="S827" s="10"/>
    </row>
    <row r="828" spans="2:19" outlineLevel="1">
      <c r="B828" s="225"/>
      <c r="C828" s="225"/>
      <c r="D828" s="225"/>
      <c r="E828" s="225"/>
      <c r="F828" s="9"/>
      <c r="G828" s="9"/>
      <c r="H828" s="169"/>
      <c r="I828" s="53"/>
      <c r="J828" s="8"/>
      <c r="K828" s="53"/>
      <c r="L828" s="53"/>
      <c r="M828" s="53"/>
      <c r="N828" s="8"/>
      <c r="O828" s="159"/>
      <c r="P828" s="8"/>
      <c r="Q828" s="8"/>
      <c r="R828" s="10"/>
      <c r="S828" s="10"/>
    </row>
    <row r="829" spans="2:19" ht="14" outlineLevel="1">
      <c r="B829" s="225"/>
      <c r="C829" s="225"/>
      <c r="D829" s="225"/>
      <c r="E829" s="225"/>
      <c r="F829" s="9"/>
      <c r="G829" s="9" t="s">
        <v>183</v>
      </c>
      <c r="H829" s="101" t="s">
        <v>3375</v>
      </c>
      <c r="I829" s="53"/>
      <c r="J829" s="8"/>
      <c r="K829" s="53"/>
      <c r="L829" s="53"/>
      <c r="M829" s="53"/>
      <c r="N829" s="8"/>
      <c r="O829" s="159"/>
      <c r="P829" s="8"/>
      <c r="Q829" s="8"/>
      <c r="R829" s="10"/>
      <c r="S829" s="10"/>
    </row>
    <row r="830" spans="2:19" ht="14" outlineLevel="1">
      <c r="B830" s="225"/>
      <c r="C830" s="225"/>
      <c r="D830" s="225"/>
      <c r="E830" s="225"/>
      <c r="F830" s="9"/>
      <c r="G830" s="9"/>
      <c r="H830" s="175" t="s">
        <v>3533</v>
      </c>
      <c r="I830" s="53" t="s">
        <v>349</v>
      </c>
      <c r="J830" s="8" t="s">
        <v>333</v>
      </c>
      <c r="K830" s="53" t="s">
        <v>349</v>
      </c>
      <c r="L830" s="53">
        <v>44972</v>
      </c>
      <c r="M830" s="53" t="s">
        <v>349</v>
      </c>
      <c r="N830" s="8" t="s">
        <v>3532</v>
      </c>
      <c r="O830" s="159" t="s">
        <v>326</v>
      </c>
      <c r="P830" s="8"/>
      <c r="Q830" s="8"/>
      <c r="R830" s="10"/>
      <c r="S830" s="10"/>
    </row>
    <row r="831" spans="2:19" ht="14" outlineLevel="1">
      <c r="B831" s="225"/>
      <c r="C831" s="225"/>
      <c r="D831" s="225"/>
      <c r="E831" s="225"/>
      <c r="F831" s="9"/>
      <c r="G831" s="9"/>
      <c r="H831" s="169" t="s">
        <v>3534</v>
      </c>
      <c r="I831" s="53" t="s">
        <v>349</v>
      </c>
      <c r="J831" s="8" t="s">
        <v>333</v>
      </c>
      <c r="K831" s="53" t="s">
        <v>349</v>
      </c>
      <c r="L831" s="53">
        <v>44972</v>
      </c>
      <c r="M831" s="53" t="s">
        <v>349</v>
      </c>
      <c r="N831" s="8" t="s">
        <v>3532</v>
      </c>
      <c r="O831" s="159" t="s">
        <v>326</v>
      </c>
      <c r="P831" s="8"/>
      <c r="Q831" s="8"/>
      <c r="R831" s="10"/>
      <c r="S831" s="10"/>
    </row>
    <row r="832" spans="2:19" outlineLevel="1">
      <c r="B832" s="225"/>
      <c r="C832" s="225"/>
      <c r="D832" s="225"/>
      <c r="E832" s="225"/>
      <c r="F832" s="9"/>
      <c r="G832" s="9"/>
      <c r="H832" s="169"/>
      <c r="I832" s="53"/>
      <c r="J832" s="8"/>
      <c r="K832" s="53"/>
      <c r="L832" s="53"/>
      <c r="M832" s="53"/>
      <c r="N832" s="8"/>
      <c r="O832" s="159"/>
      <c r="P832" s="8"/>
      <c r="Q832" s="8"/>
      <c r="R832" s="10"/>
      <c r="S832" s="10"/>
    </row>
    <row r="833" spans="2:19" ht="14" outlineLevel="1">
      <c r="B833" s="225"/>
      <c r="C833" s="225"/>
      <c r="D833" s="225"/>
      <c r="E833" s="225"/>
      <c r="F833" s="9"/>
      <c r="G833" s="9" t="s">
        <v>184</v>
      </c>
      <c r="H833" s="101" t="s">
        <v>3376</v>
      </c>
      <c r="I833" s="53"/>
      <c r="J833" s="8"/>
      <c r="K833" s="53"/>
      <c r="L833" s="53"/>
      <c r="M833" s="53"/>
      <c r="N833" s="8"/>
      <c r="O833" s="159"/>
      <c r="P833" s="8"/>
      <c r="Q833" s="8"/>
      <c r="R833" s="10"/>
      <c r="S833" s="10"/>
    </row>
    <row r="834" spans="2:19" ht="14" outlineLevel="1">
      <c r="B834" s="225"/>
      <c r="C834" s="225"/>
      <c r="D834" s="225"/>
      <c r="E834" s="225"/>
      <c r="F834" s="9"/>
      <c r="G834" s="9"/>
      <c r="H834" s="175" t="s">
        <v>3535</v>
      </c>
      <c r="I834" s="53" t="s">
        <v>349</v>
      </c>
      <c r="J834" s="8" t="s">
        <v>333</v>
      </c>
      <c r="K834" s="53" t="s">
        <v>349</v>
      </c>
      <c r="L834" s="53">
        <v>44972</v>
      </c>
      <c r="M834" s="53" t="s">
        <v>349</v>
      </c>
      <c r="N834" s="8" t="s">
        <v>3532</v>
      </c>
      <c r="O834" s="159" t="s">
        <v>326</v>
      </c>
      <c r="P834" s="8"/>
      <c r="Q834" s="8"/>
      <c r="R834" s="10"/>
      <c r="S834" s="10"/>
    </row>
    <row r="835" spans="2:19" ht="14" outlineLevel="1">
      <c r="B835" s="225"/>
      <c r="C835" s="225"/>
      <c r="D835" s="225"/>
      <c r="E835" s="225"/>
      <c r="F835" s="9"/>
      <c r="G835" s="9"/>
      <c r="H835" s="169" t="s">
        <v>3536</v>
      </c>
      <c r="I835" s="53" t="s">
        <v>349</v>
      </c>
      <c r="J835" s="8" t="s">
        <v>333</v>
      </c>
      <c r="K835" s="53" t="s">
        <v>349</v>
      </c>
      <c r="L835" s="53">
        <v>44972</v>
      </c>
      <c r="M835" s="53" t="s">
        <v>349</v>
      </c>
      <c r="N835" s="8" t="s">
        <v>3532</v>
      </c>
      <c r="O835" s="159" t="s">
        <v>326</v>
      </c>
      <c r="P835" s="8"/>
      <c r="Q835" s="8"/>
      <c r="R835" s="10"/>
      <c r="S835" s="10"/>
    </row>
    <row r="836" spans="2:19" outlineLevel="1">
      <c r="B836" s="225"/>
      <c r="C836" s="225"/>
      <c r="D836" s="225"/>
      <c r="E836" s="225"/>
      <c r="F836" s="9"/>
      <c r="G836" s="9"/>
      <c r="H836" s="169"/>
      <c r="I836" s="53"/>
      <c r="J836" s="8"/>
      <c r="K836" s="53"/>
      <c r="L836" s="53"/>
      <c r="M836" s="53"/>
      <c r="N836" s="8"/>
      <c r="O836" s="159"/>
      <c r="P836" s="8"/>
      <c r="Q836" s="8"/>
      <c r="R836" s="10"/>
      <c r="S836" s="10"/>
    </row>
    <row r="837" spans="2:19" ht="14" outlineLevel="1">
      <c r="B837" s="225"/>
      <c r="C837" s="225"/>
      <c r="D837" s="225"/>
      <c r="E837" s="225"/>
      <c r="F837" s="9"/>
      <c r="G837" s="9" t="s">
        <v>386</v>
      </c>
      <c r="H837" s="101" t="s">
        <v>3537</v>
      </c>
      <c r="I837" s="53"/>
      <c r="J837" s="8"/>
      <c r="K837" s="53"/>
      <c r="L837" s="53"/>
      <c r="M837" s="53"/>
      <c r="N837" s="8"/>
      <c r="O837" s="159"/>
      <c r="P837" s="8"/>
      <c r="Q837" s="8"/>
      <c r="R837" s="10"/>
      <c r="S837" s="10"/>
    </row>
    <row r="838" spans="2:19" ht="14" outlineLevel="1">
      <c r="B838" s="225"/>
      <c r="C838" s="225"/>
      <c r="D838" s="225"/>
      <c r="E838" s="225"/>
      <c r="F838" s="9"/>
      <c r="G838" s="9"/>
      <c r="H838" s="175" t="s">
        <v>3538</v>
      </c>
      <c r="I838" s="53" t="s">
        <v>349</v>
      </c>
      <c r="J838" s="8" t="s">
        <v>333</v>
      </c>
      <c r="K838" s="53" t="s">
        <v>349</v>
      </c>
      <c r="L838" s="53">
        <v>44972</v>
      </c>
      <c r="M838" s="53" t="s">
        <v>349</v>
      </c>
      <c r="N838" s="8" t="s">
        <v>3532</v>
      </c>
      <c r="O838" s="159" t="s">
        <v>326</v>
      </c>
      <c r="P838" s="8"/>
      <c r="Q838" s="8"/>
      <c r="R838" s="10"/>
      <c r="S838" s="10"/>
    </row>
    <row r="839" spans="2:19" ht="14" outlineLevel="1">
      <c r="B839" s="225"/>
      <c r="C839" s="225"/>
      <c r="D839" s="225"/>
      <c r="E839" s="225"/>
      <c r="F839" s="9"/>
      <c r="G839" s="9"/>
      <c r="H839" s="169" t="s">
        <v>3539</v>
      </c>
      <c r="I839" s="53" t="s">
        <v>349</v>
      </c>
      <c r="J839" s="8" t="s">
        <v>333</v>
      </c>
      <c r="K839" s="53" t="s">
        <v>349</v>
      </c>
      <c r="L839" s="53">
        <v>44972</v>
      </c>
      <c r="M839" s="53" t="s">
        <v>349</v>
      </c>
      <c r="N839" s="8" t="s">
        <v>3532</v>
      </c>
      <c r="O839" s="159" t="s">
        <v>326</v>
      </c>
      <c r="P839" s="8"/>
      <c r="Q839" s="8"/>
      <c r="R839" s="10"/>
      <c r="S839" s="10"/>
    </row>
    <row r="840" spans="2:19" outlineLevel="1">
      <c r="B840" s="225"/>
      <c r="C840" s="225"/>
      <c r="D840" s="225"/>
      <c r="E840" s="225"/>
      <c r="F840" s="9"/>
      <c r="G840" s="9"/>
      <c r="H840" s="169"/>
      <c r="I840" s="53"/>
      <c r="J840" s="8"/>
      <c r="K840" s="53"/>
      <c r="L840" s="53"/>
      <c r="M840" s="53"/>
      <c r="N840" s="8"/>
      <c r="O840" s="159"/>
      <c r="P840" s="8"/>
      <c r="Q840" s="8"/>
      <c r="R840" s="10"/>
      <c r="S840" s="10"/>
    </row>
    <row r="841" spans="2:19" ht="14" outlineLevel="1">
      <c r="B841" s="225"/>
      <c r="C841" s="225"/>
      <c r="D841" s="225"/>
      <c r="E841" s="225"/>
      <c r="F841" s="9"/>
      <c r="G841" s="9" t="s">
        <v>935</v>
      </c>
      <c r="H841" s="101" t="s">
        <v>4164</v>
      </c>
      <c r="I841" s="53"/>
      <c r="J841" s="8"/>
      <c r="K841" s="53"/>
      <c r="L841" s="53"/>
      <c r="M841" s="53"/>
      <c r="N841" s="8"/>
      <c r="O841" s="159"/>
      <c r="P841" s="8"/>
      <c r="Q841" s="8"/>
      <c r="R841" s="10"/>
      <c r="S841" s="10"/>
    </row>
    <row r="842" spans="2:19" ht="14" outlineLevel="1">
      <c r="B842" s="225"/>
      <c r="C842" s="225"/>
      <c r="D842" s="225"/>
      <c r="E842" s="225"/>
      <c r="F842" s="9"/>
      <c r="G842" s="9"/>
      <c r="H842" s="175" t="s">
        <v>4172</v>
      </c>
      <c r="I842" s="53" t="s">
        <v>349</v>
      </c>
      <c r="J842" s="8" t="s">
        <v>332</v>
      </c>
      <c r="K842" s="53" t="s">
        <v>349</v>
      </c>
      <c r="L842" s="53">
        <v>45271</v>
      </c>
      <c r="M842" s="53" t="s">
        <v>349</v>
      </c>
      <c r="N842" s="8" t="s">
        <v>4170</v>
      </c>
      <c r="O842" s="159" t="s">
        <v>326</v>
      </c>
      <c r="P842" s="8"/>
      <c r="Q842" s="8"/>
      <c r="R842" s="10"/>
      <c r="S842" s="10"/>
    </row>
    <row r="843" spans="2:19" ht="14" outlineLevel="1">
      <c r="B843" s="225"/>
      <c r="C843" s="225"/>
      <c r="D843" s="225"/>
      <c r="E843" s="225"/>
      <c r="F843" s="9"/>
      <c r="G843" s="9"/>
      <c r="H843" s="169" t="s">
        <v>4171</v>
      </c>
      <c r="I843" s="53" t="s">
        <v>349</v>
      </c>
      <c r="J843" s="8" t="s">
        <v>332</v>
      </c>
      <c r="K843" s="53" t="s">
        <v>349</v>
      </c>
      <c r="L843" s="53">
        <v>45271</v>
      </c>
      <c r="M843" s="53" t="s">
        <v>349</v>
      </c>
      <c r="N843" s="8" t="s">
        <v>4170</v>
      </c>
      <c r="O843" s="159" t="s">
        <v>326</v>
      </c>
      <c r="P843" s="8"/>
      <c r="Q843" s="8"/>
      <c r="R843" s="10"/>
      <c r="S843" s="10"/>
    </row>
    <row r="844" spans="2:19" ht="14" outlineLevel="1">
      <c r="B844" s="225"/>
      <c r="C844" s="225"/>
      <c r="D844" s="225"/>
      <c r="E844" s="225"/>
      <c r="F844" s="9"/>
      <c r="G844" s="9"/>
      <c r="H844" s="169" t="s">
        <v>4173</v>
      </c>
      <c r="I844" s="53" t="s">
        <v>349</v>
      </c>
      <c r="J844" s="8" t="s">
        <v>332</v>
      </c>
      <c r="K844" s="53" t="s">
        <v>349</v>
      </c>
      <c r="L844" s="53">
        <v>45271</v>
      </c>
      <c r="M844" s="53" t="s">
        <v>349</v>
      </c>
      <c r="N844" s="8" t="s">
        <v>4170</v>
      </c>
      <c r="O844" s="159" t="s">
        <v>326</v>
      </c>
      <c r="P844" s="8"/>
      <c r="Q844" s="8"/>
      <c r="R844" s="10"/>
      <c r="S844" s="10"/>
    </row>
    <row r="845" spans="2:19" ht="14" outlineLevel="1">
      <c r="B845" s="225"/>
      <c r="C845" s="225"/>
      <c r="D845" s="225"/>
      <c r="E845" s="225"/>
      <c r="F845" s="9"/>
      <c r="G845" s="9"/>
      <c r="H845" s="169" t="s">
        <v>4174</v>
      </c>
      <c r="I845" s="53" t="s">
        <v>349</v>
      </c>
      <c r="J845" s="8" t="s">
        <v>332</v>
      </c>
      <c r="K845" s="53" t="s">
        <v>349</v>
      </c>
      <c r="L845" s="53">
        <v>45271</v>
      </c>
      <c r="M845" s="53" t="s">
        <v>349</v>
      </c>
      <c r="N845" s="8" t="s">
        <v>4170</v>
      </c>
      <c r="O845" s="159" t="s">
        <v>326</v>
      </c>
      <c r="P845" s="8"/>
      <c r="Q845" s="8"/>
      <c r="R845" s="10"/>
      <c r="S845" s="10"/>
    </row>
    <row r="846" spans="2:19" ht="14" outlineLevel="1">
      <c r="B846" s="225"/>
      <c r="C846" s="225"/>
      <c r="D846" s="225"/>
      <c r="E846" s="225"/>
      <c r="F846" s="9"/>
      <c r="G846" s="9"/>
      <c r="H846" s="169" t="s">
        <v>4175</v>
      </c>
      <c r="I846" s="53" t="s">
        <v>349</v>
      </c>
      <c r="J846" s="8" t="s">
        <v>332</v>
      </c>
      <c r="K846" s="53" t="s">
        <v>349</v>
      </c>
      <c r="L846" s="53">
        <v>45271</v>
      </c>
      <c r="M846" s="53" t="s">
        <v>349</v>
      </c>
      <c r="N846" s="8" t="s">
        <v>4170</v>
      </c>
      <c r="O846" s="159" t="s">
        <v>326</v>
      </c>
      <c r="P846" s="8"/>
      <c r="Q846" s="8"/>
      <c r="R846" s="10"/>
      <c r="S846" s="10"/>
    </row>
    <row r="847" spans="2:19" outlineLevel="1">
      <c r="B847" s="225"/>
      <c r="C847" s="225"/>
      <c r="D847" s="225"/>
      <c r="E847" s="225"/>
      <c r="F847" s="9"/>
      <c r="G847" s="9"/>
      <c r="H847" s="169"/>
      <c r="I847" s="53"/>
      <c r="J847" s="8"/>
      <c r="K847" s="53"/>
      <c r="L847" s="53"/>
      <c r="M847" s="53"/>
      <c r="N847" s="8"/>
      <c r="O847" s="159"/>
      <c r="P847" s="8"/>
      <c r="Q847" s="8"/>
      <c r="R847" s="10"/>
      <c r="S847" s="10"/>
    </row>
    <row r="848" spans="2:19" ht="14" outlineLevel="1">
      <c r="B848" s="225"/>
      <c r="C848" s="225"/>
      <c r="D848" s="225"/>
      <c r="E848" s="225"/>
      <c r="F848" s="9" t="s">
        <v>204</v>
      </c>
      <c r="G848" s="9"/>
      <c r="H848" s="4" t="s">
        <v>3762</v>
      </c>
      <c r="I848" s="53"/>
      <c r="J848" s="8"/>
      <c r="K848" s="53"/>
      <c r="L848" s="53"/>
      <c r="M848" s="53"/>
      <c r="N848" s="8"/>
      <c r="O848" s="159"/>
      <c r="P848" s="8"/>
      <c r="Q848" s="8"/>
      <c r="R848" s="10"/>
      <c r="S848" s="10"/>
    </row>
    <row r="849" spans="2:19" ht="14" outlineLevel="1">
      <c r="B849" s="225"/>
      <c r="C849" s="225"/>
      <c r="D849" s="225"/>
      <c r="E849" s="225"/>
      <c r="F849" s="9"/>
      <c r="G849" s="9" t="s">
        <v>177</v>
      </c>
      <c r="H849" s="101" t="s">
        <v>3509</v>
      </c>
      <c r="I849" s="32" t="s">
        <v>512</v>
      </c>
      <c r="J849" s="8" t="s">
        <v>332</v>
      </c>
      <c r="K849" s="53" t="s">
        <v>349</v>
      </c>
      <c r="L849" s="53">
        <v>45063</v>
      </c>
      <c r="M849" s="53" t="s">
        <v>3763</v>
      </c>
      <c r="N849" s="8" t="s">
        <v>3764</v>
      </c>
      <c r="O849" s="159" t="s">
        <v>326</v>
      </c>
      <c r="P849" s="8"/>
      <c r="Q849" s="8"/>
      <c r="R849" s="10"/>
      <c r="S849" s="10"/>
    </row>
    <row r="850" spans="2:19" ht="14" outlineLevel="1">
      <c r="B850" s="225"/>
      <c r="C850" s="225"/>
      <c r="D850" s="225"/>
      <c r="E850" s="225"/>
      <c r="F850" s="9"/>
      <c r="G850" s="9" t="s">
        <v>181</v>
      </c>
      <c r="H850" s="101" t="s">
        <v>4165</v>
      </c>
      <c r="I850" s="32"/>
      <c r="J850" s="8"/>
      <c r="K850" s="53"/>
      <c r="L850" s="53"/>
      <c r="M850" s="53"/>
      <c r="N850" s="8"/>
      <c r="O850" s="159"/>
      <c r="P850" s="8"/>
      <c r="Q850" s="8"/>
      <c r="R850" s="10"/>
      <c r="S850" s="10"/>
    </row>
    <row r="851" spans="2:19" ht="14" outlineLevel="1">
      <c r="B851" s="225"/>
      <c r="C851" s="225"/>
      <c r="D851" s="225"/>
      <c r="E851" s="225"/>
      <c r="F851" s="9"/>
      <c r="G851" s="9" t="s">
        <v>183</v>
      </c>
      <c r="H851" s="101" t="s">
        <v>4166</v>
      </c>
      <c r="I851" s="32"/>
      <c r="J851" s="8"/>
      <c r="K851" s="53"/>
      <c r="L851" s="53"/>
      <c r="M851" s="53"/>
      <c r="N851" s="8"/>
      <c r="O851" s="159"/>
      <c r="P851" s="8"/>
      <c r="Q851" s="8"/>
      <c r="R851" s="10"/>
      <c r="S851" s="10"/>
    </row>
    <row r="852" spans="2:19" ht="14" outlineLevel="1">
      <c r="B852" s="225"/>
      <c r="C852" s="225"/>
      <c r="D852" s="225"/>
      <c r="E852" s="225"/>
      <c r="F852" s="9"/>
      <c r="G852" s="9" t="s">
        <v>184</v>
      </c>
      <c r="H852" s="101" t="s">
        <v>4167</v>
      </c>
      <c r="I852" s="32"/>
      <c r="J852" s="8"/>
      <c r="K852" s="53"/>
      <c r="L852" s="53"/>
      <c r="M852" s="53"/>
      <c r="N852" s="8"/>
      <c r="O852" s="159"/>
      <c r="P852" s="8"/>
      <c r="Q852" s="8"/>
      <c r="R852" s="10"/>
      <c r="S852" s="10"/>
    </row>
    <row r="853" spans="2:19" ht="14" outlineLevel="1">
      <c r="B853" s="225"/>
      <c r="C853" s="225"/>
      <c r="D853" s="225"/>
      <c r="E853" s="225"/>
      <c r="F853" s="9"/>
      <c r="G853" s="9" t="s">
        <v>386</v>
      </c>
      <c r="H853" s="101" t="s">
        <v>4168</v>
      </c>
      <c r="I853" s="32"/>
      <c r="J853" s="8"/>
      <c r="K853" s="53"/>
      <c r="L853" s="53"/>
      <c r="M853" s="53"/>
      <c r="N853" s="8"/>
      <c r="O853" s="159"/>
      <c r="P853" s="8"/>
      <c r="Q853" s="8"/>
      <c r="R853" s="10"/>
      <c r="S853" s="10"/>
    </row>
    <row r="854" spans="2:19" ht="14" outlineLevel="1">
      <c r="B854" s="225"/>
      <c r="C854" s="225"/>
      <c r="D854" s="225"/>
      <c r="E854" s="225"/>
      <c r="F854" s="9"/>
      <c r="G854" s="9" t="s">
        <v>935</v>
      </c>
      <c r="H854" s="101" t="s">
        <v>4169</v>
      </c>
      <c r="I854" s="53" t="s">
        <v>349</v>
      </c>
      <c r="J854" s="8" t="s">
        <v>332</v>
      </c>
      <c r="K854" s="53" t="s">
        <v>349</v>
      </c>
      <c r="L854" s="53">
        <v>45271</v>
      </c>
      <c r="M854" s="53" t="s">
        <v>349</v>
      </c>
      <c r="N854" s="8" t="s">
        <v>4170</v>
      </c>
      <c r="O854" s="159" t="s">
        <v>326</v>
      </c>
      <c r="P854" s="8"/>
      <c r="Q854" s="8"/>
      <c r="R854" s="10"/>
      <c r="S854" s="10"/>
    </row>
    <row r="855" spans="2:19" outlineLevel="1">
      <c r="B855" s="225"/>
      <c r="C855" s="225"/>
      <c r="D855" s="225"/>
      <c r="E855" s="225"/>
      <c r="F855" s="9"/>
      <c r="G855" s="9"/>
      <c r="H855" s="169"/>
      <c r="I855" s="32"/>
      <c r="J855" s="8"/>
      <c r="K855" s="53"/>
      <c r="L855" s="53"/>
      <c r="M855" s="53"/>
      <c r="N855" s="8"/>
      <c r="O855" s="159"/>
      <c r="P855" s="8"/>
      <c r="Q855" s="8"/>
      <c r="R855" s="10"/>
      <c r="S855" s="10"/>
    </row>
    <row r="856" spans="2:19" ht="12.75" customHeight="1" outlineLevel="1">
      <c r="B856" s="225"/>
      <c r="C856" s="225"/>
      <c r="D856" s="9" t="s">
        <v>117</v>
      </c>
      <c r="E856" s="251" t="s">
        <v>231</v>
      </c>
      <c r="F856" s="251"/>
      <c r="G856" s="251"/>
      <c r="H856" s="251"/>
      <c r="I856" s="6"/>
      <c r="J856" s="9"/>
      <c r="K856" s="6"/>
      <c r="L856" s="6"/>
      <c r="M856" s="6"/>
      <c r="N856" s="6"/>
      <c r="O856" s="6"/>
      <c r="P856" s="6"/>
      <c r="Q856" s="6"/>
      <c r="R856" s="6"/>
      <c r="S856" s="10"/>
    </row>
    <row r="857" spans="2:19" ht="14" outlineLevel="1">
      <c r="B857" s="225"/>
      <c r="C857" s="225"/>
      <c r="D857" s="224"/>
      <c r="E857" s="232"/>
      <c r="F857" s="9" t="s">
        <v>27</v>
      </c>
      <c r="G857" s="9"/>
      <c r="H857" s="43" t="s">
        <v>220</v>
      </c>
      <c r="I857" s="35" t="s">
        <v>342</v>
      </c>
      <c r="J857" s="35" t="s">
        <v>333</v>
      </c>
      <c r="K857" s="53">
        <v>44000</v>
      </c>
      <c r="L857" s="53">
        <v>44000</v>
      </c>
      <c r="M857" s="35" t="s">
        <v>337</v>
      </c>
      <c r="N857" s="35" t="s">
        <v>335</v>
      </c>
      <c r="O857" s="12" t="s">
        <v>326</v>
      </c>
      <c r="P857" s="12"/>
      <c r="Q857" s="8"/>
      <c r="R857" s="10"/>
      <c r="S857" s="10"/>
    </row>
    <row r="858" spans="2:19" ht="14" outlineLevel="1">
      <c r="B858" s="225"/>
      <c r="C858" s="225"/>
      <c r="D858" s="225"/>
      <c r="E858" s="232"/>
      <c r="F858" s="9"/>
      <c r="G858" s="9"/>
      <c r="H858" s="43" t="s">
        <v>220</v>
      </c>
      <c r="I858" s="35" t="s">
        <v>343</v>
      </c>
      <c r="J858" s="35" t="s">
        <v>333</v>
      </c>
      <c r="K858" s="53">
        <v>44029</v>
      </c>
      <c r="L858" s="53">
        <v>44029</v>
      </c>
      <c r="M858" s="35" t="s">
        <v>337</v>
      </c>
      <c r="N858" s="35" t="s">
        <v>335</v>
      </c>
      <c r="O858" s="12" t="s">
        <v>326</v>
      </c>
      <c r="P858" s="12"/>
      <c r="Q858" s="8"/>
      <c r="R858" s="10"/>
      <c r="S858" s="10"/>
    </row>
    <row r="859" spans="2:19" ht="14" outlineLevel="1">
      <c r="B859" s="225"/>
      <c r="C859" s="225"/>
      <c r="D859" s="225"/>
      <c r="E859" s="232"/>
      <c r="F859" s="9"/>
      <c r="G859" s="9"/>
      <c r="H859" s="43" t="s">
        <v>220</v>
      </c>
      <c r="I859" s="32"/>
      <c r="J859" s="8" t="s">
        <v>333</v>
      </c>
      <c r="K859" s="53">
        <v>44104</v>
      </c>
      <c r="L859" s="53">
        <v>44081</v>
      </c>
      <c r="M859" s="8" t="s">
        <v>396</v>
      </c>
      <c r="N859" s="8" t="s">
        <v>393</v>
      </c>
      <c r="O859" s="12" t="s">
        <v>326</v>
      </c>
      <c r="P859" s="12"/>
      <c r="Q859" s="8"/>
      <c r="R859" s="10"/>
      <c r="S859" s="10"/>
    </row>
    <row r="860" spans="2:19" ht="14" outlineLevel="1">
      <c r="B860" s="225"/>
      <c r="C860" s="225"/>
      <c r="D860" s="225"/>
      <c r="E860" s="232"/>
      <c r="F860" s="9"/>
      <c r="G860" s="9"/>
      <c r="H860" s="43" t="s">
        <v>220</v>
      </c>
      <c r="I860" s="32" t="s">
        <v>3</v>
      </c>
      <c r="J860" s="8" t="s">
        <v>332</v>
      </c>
      <c r="K860" s="53" t="s">
        <v>349</v>
      </c>
      <c r="L860" s="53">
        <v>44138</v>
      </c>
      <c r="M860" s="8" t="s">
        <v>596</v>
      </c>
      <c r="N860" s="8" t="s">
        <v>584</v>
      </c>
      <c r="O860" s="12" t="s">
        <v>326</v>
      </c>
      <c r="P860" s="8"/>
      <c r="Q860" s="8"/>
      <c r="R860" s="10"/>
      <c r="S860" s="10"/>
    </row>
    <row r="861" spans="2:19" ht="14" outlineLevel="1">
      <c r="B861" s="225"/>
      <c r="C861" s="225"/>
      <c r="D861" s="225"/>
      <c r="E861" s="232"/>
      <c r="F861" s="9"/>
      <c r="G861" s="9"/>
      <c r="H861" s="43" t="s">
        <v>220</v>
      </c>
      <c r="I861" s="32" t="s">
        <v>1161</v>
      </c>
      <c r="J861" s="8" t="s">
        <v>332</v>
      </c>
      <c r="K861" s="53" t="s">
        <v>349</v>
      </c>
      <c r="L861" s="53">
        <v>44250</v>
      </c>
      <c r="M861" s="8" t="s">
        <v>596</v>
      </c>
      <c r="N861" s="8" t="s">
        <v>1162</v>
      </c>
      <c r="O861" s="12" t="s">
        <v>326</v>
      </c>
      <c r="P861" s="8"/>
      <c r="Q861" s="8"/>
      <c r="R861" s="10"/>
      <c r="S861" s="10"/>
    </row>
    <row r="862" spans="2:19" ht="14" outlineLevel="1">
      <c r="B862" s="225"/>
      <c r="C862" s="225"/>
      <c r="D862" s="225"/>
      <c r="E862" s="232"/>
      <c r="F862" s="9"/>
      <c r="G862" s="9"/>
      <c r="H862" s="43" t="s">
        <v>220</v>
      </c>
      <c r="I862" s="32" t="s">
        <v>917</v>
      </c>
      <c r="J862" s="8" t="s">
        <v>332</v>
      </c>
      <c r="K862" s="53" t="s">
        <v>349</v>
      </c>
      <c r="L862" s="53">
        <v>44438</v>
      </c>
      <c r="M862" s="8" t="s">
        <v>2239</v>
      </c>
      <c r="N862" s="8" t="s">
        <v>2242</v>
      </c>
      <c r="O862" s="12" t="s">
        <v>326</v>
      </c>
      <c r="P862" s="8"/>
      <c r="Q862" s="8"/>
      <c r="R862" s="10"/>
      <c r="S862" s="10"/>
    </row>
    <row r="863" spans="2:19" ht="14" outlineLevel="1">
      <c r="B863" s="225"/>
      <c r="C863" s="225"/>
      <c r="D863" s="225"/>
      <c r="E863" s="232"/>
      <c r="F863" s="9"/>
      <c r="G863" s="9"/>
      <c r="H863" s="43" t="s">
        <v>220</v>
      </c>
      <c r="I863" s="32" t="s">
        <v>2247</v>
      </c>
      <c r="J863" s="8" t="s">
        <v>332</v>
      </c>
      <c r="K863" s="53" t="s">
        <v>349</v>
      </c>
      <c r="L863" s="53">
        <v>44447</v>
      </c>
      <c r="M863" s="8" t="s">
        <v>2239</v>
      </c>
      <c r="N863" s="8" t="s">
        <v>2246</v>
      </c>
      <c r="O863" s="12" t="s">
        <v>326</v>
      </c>
      <c r="P863" s="8"/>
      <c r="Q863" s="8"/>
      <c r="R863" s="10"/>
      <c r="S863" s="10"/>
    </row>
    <row r="864" spans="2:19" ht="14" outlineLevel="1">
      <c r="B864" s="225"/>
      <c r="C864" s="225"/>
      <c r="D864" s="225"/>
      <c r="E864" s="232"/>
      <c r="F864" s="9"/>
      <c r="G864" s="9"/>
      <c r="H864" s="43" t="s">
        <v>220</v>
      </c>
      <c r="I864" s="32" t="s">
        <v>3590</v>
      </c>
      <c r="J864" s="8" t="s">
        <v>332</v>
      </c>
      <c r="K864" s="53" t="s">
        <v>349</v>
      </c>
      <c r="L864" s="53">
        <v>44995</v>
      </c>
      <c r="M864" s="8" t="s">
        <v>2239</v>
      </c>
      <c r="N864" s="8" t="s">
        <v>3589</v>
      </c>
      <c r="O864" s="12" t="s">
        <v>326</v>
      </c>
      <c r="P864" s="8"/>
      <c r="Q864" s="8"/>
      <c r="R864" s="10"/>
      <c r="S864" s="10"/>
    </row>
    <row r="865" spans="2:19" ht="14" outlineLevel="1">
      <c r="B865" s="225"/>
      <c r="C865" s="225"/>
      <c r="D865" s="225"/>
      <c r="E865" s="232"/>
      <c r="F865" s="9"/>
      <c r="G865" s="9"/>
      <c r="H865" s="43" t="s">
        <v>220</v>
      </c>
      <c r="I865" s="32" t="s">
        <v>3989</v>
      </c>
      <c r="J865" s="8" t="s">
        <v>332</v>
      </c>
      <c r="K865" s="53" t="s">
        <v>349</v>
      </c>
      <c r="L865" s="53">
        <v>45216</v>
      </c>
      <c r="M865" s="8" t="s">
        <v>2239</v>
      </c>
      <c r="N865" s="8" t="s">
        <v>3976</v>
      </c>
      <c r="O865" s="12" t="s">
        <v>326</v>
      </c>
      <c r="P865" s="8"/>
      <c r="Q865" s="8"/>
      <c r="R865" s="10"/>
      <c r="S865" s="10"/>
    </row>
    <row r="866" spans="2:19" outlineLevel="1">
      <c r="B866" s="225"/>
      <c r="C866" s="225"/>
      <c r="D866" s="225"/>
      <c r="E866" s="232"/>
      <c r="F866" s="9"/>
      <c r="G866" s="9"/>
      <c r="H866" s="43"/>
      <c r="I866" s="32"/>
      <c r="J866" s="8"/>
      <c r="K866" s="53"/>
      <c r="L866" s="53"/>
      <c r="M866" s="8"/>
      <c r="N866" s="8"/>
      <c r="O866" s="12"/>
      <c r="P866" s="8"/>
      <c r="Q866" s="8"/>
      <c r="R866" s="10"/>
      <c r="S866" s="10"/>
    </row>
    <row r="867" spans="2:19" ht="14" outlineLevel="1">
      <c r="B867" s="225"/>
      <c r="C867" s="225"/>
      <c r="D867" s="225"/>
      <c r="E867" s="232"/>
      <c r="F867" s="9" t="s">
        <v>29</v>
      </c>
      <c r="G867" s="9"/>
      <c r="H867" s="33" t="s">
        <v>316</v>
      </c>
      <c r="I867" s="32" t="s">
        <v>3</v>
      </c>
      <c r="J867" s="8" t="s">
        <v>332</v>
      </c>
      <c r="K867" s="53">
        <v>44104</v>
      </c>
      <c r="L867" s="53">
        <v>44186</v>
      </c>
      <c r="M867" s="8" t="s">
        <v>806</v>
      </c>
      <c r="N867" s="8" t="s">
        <v>813</v>
      </c>
      <c r="O867" s="12" t="s">
        <v>326</v>
      </c>
      <c r="P867" s="8"/>
      <c r="Q867" s="8"/>
      <c r="R867" s="10"/>
      <c r="S867" s="10"/>
    </row>
    <row r="868" spans="2:19" ht="14" outlineLevel="1">
      <c r="B868" s="225"/>
      <c r="C868" s="225"/>
      <c r="D868" s="225"/>
      <c r="E868" s="232"/>
      <c r="F868" s="9" t="s">
        <v>35</v>
      </c>
      <c r="G868" s="9"/>
      <c r="H868" s="33" t="s">
        <v>233</v>
      </c>
      <c r="I868" s="32" t="s">
        <v>3</v>
      </c>
      <c r="J868" s="8" t="s">
        <v>332</v>
      </c>
      <c r="K868" s="53">
        <v>44134</v>
      </c>
      <c r="L868" s="53">
        <v>44138</v>
      </c>
      <c r="M868" s="8" t="s">
        <v>596</v>
      </c>
      <c r="N868" s="8" t="s">
        <v>584</v>
      </c>
      <c r="O868" s="12" t="s">
        <v>326</v>
      </c>
      <c r="P868" s="8"/>
      <c r="Q868" s="8"/>
      <c r="R868" s="10"/>
      <c r="S868" s="10"/>
    </row>
    <row r="869" spans="2:19" ht="14" outlineLevel="1">
      <c r="B869" s="225"/>
      <c r="C869" s="225"/>
      <c r="D869" s="225"/>
      <c r="E869" s="232"/>
      <c r="F869" s="9"/>
      <c r="G869" s="9"/>
      <c r="H869" s="33" t="s">
        <v>233</v>
      </c>
      <c r="I869" s="32" t="s">
        <v>1161</v>
      </c>
      <c r="J869" s="8" t="s">
        <v>332</v>
      </c>
      <c r="K869" s="53" t="s">
        <v>349</v>
      </c>
      <c r="L869" s="53">
        <v>44250</v>
      </c>
      <c r="M869" s="8" t="s">
        <v>596</v>
      </c>
      <c r="N869" s="8" t="s">
        <v>1162</v>
      </c>
      <c r="O869" s="12" t="s">
        <v>326</v>
      </c>
      <c r="P869" s="8"/>
      <c r="Q869" s="8"/>
      <c r="R869" s="10"/>
      <c r="S869" s="10"/>
    </row>
    <row r="870" spans="2:19" ht="14" outlineLevel="1">
      <c r="B870" s="225"/>
      <c r="C870" s="225"/>
      <c r="D870" s="225"/>
      <c r="E870" s="232"/>
      <c r="F870" s="9" t="s">
        <v>36</v>
      </c>
      <c r="G870" s="9"/>
      <c r="H870" s="33" t="s">
        <v>238</v>
      </c>
      <c r="I870" s="32" t="s">
        <v>3</v>
      </c>
      <c r="J870" s="8" t="s">
        <v>332</v>
      </c>
      <c r="K870" s="53">
        <v>44134</v>
      </c>
      <c r="L870" s="53">
        <v>44138</v>
      </c>
      <c r="M870" s="8" t="s">
        <v>595</v>
      </c>
      <c r="N870" s="8" t="s">
        <v>584</v>
      </c>
      <c r="O870" s="12" t="s">
        <v>326</v>
      </c>
      <c r="P870" s="8"/>
      <c r="Q870" s="8"/>
      <c r="R870" s="10"/>
      <c r="S870" s="10"/>
    </row>
    <row r="871" spans="2:19" ht="14" outlineLevel="1">
      <c r="B871" s="225"/>
      <c r="C871" s="225"/>
      <c r="D871" s="225"/>
      <c r="E871" s="232"/>
      <c r="F871" s="9" t="s">
        <v>38</v>
      </c>
      <c r="G871" s="9"/>
      <c r="H871" s="33" t="s">
        <v>239</v>
      </c>
      <c r="I871" s="32" t="s">
        <v>3</v>
      </c>
      <c r="J871" s="8" t="s">
        <v>332</v>
      </c>
      <c r="K871" s="53">
        <v>44195</v>
      </c>
      <c r="L871" s="53">
        <v>44200</v>
      </c>
      <c r="M871" s="8" t="s">
        <v>349</v>
      </c>
      <c r="N871" s="8" t="s">
        <v>855</v>
      </c>
      <c r="O871" s="12" t="s">
        <v>326</v>
      </c>
      <c r="P871" s="8"/>
      <c r="Q871" s="8"/>
      <c r="R871" s="10"/>
      <c r="S871" s="10"/>
    </row>
    <row r="872" spans="2:19" ht="14" outlineLevel="1">
      <c r="B872" s="225"/>
      <c r="C872" s="225"/>
      <c r="D872" s="225"/>
      <c r="E872" s="232"/>
      <c r="F872" s="9" t="s">
        <v>40</v>
      </c>
      <c r="G872" s="9"/>
      <c r="H872" s="33" t="s">
        <v>240</v>
      </c>
      <c r="I872" s="32" t="s">
        <v>3</v>
      </c>
      <c r="J872" s="8" t="s">
        <v>332</v>
      </c>
      <c r="K872" s="53">
        <v>44134</v>
      </c>
      <c r="L872" s="53">
        <v>44138</v>
      </c>
      <c r="M872" s="8" t="s">
        <v>594</v>
      </c>
      <c r="N872" s="8" t="s">
        <v>584</v>
      </c>
      <c r="O872" s="12" t="s">
        <v>326</v>
      </c>
      <c r="P872" s="8"/>
      <c r="Q872" s="8"/>
      <c r="R872" s="10"/>
      <c r="S872" s="10"/>
    </row>
    <row r="873" spans="2:19" ht="14" outlineLevel="1">
      <c r="B873" s="225"/>
      <c r="C873" s="225"/>
      <c r="D873" s="225"/>
      <c r="E873" s="232"/>
      <c r="F873" s="9" t="s">
        <v>108</v>
      </c>
      <c r="G873" s="9"/>
      <c r="H873" s="33" t="s">
        <v>241</v>
      </c>
      <c r="I873" s="32" t="s">
        <v>3</v>
      </c>
      <c r="J873" s="35" t="s">
        <v>333</v>
      </c>
      <c r="K873" s="53">
        <v>44195</v>
      </c>
      <c r="L873" s="53">
        <v>44186</v>
      </c>
      <c r="M873" s="8" t="s">
        <v>806</v>
      </c>
      <c r="N873" s="8" t="s">
        <v>813</v>
      </c>
      <c r="O873" s="12" t="s">
        <v>326</v>
      </c>
      <c r="P873" s="8"/>
      <c r="Q873" s="8"/>
      <c r="R873" s="10"/>
      <c r="S873" s="10"/>
    </row>
    <row r="874" spans="2:19" ht="14" outlineLevel="1">
      <c r="B874" s="225"/>
      <c r="C874" s="225"/>
      <c r="D874" s="225"/>
      <c r="E874" s="232"/>
      <c r="F874" s="9" t="s">
        <v>129</v>
      </c>
      <c r="G874" s="9"/>
      <c r="H874" s="33" t="s">
        <v>1453</v>
      </c>
      <c r="I874" s="32" t="s">
        <v>512</v>
      </c>
      <c r="J874" s="8" t="s">
        <v>332</v>
      </c>
      <c r="K874" s="53" t="s">
        <v>349</v>
      </c>
      <c r="L874" s="53">
        <v>44306</v>
      </c>
      <c r="M874" s="8" t="s">
        <v>1455</v>
      </c>
      <c r="N874" s="8" t="s">
        <v>1454</v>
      </c>
      <c r="O874" s="12" t="s">
        <v>326</v>
      </c>
      <c r="P874" s="8"/>
      <c r="Q874" s="8"/>
      <c r="R874" s="10"/>
      <c r="S874" s="10"/>
    </row>
    <row r="875" spans="2:19" ht="14" outlineLevel="1">
      <c r="B875" s="225"/>
      <c r="C875" s="225"/>
      <c r="D875" s="225"/>
      <c r="E875" s="232"/>
      <c r="F875" s="9" t="s">
        <v>134</v>
      </c>
      <c r="G875" s="9"/>
      <c r="H875" s="33" t="s">
        <v>1914</v>
      </c>
      <c r="I875" s="32" t="s">
        <v>3</v>
      </c>
      <c r="J875" s="8" t="s">
        <v>332</v>
      </c>
      <c r="K875" s="53" t="s">
        <v>349</v>
      </c>
      <c r="L875" s="53">
        <v>44376</v>
      </c>
      <c r="M875" s="8" t="s">
        <v>1901</v>
      </c>
      <c r="N875" s="8" t="s">
        <v>1913</v>
      </c>
      <c r="O875" s="12" t="s">
        <v>326</v>
      </c>
      <c r="P875" s="8"/>
      <c r="Q875" s="8"/>
      <c r="R875" s="10"/>
      <c r="S875" s="10"/>
    </row>
    <row r="876" spans="2:19" ht="14" outlineLevel="1">
      <c r="B876" s="225"/>
      <c r="C876" s="225"/>
      <c r="D876" s="225"/>
      <c r="E876" s="232"/>
      <c r="F876" s="9"/>
      <c r="G876" s="9"/>
      <c r="H876" s="33"/>
      <c r="I876" s="32" t="s">
        <v>512</v>
      </c>
      <c r="J876" s="8" t="s">
        <v>332</v>
      </c>
      <c r="K876" s="53" t="s">
        <v>349</v>
      </c>
      <c r="L876" s="53">
        <v>44438</v>
      </c>
      <c r="M876" s="8" t="s">
        <v>1901</v>
      </c>
      <c r="N876" s="8" t="s">
        <v>2242</v>
      </c>
      <c r="O876" s="12" t="s">
        <v>326</v>
      </c>
      <c r="P876" s="8"/>
      <c r="Q876" s="8"/>
      <c r="R876" s="10"/>
      <c r="S876" s="10"/>
    </row>
    <row r="877" spans="2:19" ht="14" outlineLevel="1">
      <c r="B877" s="225"/>
      <c r="C877" s="225"/>
      <c r="D877" s="225"/>
      <c r="E877" s="232"/>
      <c r="F877" s="9" t="s">
        <v>135</v>
      </c>
      <c r="G877" s="9"/>
      <c r="H877" s="33" t="s">
        <v>1801</v>
      </c>
      <c r="I877" s="32"/>
      <c r="J877" s="8"/>
      <c r="K877" s="53"/>
      <c r="L877" s="53"/>
      <c r="M877" s="8"/>
      <c r="N877" s="8"/>
      <c r="O877" s="12"/>
      <c r="P877" s="8"/>
      <c r="Q877" s="8"/>
      <c r="R877" s="10"/>
      <c r="S877" s="10"/>
    </row>
    <row r="878" spans="2:19" outlineLevel="1">
      <c r="B878" s="225"/>
      <c r="C878" s="225"/>
      <c r="D878" s="225"/>
      <c r="E878" s="232"/>
      <c r="F878" s="9"/>
      <c r="G878" s="9"/>
      <c r="H878" s="109" t="s">
        <v>2624</v>
      </c>
      <c r="I878" s="32"/>
      <c r="J878" s="8"/>
      <c r="K878" s="53"/>
      <c r="L878" s="53"/>
      <c r="M878" s="8"/>
      <c r="N878" s="8"/>
      <c r="O878" s="12"/>
      <c r="P878" s="8"/>
      <c r="Q878" s="8"/>
      <c r="R878" s="10"/>
      <c r="S878" s="10"/>
    </row>
    <row r="879" spans="2:19" ht="14" outlineLevel="1">
      <c r="B879" s="225"/>
      <c r="C879" s="225"/>
      <c r="D879" s="225"/>
      <c r="E879" s="232"/>
      <c r="F879" s="9"/>
      <c r="G879" s="9"/>
      <c r="H879" s="151" t="s">
        <v>2234</v>
      </c>
      <c r="I879" s="53" t="s">
        <v>349</v>
      </c>
      <c r="J879" s="8" t="s">
        <v>332</v>
      </c>
      <c r="K879" s="53" t="s">
        <v>349</v>
      </c>
      <c r="L879" s="53">
        <v>44438</v>
      </c>
      <c r="M879" s="53" t="s">
        <v>349</v>
      </c>
      <c r="N879" s="8" t="s">
        <v>2242</v>
      </c>
      <c r="O879" s="12" t="s">
        <v>326</v>
      </c>
      <c r="P879" s="8"/>
      <c r="Q879" s="8"/>
      <c r="R879" s="10"/>
      <c r="S879" s="10"/>
    </row>
    <row r="880" spans="2:19" ht="14" outlineLevel="1">
      <c r="B880" s="225"/>
      <c r="C880" s="225"/>
      <c r="D880" s="225"/>
      <c r="E880" s="232"/>
      <c r="F880" s="9"/>
      <c r="G880" s="9"/>
      <c r="H880" s="151" t="s">
        <v>2235</v>
      </c>
      <c r="I880" s="53" t="s">
        <v>349</v>
      </c>
      <c r="J880" s="8" t="s">
        <v>332</v>
      </c>
      <c r="K880" s="53" t="s">
        <v>349</v>
      </c>
      <c r="L880" s="53">
        <v>44438</v>
      </c>
      <c r="M880" s="53" t="s">
        <v>349</v>
      </c>
      <c r="N880" s="8" t="s">
        <v>2242</v>
      </c>
      <c r="O880" s="12" t="s">
        <v>326</v>
      </c>
      <c r="P880" s="8"/>
      <c r="Q880" s="8"/>
      <c r="R880" s="10"/>
      <c r="S880" s="10"/>
    </row>
    <row r="881" spans="2:19" ht="14" outlineLevel="1">
      <c r="B881" s="225"/>
      <c r="C881" s="225"/>
      <c r="D881" s="225"/>
      <c r="E881" s="232"/>
      <c r="F881" s="9"/>
      <c r="G881" s="9"/>
      <c r="H881" s="151" t="s">
        <v>2234</v>
      </c>
      <c r="I881" s="53" t="s">
        <v>349</v>
      </c>
      <c r="J881" s="8" t="s">
        <v>332</v>
      </c>
      <c r="K881" s="53" t="s">
        <v>349</v>
      </c>
      <c r="L881" s="53">
        <v>44438</v>
      </c>
      <c r="M881" s="53" t="s">
        <v>349</v>
      </c>
      <c r="N881" s="8" t="s">
        <v>2242</v>
      </c>
      <c r="O881" s="12" t="s">
        <v>326</v>
      </c>
      <c r="P881" s="8"/>
      <c r="Q881" s="8"/>
      <c r="R881" s="10"/>
      <c r="S881" s="10"/>
    </row>
    <row r="882" spans="2:19" ht="14" outlineLevel="1">
      <c r="B882" s="225"/>
      <c r="C882" s="225"/>
      <c r="D882" s="225"/>
      <c r="E882" s="232"/>
      <c r="F882" s="9"/>
      <c r="G882" s="9"/>
      <c r="H882" s="151" t="s">
        <v>2236</v>
      </c>
      <c r="I882" s="53" t="s">
        <v>349</v>
      </c>
      <c r="J882" s="8" t="s">
        <v>332</v>
      </c>
      <c r="K882" s="53" t="s">
        <v>349</v>
      </c>
      <c r="L882" s="53">
        <v>44438</v>
      </c>
      <c r="M882" s="53" t="s">
        <v>349</v>
      </c>
      <c r="N882" s="8" t="s">
        <v>2242</v>
      </c>
      <c r="O882" s="12" t="s">
        <v>326</v>
      </c>
      <c r="P882" s="8"/>
      <c r="Q882" s="8"/>
      <c r="R882" s="10"/>
      <c r="S882" s="10"/>
    </row>
    <row r="883" spans="2:19" ht="14" outlineLevel="1">
      <c r="B883" s="225"/>
      <c r="C883" s="225"/>
      <c r="D883" s="225"/>
      <c r="E883" s="232"/>
      <c r="F883" s="9"/>
      <c r="G883" s="9"/>
      <c r="H883" s="151" t="s">
        <v>2237</v>
      </c>
      <c r="I883" s="53" t="s">
        <v>349</v>
      </c>
      <c r="J883" s="8" t="s">
        <v>332</v>
      </c>
      <c r="K883" s="53" t="s">
        <v>349</v>
      </c>
      <c r="L883" s="53">
        <v>44438</v>
      </c>
      <c r="M883" s="53" t="s">
        <v>349</v>
      </c>
      <c r="N883" s="8" t="s">
        <v>2242</v>
      </c>
      <c r="O883" s="12" t="s">
        <v>326</v>
      </c>
      <c r="P883" s="8"/>
      <c r="Q883" s="8"/>
      <c r="R883" s="10"/>
      <c r="S883" s="10"/>
    </row>
    <row r="884" spans="2:19" ht="28" outlineLevel="1">
      <c r="B884" s="225"/>
      <c r="C884" s="225"/>
      <c r="D884" s="225"/>
      <c r="E884" s="232"/>
      <c r="F884" s="9"/>
      <c r="G884" s="9"/>
      <c r="H884" s="168" t="s">
        <v>2241</v>
      </c>
      <c r="I884" s="55" t="s">
        <v>349</v>
      </c>
      <c r="J884" s="12" t="s">
        <v>332</v>
      </c>
      <c r="K884" s="55" t="s">
        <v>349</v>
      </c>
      <c r="L884" s="55">
        <v>44438</v>
      </c>
      <c r="M884" s="55" t="s">
        <v>349</v>
      </c>
      <c r="N884" s="12" t="s">
        <v>2242</v>
      </c>
      <c r="O884" s="12" t="s">
        <v>326</v>
      </c>
      <c r="P884" s="8"/>
      <c r="Q884" s="8"/>
      <c r="R884" s="10"/>
      <c r="S884" s="10"/>
    </row>
    <row r="885" spans="2:19" outlineLevel="1">
      <c r="B885" s="225"/>
      <c r="C885" s="225"/>
      <c r="D885" s="225"/>
      <c r="E885" s="232"/>
      <c r="F885" s="9"/>
      <c r="G885" s="9"/>
      <c r="H885" s="109" t="s">
        <v>2625</v>
      </c>
      <c r="I885" s="55"/>
      <c r="J885" s="12"/>
      <c r="K885" s="55"/>
      <c r="L885" s="55"/>
      <c r="M885" s="55"/>
      <c r="N885" s="12"/>
      <c r="O885" s="12"/>
      <c r="P885" s="8"/>
      <c r="Q885" s="8"/>
      <c r="R885" s="10"/>
      <c r="S885" s="10"/>
    </row>
    <row r="886" spans="2:19" ht="14" outlineLevel="1">
      <c r="B886" s="225"/>
      <c r="C886" s="225"/>
      <c r="D886" s="225"/>
      <c r="E886" s="232"/>
      <c r="F886" s="9"/>
      <c r="G886" s="9"/>
      <c r="H886" s="151" t="s">
        <v>2808</v>
      </c>
      <c r="I886" s="55" t="s">
        <v>349</v>
      </c>
      <c r="J886" s="12" t="s">
        <v>332</v>
      </c>
      <c r="K886" s="55" t="s">
        <v>349</v>
      </c>
      <c r="L886" s="55">
        <v>44650</v>
      </c>
      <c r="M886" s="55" t="s">
        <v>349</v>
      </c>
      <c r="N886" s="12" t="s">
        <v>2803</v>
      </c>
      <c r="O886" s="12" t="s">
        <v>326</v>
      </c>
      <c r="P886" s="8"/>
      <c r="Q886" s="8"/>
      <c r="R886" s="10"/>
      <c r="S886" s="10"/>
    </row>
    <row r="887" spans="2:19" ht="14" outlineLevel="1">
      <c r="B887" s="225"/>
      <c r="C887" s="225"/>
      <c r="D887" s="225"/>
      <c r="E887" s="232"/>
      <c r="F887" s="9"/>
      <c r="G887" s="9"/>
      <c r="H887" s="151" t="s">
        <v>2809</v>
      </c>
      <c r="I887" s="55" t="s">
        <v>349</v>
      </c>
      <c r="J887" s="12" t="s">
        <v>332</v>
      </c>
      <c r="K887" s="55" t="s">
        <v>349</v>
      </c>
      <c r="L887" s="55">
        <v>44650</v>
      </c>
      <c r="M887" s="55" t="s">
        <v>349</v>
      </c>
      <c r="N887" s="12" t="s">
        <v>2803</v>
      </c>
      <c r="O887" s="12" t="s">
        <v>326</v>
      </c>
      <c r="P887" s="8"/>
      <c r="Q887" s="8"/>
      <c r="R887" s="10"/>
      <c r="S887" s="10"/>
    </row>
    <row r="888" spans="2:19" ht="14" outlineLevel="1">
      <c r="B888" s="225"/>
      <c r="C888" s="225"/>
      <c r="D888" s="225"/>
      <c r="E888" s="232"/>
      <c r="F888" s="9"/>
      <c r="G888" s="9"/>
      <c r="H888" s="151" t="s">
        <v>2810</v>
      </c>
      <c r="I888" s="55" t="s">
        <v>349</v>
      </c>
      <c r="J888" s="12" t="s">
        <v>332</v>
      </c>
      <c r="K888" s="55" t="s">
        <v>349</v>
      </c>
      <c r="L888" s="55">
        <v>44650</v>
      </c>
      <c r="M888" s="55" t="s">
        <v>349</v>
      </c>
      <c r="N888" s="12" t="s">
        <v>2803</v>
      </c>
      <c r="O888" s="12" t="s">
        <v>326</v>
      </c>
      <c r="P888" s="8"/>
      <c r="Q888" s="8"/>
      <c r="R888" s="10"/>
      <c r="S888" s="10"/>
    </row>
    <row r="889" spans="2:19" ht="14" outlineLevel="1">
      <c r="B889" s="225"/>
      <c r="C889" s="225"/>
      <c r="D889" s="225"/>
      <c r="E889" s="232"/>
      <c r="F889" s="9"/>
      <c r="G889" s="9"/>
      <c r="H889" s="151" t="s">
        <v>2811</v>
      </c>
      <c r="I889" s="55" t="s">
        <v>349</v>
      </c>
      <c r="J889" s="12" t="s">
        <v>332</v>
      </c>
      <c r="K889" s="55" t="s">
        <v>349</v>
      </c>
      <c r="L889" s="55">
        <v>44650</v>
      </c>
      <c r="M889" s="55" t="s">
        <v>349</v>
      </c>
      <c r="N889" s="12" t="s">
        <v>2803</v>
      </c>
      <c r="O889" s="12" t="s">
        <v>326</v>
      </c>
      <c r="P889" s="8"/>
      <c r="Q889" s="8"/>
      <c r="R889" s="10"/>
      <c r="S889" s="10"/>
    </row>
    <row r="890" spans="2:19" outlineLevel="1">
      <c r="B890" s="225"/>
      <c r="C890" s="225"/>
      <c r="D890" s="225"/>
      <c r="E890" s="232"/>
      <c r="F890" s="9"/>
      <c r="G890" s="9"/>
      <c r="H890" s="109" t="s">
        <v>2626</v>
      </c>
      <c r="I890" s="55"/>
      <c r="J890" s="12"/>
      <c r="K890" s="55"/>
      <c r="L890" s="55"/>
      <c r="M890" s="55"/>
      <c r="N890" s="12"/>
      <c r="O890" s="12"/>
      <c r="P890" s="8"/>
      <c r="Q890" s="8"/>
      <c r="R890" s="10"/>
      <c r="S890" s="10"/>
    </row>
    <row r="891" spans="2:19" ht="14" outlineLevel="1">
      <c r="B891" s="225"/>
      <c r="C891" s="225"/>
      <c r="D891" s="225"/>
      <c r="E891" s="232"/>
      <c r="F891" s="9"/>
      <c r="G891" s="9"/>
      <c r="H891" s="151" t="s">
        <v>3468</v>
      </c>
      <c r="I891" s="55" t="s">
        <v>349</v>
      </c>
      <c r="J891" s="12" t="s">
        <v>332</v>
      </c>
      <c r="K891" s="55" t="s">
        <v>349</v>
      </c>
      <c r="L891" s="55">
        <v>44952</v>
      </c>
      <c r="M891" s="55" t="s">
        <v>349</v>
      </c>
      <c r="N891" s="12" t="s">
        <v>3470</v>
      </c>
      <c r="O891" s="12" t="s">
        <v>326</v>
      </c>
      <c r="P891" s="8"/>
      <c r="Q891" s="8"/>
      <c r="R891" s="10"/>
      <c r="S891" s="10"/>
    </row>
    <row r="892" spans="2:19" outlineLevel="1">
      <c r="B892" s="225"/>
      <c r="C892" s="225"/>
      <c r="D892" s="225"/>
      <c r="E892" s="232"/>
      <c r="F892" s="9"/>
      <c r="G892" s="9"/>
      <c r="H892" s="109" t="s">
        <v>2627</v>
      </c>
      <c r="I892" s="55"/>
      <c r="J892" s="12"/>
      <c r="K892" s="55"/>
      <c r="L892" s="55"/>
      <c r="M892" s="55"/>
      <c r="N892" s="12"/>
      <c r="O892" s="12"/>
      <c r="P892" s="8"/>
      <c r="Q892" s="8"/>
      <c r="R892" s="10"/>
      <c r="S892" s="10"/>
    </row>
    <row r="893" spans="2:19" ht="14" outlineLevel="1">
      <c r="B893" s="225"/>
      <c r="C893" s="225"/>
      <c r="D893" s="225"/>
      <c r="E893" s="232"/>
      <c r="F893" s="9"/>
      <c r="G893" s="9"/>
      <c r="H893" s="151" t="s">
        <v>3469</v>
      </c>
      <c r="I893" s="55" t="s">
        <v>349</v>
      </c>
      <c r="J893" s="12" t="s">
        <v>332</v>
      </c>
      <c r="K893" s="55" t="s">
        <v>349</v>
      </c>
      <c r="L893" s="55">
        <v>44952</v>
      </c>
      <c r="M893" s="55" t="s">
        <v>349</v>
      </c>
      <c r="N893" s="12" t="s">
        <v>3470</v>
      </c>
      <c r="O893" s="12" t="s">
        <v>326</v>
      </c>
      <c r="P893" s="8"/>
      <c r="Q893" s="8"/>
      <c r="R893" s="10"/>
      <c r="S893" s="10"/>
    </row>
    <row r="894" spans="2:19" outlineLevel="1">
      <c r="B894" s="225"/>
      <c r="C894" s="225"/>
      <c r="D894" s="225"/>
      <c r="E894" s="232"/>
      <c r="F894" s="9"/>
      <c r="G894" s="9"/>
      <c r="H894" s="168"/>
      <c r="I894" s="53"/>
      <c r="J894" s="8"/>
      <c r="K894" s="55"/>
      <c r="L894" s="55"/>
      <c r="M894" s="55"/>
      <c r="N894" s="12"/>
      <c r="O894" s="12"/>
      <c r="P894" s="8"/>
      <c r="Q894" s="8"/>
      <c r="R894" s="10"/>
      <c r="S894" s="10"/>
    </row>
    <row r="895" spans="2:19" ht="14" outlineLevel="1">
      <c r="B895" s="225"/>
      <c r="C895" s="225"/>
      <c r="D895" s="225"/>
      <c r="E895" s="232"/>
      <c r="F895" s="9" t="s">
        <v>204</v>
      </c>
      <c r="G895" s="9"/>
      <c r="H895" s="54" t="s">
        <v>1993</v>
      </c>
      <c r="I895" s="53" t="s">
        <v>349</v>
      </c>
      <c r="J895" s="8" t="s">
        <v>332</v>
      </c>
      <c r="K895" s="53" t="s">
        <v>349</v>
      </c>
      <c r="L895" s="53">
        <v>44438</v>
      </c>
      <c r="M895" s="8" t="s">
        <v>349</v>
      </c>
      <c r="N895" s="8" t="s">
        <v>2230</v>
      </c>
      <c r="O895" s="12" t="s">
        <v>326</v>
      </c>
      <c r="P895" s="8"/>
      <c r="Q895" s="8"/>
      <c r="R895" s="10"/>
      <c r="S895" s="10"/>
    </row>
    <row r="896" spans="2:19" ht="14" outlineLevel="1">
      <c r="B896" s="225"/>
      <c r="C896" s="225"/>
      <c r="D896" s="225"/>
      <c r="E896" s="232"/>
      <c r="F896" s="9"/>
      <c r="G896" s="9"/>
      <c r="H896" s="54" t="s">
        <v>1993</v>
      </c>
      <c r="I896" s="32" t="s">
        <v>512</v>
      </c>
      <c r="J896" s="8" t="s">
        <v>332</v>
      </c>
      <c r="K896" s="53" t="s">
        <v>349</v>
      </c>
      <c r="L896" s="53">
        <v>45237</v>
      </c>
      <c r="M896" s="8" t="s">
        <v>349</v>
      </c>
      <c r="N896" s="8" t="s">
        <v>4121</v>
      </c>
      <c r="O896" s="12" t="s">
        <v>326</v>
      </c>
      <c r="P896" s="8"/>
      <c r="Q896" s="8"/>
      <c r="R896" s="10"/>
      <c r="S896" s="10"/>
    </row>
    <row r="897" spans="2:19" ht="14" outlineLevel="1">
      <c r="B897" s="225"/>
      <c r="C897" s="225"/>
      <c r="D897" s="225"/>
      <c r="E897" s="232"/>
      <c r="F897" s="9"/>
      <c r="G897" s="9"/>
      <c r="H897" s="54" t="s">
        <v>1993</v>
      </c>
      <c r="I897" s="32" t="s">
        <v>654</v>
      </c>
      <c r="J897" s="8" t="s">
        <v>332</v>
      </c>
      <c r="K897" s="53" t="s">
        <v>349</v>
      </c>
      <c r="L897" s="53">
        <v>45250</v>
      </c>
      <c r="M897" s="8" t="s">
        <v>349</v>
      </c>
      <c r="N897" s="8" t="s">
        <v>4136</v>
      </c>
      <c r="O897" s="12" t="s">
        <v>326</v>
      </c>
      <c r="P897" s="8"/>
      <c r="Q897" s="8"/>
      <c r="R897" s="10"/>
      <c r="S897" s="10"/>
    </row>
    <row r="898" spans="2:19" outlineLevel="1">
      <c r="B898" s="225"/>
      <c r="C898" s="225"/>
      <c r="D898" s="225"/>
      <c r="E898" s="232"/>
      <c r="F898" s="9"/>
      <c r="G898" s="9"/>
      <c r="H898" s="54"/>
      <c r="I898" s="53"/>
      <c r="J898" s="8"/>
      <c r="K898" s="53"/>
      <c r="L898" s="53"/>
      <c r="M898" s="8"/>
      <c r="N898" s="8"/>
      <c r="O898" s="12"/>
      <c r="P898" s="8"/>
      <c r="Q898" s="8"/>
      <c r="R898" s="10"/>
      <c r="S898" s="10"/>
    </row>
    <row r="899" spans="2:19" ht="14" outlineLevel="1">
      <c r="B899" s="225"/>
      <c r="C899" s="225"/>
      <c r="D899" s="225"/>
      <c r="E899" s="232"/>
      <c r="F899" s="9" t="s">
        <v>205</v>
      </c>
      <c r="G899" s="9"/>
      <c r="H899" s="54" t="s">
        <v>2034</v>
      </c>
      <c r="I899" s="53" t="s">
        <v>349</v>
      </c>
      <c r="J899" s="8" t="s">
        <v>332</v>
      </c>
      <c r="K899" s="53" t="s">
        <v>349</v>
      </c>
      <c r="L899" s="53">
        <v>44438</v>
      </c>
      <c r="M899" s="8" t="s">
        <v>349</v>
      </c>
      <c r="N899" s="8" t="s">
        <v>2230</v>
      </c>
      <c r="O899" s="12" t="s">
        <v>326</v>
      </c>
      <c r="P899" s="8"/>
      <c r="Q899" s="8"/>
      <c r="R899" s="10"/>
      <c r="S899" s="10"/>
    </row>
    <row r="900" spans="2:19" ht="14" outlineLevel="1">
      <c r="B900" s="225"/>
      <c r="C900" s="225"/>
      <c r="D900" s="225"/>
      <c r="E900" s="232"/>
      <c r="F900" s="9" t="s">
        <v>206</v>
      </c>
      <c r="G900" s="9"/>
      <c r="H900" s="65" t="s">
        <v>1384</v>
      </c>
      <c r="I900" s="53"/>
      <c r="J900" s="8"/>
      <c r="K900" s="53"/>
      <c r="L900" s="53"/>
      <c r="M900" s="8"/>
      <c r="N900" s="8"/>
      <c r="O900" s="12"/>
      <c r="P900" s="8"/>
      <c r="Q900" s="8"/>
      <c r="R900" s="10"/>
      <c r="S900" s="10"/>
    </row>
    <row r="901" spans="2:19" ht="14" outlineLevel="1">
      <c r="B901" s="225"/>
      <c r="C901" s="225"/>
      <c r="D901" s="225"/>
      <c r="E901" s="232"/>
      <c r="F901" s="9"/>
      <c r="G901" s="9"/>
      <c r="H901" s="147" t="s">
        <v>2173</v>
      </c>
      <c r="I901" s="53" t="s">
        <v>349</v>
      </c>
      <c r="J901" s="8" t="s">
        <v>333</v>
      </c>
      <c r="K901" s="53" t="s">
        <v>349</v>
      </c>
      <c r="L901" s="53">
        <v>44447</v>
      </c>
      <c r="M901" s="8" t="s">
        <v>2248</v>
      </c>
      <c r="N901" s="8" t="s">
        <v>2246</v>
      </c>
      <c r="O901" s="12" t="s">
        <v>326</v>
      </c>
      <c r="P901" s="8"/>
      <c r="Q901" s="8"/>
      <c r="R901" s="10"/>
      <c r="S901" s="10"/>
    </row>
    <row r="902" spans="2:19" ht="14" outlineLevel="1">
      <c r="B902" s="225"/>
      <c r="C902" s="225"/>
      <c r="D902" s="225"/>
      <c r="E902" s="232"/>
      <c r="F902" s="9"/>
      <c r="G902" s="9"/>
      <c r="H902" s="147" t="s">
        <v>2618</v>
      </c>
      <c r="I902" s="53" t="s">
        <v>349</v>
      </c>
      <c r="J902" s="8" t="s">
        <v>333</v>
      </c>
      <c r="K902" s="53" t="s">
        <v>349</v>
      </c>
      <c r="L902" s="53">
        <v>44438</v>
      </c>
      <c r="M902" s="8" t="s">
        <v>2231</v>
      </c>
      <c r="N902" s="8" t="s">
        <v>2230</v>
      </c>
      <c r="O902" s="12" t="s">
        <v>326</v>
      </c>
      <c r="P902" s="8"/>
      <c r="Q902" s="8"/>
      <c r="R902" s="10"/>
      <c r="S902" s="10"/>
    </row>
    <row r="903" spans="2:19" ht="14" outlineLevel="1">
      <c r="B903" s="225"/>
      <c r="C903" s="225"/>
      <c r="D903" s="225"/>
      <c r="E903" s="232"/>
      <c r="F903" s="9"/>
      <c r="G903" s="9"/>
      <c r="H903" s="147" t="s">
        <v>2619</v>
      </c>
      <c r="I903" s="53" t="s">
        <v>349</v>
      </c>
      <c r="J903" s="8" t="s">
        <v>333</v>
      </c>
      <c r="K903" s="53" t="s">
        <v>349</v>
      </c>
      <c r="L903" s="53">
        <v>44650</v>
      </c>
      <c r="M903" s="8" t="s">
        <v>2812</v>
      </c>
      <c r="N903" s="8" t="s">
        <v>2813</v>
      </c>
      <c r="O903" s="12" t="s">
        <v>326</v>
      </c>
      <c r="P903" s="8"/>
      <c r="Q903" s="8"/>
      <c r="R903" s="10"/>
      <c r="S903" s="10"/>
    </row>
    <row r="904" spans="2:19" ht="14" outlineLevel="1">
      <c r="B904" s="225"/>
      <c r="C904" s="225"/>
      <c r="D904" s="225"/>
      <c r="E904" s="232"/>
      <c r="F904" s="9"/>
      <c r="G904" s="9"/>
      <c r="H904" s="147" t="s">
        <v>2622</v>
      </c>
      <c r="I904" s="53" t="s">
        <v>349</v>
      </c>
      <c r="J904" s="8" t="s">
        <v>333</v>
      </c>
      <c r="K904" s="53" t="s">
        <v>349</v>
      </c>
      <c r="L904" s="53">
        <v>44952</v>
      </c>
      <c r="M904" s="8" t="s">
        <v>3427</v>
      </c>
      <c r="N904" s="8" t="s">
        <v>3451</v>
      </c>
      <c r="O904" s="12" t="s">
        <v>326</v>
      </c>
      <c r="P904" s="8"/>
      <c r="Q904" s="8"/>
      <c r="R904" s="10"/>
      <c r="S904" s="10"/>
    </row>
    <row r="905" spans="2:19" ht="14" outlineLevel="1">
      <c r="B905" s="225"/>
      <c r="C905" s="225"/>
      <c r="D905" s="225"/>
      <c r="E905" s="232"/>
      <c r="F905" s="9"/>
      <c r="G905" s="9"/>
      <c r="H905" s="147" t="s">
        <v>2623</v>
      </c>
      <c r="I905" s="53" t="s">
        <v>349</v>
      </c>
      <c r="J905" s="8" t="s">
        <v>333</v>
      </c>
      <c r="K905" s="53" t="s">
        <v>349</v>
      </c>
      <c r="L905" s="53">
        <v>44952</v>
      </c>
      <c r="M905" s="8" t="s">
        <v>3449</v>
      </c>
      <c r="N905" s="8" t="s">
        <v>3451</v>
      </c>
      <c r="O905" s="12" t="s">
        <v>326</v>
      </c>
      <c r="P905" s="8"/>
      <c r="Q905" s="8"/>
      <c r="R905" s="10"/>
      <c r="S905" s="10"/>
    </row>
    <row r="906" spans="2:19" outlineLevel="1">
      <c r="B906" s="225"/>
      <c r="C906" s="225"/>
      <c r="D906" s="225"/>
      <c r="E906" s="232"/>
      <c r="F906" s="9"/>
      <c r="G906" s="9"/>
      <c r="H906" s="147" t="s">
        <v>3123</v>
      </c>
      <c r="I906" s="53"/>
      <c r="J906" s="8"/>
      <c r="K906" s="53"/>
      <c r="L906" s="53"/>
      <c r="M906" s="8"/>
      <c r="N906" s="8"/>
      <c r="O906" s="12"/>
      <c r="P906" s="8"/>
      <c r="Q906" s="8"/>
      <c r="R906" s="10"/>
      <c r="S906" s="10"/>
    </row>
    <row r="907" spans="2:19" outlineLevel="1">
      <c r="B907" s="225"/>
      <c r="C907" s="225"/>
      <c r="D907" s="225"/>
      <c r="E907" s="232"/>
      <c r="F907" s="9"/>
      <c r="G907" s="9"/>
      <c r="H907" s="147"/>
      <c r="I907" s="53"/>
      <c r="J907" s="8"/>
      <c r="K907" s="53"/>
      <c r="L907" s="53"/>
      <c r="M907" s="8"/>
      <c r="N907" s="8"/>
      <c r="O907" s="12"/>
      <c r="P907" s="8"/>
      <c r="Q907" s="8"/>
      <c r="R907" s="10"/>
      <c r="S907" s="10"/>
    </row>
    <row r="908" spans="2:19" ht="14" outlineLevel="1">
      <c r="B908" s="225"/>
      <c r="C908" s="225"/>
      <c r="D908" s="225"/>
      <c r="E908" s="232"/>
      <c r="F908" s="9" t="s">
        <v>207</v>
      </c>
      <c r="G908" s="9"/>
      <c r="H908" s="65" t="s">
        <v>2251</v>
      </c>
      <c r="I908" s="53" t="s">
        <v>349</v>
      </c>
      <c r="J908" s="8" t="s">
        <v>333</v>
      </c>
      <c r="K908" s="53" t="s">
        <v>349</v>
      </c>
      <c r="L908" s="53">
        <v>44472</v>
      </c>
      <c r="M908" s="8" t="s">
        <v>349</v>
      </c>
      <c r="N908" s="8" t="s">
        <v>2288</v>
      </c>
      <c r="O908" s="12" t="s">
        <v>326</v>
      </c>
      <c r="P908" s="8"/>
      <c r="Q908" s="8"/>
      <c r="R908" s="10"/>
      <c r="S908" s="10"/>
    </row>
    <row r="909" spans="2:19" outlineLevel="1">
      <c r="B909" s="225"/>
      <c r="C909" s="225"/>
      <c r="D909" s="226"/>
      <c r="E909" s="232"/>
      <c r="F909" s="9"/>
      <c r="G909" s="9"/>
      <c r="H909" s="33"/>
      <c r="I909" s="32"/>
      <c r="J909" s="35"/>
      <c r="K909" s="53"/>
      <c r="L909" s="53"/>
      <c r="M909" s="8"/>
      <c r="N909" s="8"/>
      <c r="O909" s="12"/>
      <c r="P909" s="8"/>
      <c r="Q909" s="8"/>
      <c r="R909" s="10"/>
      <c r="S909" s="10"/>
    </row>
    <row r="910" spans="2:19" ht="12.75" customHeight="1" outlineLevel="1">
      <c r="B910" s="225"/>
      <c r="C910" s="225"/>
      <c r="D910" s="9" t="s">
        <v>119</v>
      </c>
      <c r="E910" s="227" t="s">
        <v>145</v>
      </c>
      <c r="F910" s="228"/>
      <c r="G910" s="228"/>
      <c r="H910" s="228"/>
      <c r="L910" s="110"/>
      <c r="M910" s="110"/>
      <c r="N910" s="110"/>
      <c r="O910" s="110"/>
      <c r="P910" s="8"/>
      <c r="Q910" s="8"/>
      <c r="R910" s="10"/>
      <c r="S910" s="10"/>
    </row>
    <row r="911" spans="2:19" ht="14" outlineLevel="1">
      <c r="B911" s="225"/>
      <c r="C911" s="225"/>
      <c r="D911" s="224"/>
      <c r="E911" s="232"/>
      <c r="F911" s="9" t="s">
        <v>27</v>
      </c>
      <c r="G911" s="9"/>
      <c r="H911" s="7" t="s">
        <v>146</v>
      </c>
      <c r="I911" s="32" t="s">
        <v>330</v>
      </c>
      <c r="J911" s="8" t="s">
        <v>333</v>
      </c>
      <c r="K911" s="53">
        <v>44000</v>
      </c>
      <c r="L911" s="53">
        <v>44000</v>
      </c>
      <c r="M911" s="8" t="s">
        <v>146</v>
      </c>
      <c r="N911" s="8" t="s">
        <v>335</v>
      </c>
      <c r="O911" s="8" t="s">
        <v>326</v>
      </c>
      <c r="P911" s="8"/>
      <c r="Q911" s="8"/>
      <c r="R911" s="10"/>
      <c r="S911" s="10"/>
    </row>
    <row r="912" spans="2:19" ht="14" outlineLevel="1">
      <c r="B912" s="225"/>
      <c r="C912" s="225"/>
      <c r="D912" s="225"/>
      <c r="E912" s="232"/>
      <c r="F912" s="9"/>
      <c r="G912" s="9"/>
      <c r="H912" s="7" t="s">
        <v>146</v>
      </c>
      <c r="I912" s="32" t="s">
        <v>3</v>
      </c>
      <c r="J912" s="8" t="s">
        <v>333</v>
      </c>
      <c r="K912" s="53">
        <v>44081</v>
      </c>
      <c r="L912" s="53">
        <v>44081</v>
      </c>
      <c r="M912" s="8" t="s">
        <v>1442</v>
      </c>
      <c r="N912" s="8" t="s">
        <v>393</v>
      </c>
      <c r="O912" s="12" t="s">
        <v>326</v>
      </c>
      <c r="P912" s="8"/>
      <c r="Q912" s="8"/>
      <c r="R912" s="10"/>
      <c r="S912" s="10"/>
    </row>
    <row r="913" spans="2:19" ht="14" outlineLevel="1">
      <c r="B913" s="225"/>
      <c r="C913" s="225"/>
      <c r="D913" s="225"/>
      <c r="E913" s="232"/>
      <c r="F913" s="9"/>
      <c r="G913" s="9"/>
      <c r="H913" s="7" t="s">
        <v>146</v>
      </c>
      <c r="I913" s="32" t="s">
        <v>654</v>
      </c>
      <c r="J913" s="8" t="s">
        <v>333</v>
      </c>
      <c r="K913" s="55" t="s">
        <v>349</v>
      </c>
      <c r="L913" s="53">
        <v>44298</v>
      </c>
      <c r="M913" s="8" t="s">
        <v>1442</v>
      </c>
      <c r="N913" s="8" t="s">
        <v>1441</v>
      </c>
      <c r="O913" s="12" t="s">
        <v>326</v>
      </c>
      <c r="P913" s="8"/>
      <c r="Q913" s="8"/>
      <c r="R913" s="10"/>
      <c r="S913" s="10"/>
    </row>
    <row r="914" spans="2:19" ht="14" outlineLevel="1">
      <c r="B914" s="225"/>
      <c r="C914" s="225"/>
      <c r="D914" s="225"/>
      <c r="E914" s="232"/>
      <c r="F914" s="9"/>
      <c r="G914" s="9"/>
      <c r="H914" s="7" t="s">
        <v>146</v>
      </c>
      <c r="I914" s="32" t="s">
        <v>729</v>
      </c>
      <c r="J914" s="8" t="s">
        <v>333</v>
      </c>
      <c r="K914" s="55" t="s">
        <v>349</v>
      </c>
      <c r="L914" s="53">
        <v>44732</v>
      </c>
      <c r="M914" s="8" t="s">
        <v>1442</v>
      </c>
      <c r="N914" s="8" t="s">
        <v>2984</v>
      </c>
      <c r="O914" s="12" t="s">
        <v>326</v>
      </c>
      <c r="P914" s="8"/>
      <c r="Q914" s="8"/>
      <c r="R914" s="10"/>
      <c r="S914" s="10"/>
    </row>
    <row r="915" spans="2:19" outlineLevel="1">
      <c r="B915" s="225"/>
      <c r="C915" s="225"/>
      <c r="D915" s="225"/>
      <c r="E915" s="232"/>
      <c r="F915" s="9"/>
      <c r="G915" s="9"/>
      <c r="H915" s="7"/>
      <c r="I915" s="32"/>
      <c r="J915" s="8"/>
      <c r="K915" s="53"/>
      <c r="L915" s="53"/>
      <c r="M915" s="8"/>
      <c r="N915" s="8"/>
      <c r="O915" s="12"/>
      <c r="P915" s="8"/>
      <c r="Q915" s="8"/>
      <c r="R915" s="10"/>
      <c r="S915" s="10"/>
    </row>
    <row r="916" spans="2:19" ht="14" outlineLevel="1">
      <c r="B916" s="225"/>
      <c r="C916" s="225"/>
      <c r="D916" s="225"/>
      <c r="E916" s="232"/>
      <c r="F916" s="9" t="s">
        <v>29</v>
      </c>
      <c r="G916" s="9"/>
      <c r="H916" s="33" t="s">
        <v>861</v>
      </c>
      <c r="I916" s="32" t="s">
        <v>3</v>
      </c>
      <c r="J916" s="8" t="s">
        <v>333</v>
      </c>
      <c r="K916" s="53">
        <v>44195</v>
      </c>
      <c r="L916" s="55">
        <v>44200</v>
      </c>
      <c r="M916" s="8" t="s">
        <v>860</v>
      </c>
      <c r="N916" s="8" t="s">
        <v>855</v>
      </c>
      <c r="O916" s="8" t="s">
        <v>326</v>
      </c>
      <c r="P916" s="8"/>
      <c r="Q916" s="8"/>
      <c r="R916" s="10"/>
      <c r="S916" s="10"/>
    </row>
    <row r="917" spans="2:19" ht="14" outlineLevel="1">
      <c r="B917" s="225"/>
      <c r="C917" s="225"/>
      <c r="D917" s="225"/>
      <c r="E917" s="232"/>
      <c r="F917" s="9" t="s">
        <v>35</v>
      </c>
      <c r="G917" s="9"/>
      <c r="H917" s="33" t="s">
        <v>243</v>
      </c>
      <c r="I917" s="32" t="s">
        <v>3</v>
      </c>
      <c r="J917" s="8" t="s">
        <v>333</v>
      </c>
      <c r="K917" s="53">
        <v>44195</v>
      </c>
      <c r="L917" s="55">
        <v>44200</v>
      </c>
      <c r="M917" s="8" t="s">
        <v>859</v>
      </c>
      <c r="N917" s="8" t="s">
        <v>855</v>
      </c>
      <c r="O917" s="8" t="s">
        <v>326</v>
      </c>
      <c r="P917" s="8"/>
      <c r="Q917" s="8"/>
      <c r="R917" s="10"/>
      <c r="S917" s="10"/>
    </row>
    <row r="918" spans="2:19" ht="14" outlineLevel="1">
      <c r="B918" s="225"/>
      <c r="C918" s="225"/>
      <c r="D918" s="225"/>
      <c r="E918" s="232"/>
      <c r="F918" s="9" t="s">
        <v>36</v>
      </c>
      <c r="G918" s="9"/>
      <c r="H918" s="33" t="s">
        <v>244</v>
      </c>
      <c r="I918" s="32" t="s">
        <v>349</v>
      </c>
      <c r="J918" s="8" t="s">
        <v>333</v>
      </c>
      <c r="K918" s="53">
        <v>44195</v>
      </c>
      <c r="L918" s="55">
        <v>44200</v>
      </c>
      <c r="M918" s="8" t="s">
        <v>863</v>
      </c>
      <c r="N918" s="8" t="s">
        <v>855</v>
      </c>
      <c r="O918" s="8" t="s">
        <v>326</v>
      </c>
      <c r="P918" s="8"/>
      <c r="Q918" s="8"/>
      <c r="R918" s="10"/>
      <c r="S918" s="10"/>
    </row>
    <row r="919" spans="2:19" ht="14" outlineLevel="1">
      <c r="B919" s="225"/>
      <c r="C919" s="225"/>
      <c r="D919" s="225"/>
      <c r="E919" s="232"/>
      <c r="F919" s="9" t="s">
        <v>38</v>
      </c>
      <c r="G919" s="9"/>
      <c r="H919" s="33" t="s">
        <v>245</v>
      </c>
      <c r="I919" s="32"/>
      <c r="J919" s="8" t="s">
        <v>333</v>
      </c>
      <c r="K919" s="53">
        <v>44195</v>
      </c>
      <c r="L919" s="55">
        <v>44200</v>
      </c>
      <c r="M919" s="8" t="s">
        <v>981</v>
      </c>
      <c r="N919" s="8" t="s">
        <v>855</v>
      </c>
      <c r="O919" s="8" t="s">
        <v>326</v>
      </c>
      <c r="P919" s="8"/>
      <c r="Q919" s="8"/>
      <c r="R919" s="10"/>
      <c r="S919" s="10"/>
    </row>
    <row r="920" spans="2:19" ht="14" outlineLevel="1">
      <c r="B920" s="225"/>
      <c r="C920" s="225"/>
      <c r="D920" s="225"/>
      <c r="E920" s="232"/>
      <c r="F920" s="9" t="s">
        <v>40</v>
      </c>
      <c r="G920" s="9"/>
      <c r="H920" s="33" t="s">
        <v>202</v>
      </c>
      <c r="I920" s="32"/>
      <c r="J920" s="8"/>
      <c r="K920" s="53"/>
      <c r="L920" s="55"/>
      <c r="M920" s="8"/>
      <c r="N920" s="8"/>
      <c r="O920" s="8"/>
      <c r="P920" s="8"/>
      <c r="Q920" s="8"/>
      <c r="R920" s="10"/>
      <c r="S920" s="10"/>
    </row>
    <row r="921" spans="2:19" ht="14" outlineLevel="1">
      <c r="B921" s="225"/>
      <c r="C921" s="225"/>
      <c r="D921" s="225"/>
      <c r="E921" s="232"/>
      <c r="F921" s="9"/>
      <c r="G921" s="9"/>
      <c r="H921" s="109" t="s">
        <v>1904</v>
      </c>
      <c r="I921" s="32" t="s">
        <v>3</v>
      </c>
      <c r="J921" s="8" t="s">
        <v>332</v>
      </c>
      <c r="K921" s="53" t="s">
        <v>349</v>
      </c>
      <c r="L921" s="53">
        <v>44376</v>
      </c>
      <c r="M921" s="8" t="s">
        <v>1919</v>
      </c>
      <c r="N921" s="8" t="s">
        <v>1913</v>
      </c>
      <c r="O921" s="12" t="s">
        <v>326</v>
      </c>
      <c r="P921" s="8"/>
      <c r="Q921" s="8"/>
      <c r="R921" s="10"/>
      <c r="S921" s="10"/>
    </row>
    <row r="922" spans="2:19" ht="14" outlineLevel="1">
      <c r="B922" s="225"/>
      <c r="C922" s="225"/>
      <c r="D922" s="225"/>
      <c r="E922" s="232"/>
      <c r="F922" s="9"/>
      <c r="G922" s="9"/>
      <c r="H922" s="109" t="s">
        <v>1906</v>
      </c>
      <c r="I922" s="32" t="s">
        <v>3</v>
      </c>
      <c r="J922" s="8" t="s">
        <v>332</v>
      </c>
      <c r="K922" s="53" t="s">
        <v>349</v>
      </c>
      <c r="L922" s="53">
        <v>44376</v>
      </c>
      <c r="M922" s="8" t="s">
        <v>1916</v>
      </c>
      <c r="N922" s="8" t="s">
        <v>1913</v>
      </c>
      <c r="O922" s="12" t="s">
        <v>326</v>
      </c>
      <c r="P922" s="8"/>
      <c r="Q922" s="8"/>
      <c r="R922" s="10"/>
      <c r="S922" s="10"/>
    </row>
    <row r="923" spans="2:19" ht="14" outlineLevel="1">
      <c r="B923" s="225"/>
      <c r="C923" s="225"/>
      <c r="D923" s="225"/>
      <c r="E923" s="232"/>
      <c r="F923" s="9"/>
      <c r="G923" s="9"/>
      <c r="H923" s="109" t="s">
        <v>1908</v>
      </c>
      <c r="I923" s="32" t="s">
        <v>3</v>
      </c>
      <c r="J923" s="8" t="s">
        <v>332</v>
      </c>
      <c r="K923" s="53" t="s">
        <v>349</v>
      </c>
      <c r="L923" s="53">
        <v>44376</v>
      </c>
      <c r="M923" s="8" t="s">
        <v>1917</v>
      </c>
      <c r="N923" s="8" t="s">
        <v>1913</v>
      </c>
      <c r="O923" s="12" t="s">
        <v>326</v>
      </c>
      <c r="P923" s="8"/>
      <c r="Q923" s="8"/>
      <c r="R923" s="10"/>
      <c r="S923" s="10"/>
    </row>
    <row r="924" spans="2:19" ht="14" outlineLevel="1">
      <c r="B924" s="225"/>
      <c r="C924" s="225"/>
      <c r="D924" s="225"/>
      <c r="E924" s="232"/>
      <c r="F924" s="9"/>
      <c r="G924" s="9"/>
      <c r="H924" s="109" t="s">
        <v>1910</v>
      </c>
      <c r="I924" s="32" t="s">
        <v>1915</v>
      </c>
      <c r="J924" s="8" t="s">
        <v>332</v>
      </c>
      <c r="K924" s="53" t="s">
        <v>349</v>
      </c>
      <c r="L924" s="53">
        <v>44376</v>
      </c>
      <c r="M924" s="8" t="s">
        <v>1918</v>
      </c>
      <c r="N924" s="8" t="s">
        <v>1913</v>
      </c>
      <c r="O924" s="12" t="s">
        <v>326</v>
      </c>
      <c r="P924" s="8"/>
      <c r="Q924" s="8"/>
      <c r="R924" s="10"/>
      <c r="S924" s="10"/>
    </row>
    <row r="925" spans="2:19" outlineLevel="1">
      <c r="B925" s="225"/>
      <c r="C925" s="225"/>
      <c r="D925" s="225"/>
      <c r="E925" s="232"/>
      <c r="F925" s="9"/>
      <c r="G925" s="9"/>
      <c r="H925" s="109"/>
      <c r="I925" s="32"/>
      <c r="J925" s="8"/>
      <c r="K925" s="53"/>
      <c r="L925" s="53"/>
      <c r="M925" s="8"/>
      <c r="N925" s="8"/>
      <c r="O925" s="12"/>
      <c r="P925" s="8"/>
      <c r="Q925" s="8"/>
      <c r="R925" s="10"/>
      <c r="S925" s="10"/>
    </row>
    <row r="926" spans="2:19" ht="14" outlineLevel="1">
      <c r="B926" s="225"/>
      <c r="C926" s="225"/>
      <c r="D926" s="225"/>
      <c r="E926" s="232"/>
      <c r="F926" s="9" t="s">
        <v>108</v>
      </c>
      <c r="G926" s="9"/>
      <c r="H926" s="43" t="s">
        <v>1801</v>
      </c>
      <c r="I926" s="32"/>
      <c r="J926" s="8"/>
      <c r="K926" s="53"/>
      <c r="L926" s="53"/>
      <c r="M926" s="8"/>
      <c r="N926" s="8"/>
      <c r="O926" s="12"/>
      <c r="P926" s="8"/>
      <c r="Q926" s="8"/>
      <c r="R926" s="10"/>
      <c r="S926" s="10"/>
    </row>
    <row r="927" spans="2:19" outlineLevel="1">
      <c r="B927" s="225"/>
      <c r="C927" s="225"/>
      <c r="D927" s="225"/>
      <c r="E927" s="232"/>
      <c r="F927" s="9"/>
      <c r="G927" s="9"/>
      <c r="H927" s="109" t="s">
        <v>2624</v>
      </c>
      <c r="I927" s="32"/>
      <c r="J927" s="8"/>
      <c r="K927" s="53"/>
      <c r="L927" s="53"/>
      <c r="M927" s="8"/>
      <c r="N927" s="8"/>
      <c r="O927" s="12"/>
      <c r="P927" s="8"/>
      <c r="Q927" s="8"/>
      <c r="R927" s="10"/>
      <c r="S927" s="10"/>
    </row>
    <row r="928" spans="2:19" ht="14" outlineLevel="1">
      <c r="B928" s="225"/>
      <c r="C928" s="225"/>
      <c r="D928" s="225"/>
      <c r="E928" s="232"/>
      <c r="F928" s="9"/>
      <c r="G928" s="9"/>
      <c r="H928" s="169" t="s">
        <v>2002</v>
      </c>
      <c r="I928" s="32" t="s">
        <v>3</v>
      </c>
      <c r="J928" s="8" t="s">
        <v>332</v>
      </c>
      <c r="K928" s="53" t="s">
        <v>349</v>
      </c>
      <c r="L928" s="53">
        <v>44391</v>
      </c>
      <c r="M928" s="71" t="s">
        <v>2001</v>
      </c>
      <c r="N928" s="8" t="s">
        <v>2015</v>
      </c>
      <c r="O928" s="12" t="s">
        <v>326</v>
      </c>
      <c r="P928" s="8"/>
      <c r="Q928" s="8"/>
      <c r="R928" s="10"/>
      <c r="S928" s="10"/>
    </row>
    <row r="929" spans="2:19" ht="14" outlineLevel="1">
      <c r="B929" s="225"/>
      <c r="C929" s="225"/>
      <c r="D929" s="225"/>
      <c r="E929" s="232"/>
      <c r="F929" s="9"/>
      <c r="G929" s="9"/>
      <c r="H929" s="169" t="s">
        <v>2004</v>
      </c>
      <c r="I929" s="32" t="s">
        <v>3</v>
      </c>
      <c r="J929" s="8" t="s">
        <v>332</v>
      </c>
      <c r="K929" s="53" t="s">
        <v>349</v>
      </c>
      <c r="L929" s="53">
        <v>44391</v>
      </c>
      <c r="M929" s="71" t="s">
        <v>2003</v>
      </c>
      <c r="N929" s="8" t="s">
        <v>2015</v>
      </c>
      <c r="O929" s="12" t="s">
        <v>326</v>
      </c>
      <c r="P929" s="8"/>
      <c r="Q929" s="8"/>
      <c r="R929" s="10"/>
      <c r="S929" s="10"/>
    </row>
    <row r="930" spans="2:19" ht="14" outlineLevel="1">
      <c r="B930" s="225"/>
      <c r="C930" s="225"/>
      <c r="D930" s="225"/>
      <c r="E930" s="232"/>
      <c r="F930" s="9"/>
      <c r="G930" s="9"/>
      <c r="H930" s="169" t="s">
        <v>2006</v>
      </c>
      <c r="I930" s="32" t="s">
        <v>3</v>
      </c>
      <c r="J930" s="8" t="s">
        <v>332</v>
      </c>
      <c r="K930" s="53" t="s">
        <v>349</v>
      </c>
      <c r="L930" s="53">
        <v>44391</v>
      </c>
      <c r="M930" s="71" t="s">
        <v>2005</v>
      </c>
      <c r="N930" s="8" t="s">
        <v>2015</v>
      </c>
      <c r="O930" s="12" t="s">
        <v>326</v>
      </c>
      <c r="P930" s="8"/>
      <c r="Q930" s="8"/>
      <c r="R930" s="10"/>
      <c r="S930" s="10"/>
    </row>
    <row r="931" spans="2:19" ht="14" outlineLevel="1">
      <c r="B931" s="225"/>
      <c r="C931" s="225"/>
      <c r="D931" s="225"/>
      <c r="E931" s="232"/>
      <c r="F931" s="9"/>
      <c r="G931" s="9"/>
      <c r="H931" s="169" t="s">
        <v>2008</v>
      </c>
      <c r="I931" s="32" t="s">
        <v>512</v>
      </c>
      <c r="J931" s="8" t="s">
        <v>332</v>
      </c>
      <c r="K931" s="53" t="s">
        <v>349</v>
      </c>
      <c r="L931" s="53">
        <v>44391</v>
      </c>
      <c r="M931" s="71" t="s">
        <v>2007</v>
      </c>
      <c r="N931" s="8" t="s">
        <v>2015</v>
      </c>
      <c r="O931" s="12" t="s">
        <v>326</v>
      </c>
      <c r="P931" s="8"/>
      <c r="Q931" s="8"/>
      <c r="R931" s="10"/>
      <c r="S931" s="10"/>
    </row>
    <row r="932" spans="2:19" ht="14" outlineLevel="1">
      <c r="B932" s="225"/>
      <c r="C932" s="225"/>
      <c r="D932" s="225"/>
      <c r="E932" s="232"/>
      <c r="F932" s="9"/>
      <c r="G932" s="9"/>
      <c r="H932" s="169" t="s">
        <v>2010</v>
      </c>
      <c r="I932" s="32" t="s">
        <v>3</v>
      </c>
      <c r="J932" s="8" t="s">
        <v>332</v>
      </c>
      <c r="K932" s="53" t="s">
        <v>349</v>
      </c>
      <c r="L932" s="53">
        <v>44391</v>
      </c>
      <c r="M932" s="71" t="s">
        <v>2009</v>
      </c>
      <c r="N932" s="8" t="s">
        <v>2015</v>
      </c>
      <c r="O932" s="12" t="s">
        <v>326</v>
      </c>
      <c r="P932" s="8"/>
      <c r="Q932" s="8"/>
      <c r="R932" s="10"/>
      <c r="S932" s="10"/>
    </row>
    <row r="933" spans="2:19" outlineLevel="1">
      <c r="B933" s="225"/>
      <c r="C933" s="225"/>
      <c r="D933" s="225"/>
      <c r="E933" s="232"/>
      <c r="F933" s="9"/>
      <c r="G933" s="9"/>
      <c r="H933" s="169"/>
      <c r="I933" s="32"/>
      <c r="J933" s="8"/>
      <c r="K933" s="53"/>
      <c r="L933" s="53"/>
      <c r="M933" s="71"/>
      <c r="N933" s="8"/>
      <c r="O933" s="12"/>
      <c r="P933" s="8"/>
      <c r="Q933" s="8"/>
      <c r="R933" s="10"/>
      <c r="S933" s="10"/>
    </row>
    <row r="934" spans="2:19" outlineLevel="1">
      <c r="B934" s="225"/>
      <c r="C934" s="225"/>
      <c r="D934" s="225"/>
      <c r="E934" s="232"/>
      <c r="F934" s="9"/>
      <c r="G934" s="9"/>
      <c r="H934" s="109" t="s">
        <v>2625</v>
      </c>
      <c r="I934" s="32"/>
      <c r="J934" s="8"/>
      <c r="K934" s="53"/>
      <c r="L934" s="53"/>
      <c r="M934" s="71"/>
      <c r="N934" s="8"/>
      <c r="O934" s="12"/>
      <c r="P934" s="8"/>
      <c r="Q934" s="8"/>
      <c r="R934" s="10"/>
      <c r="S934" s="10"/>
    </row>
    <row r="935" spans="2:19" ht="28" outlineLevel="1">
      <c r="B935" s="225"/>
      <c r="C935" s="225"/>
      <c r="D935" s="225"/>
      <c r="E935" s="232"/>
      <c r="F935" s="9"/>
      <c r="G935" s="9"/>
      <c r="H935" s="169" t="s">
        <v>2724</v>
      </c>
      <c r="I935" s="32" t="s">
        <v>3</v>
      </c>
      <c r="J935" s="8" t="s">
        <v>333</v>
      </c>
      <c r="K935" s="53" t="s">
        <v>349</v>
      </c>
      <c r="L935" s="53">
        <v>44621</v>
      </c>
      <c r="M935" s="71" t="s">
        <v>1916</v>
      </c>
      <c r="N935" s="8" t="s">
        <v>2726</v>
      </c>
      <c r="O935" s="12" t="s">
        <v>326</v>
      </c>
      <c r="P935" s="8"/>
      <c r="Q935" s="8"/>
      <c r="R935" s="10"/>
      <c r="S935" s="10"/>
    </row>
    <row r="936" spans="2:19" ht="28" outlineLevel="1">
      <c r="B936" s="225"/>
      <c r="C936" s="225"/>
      <c r="D936" s="225"/>
      <c r="E936" s="232"/>
      <c r="F936" s="9"/>
      <c r="G936" s="9"/>
      <c r="H936" s="169" t="s">
        <v>2725</v>
      </c>
      <c r="I936" s="32" t="s">
        <v>3</v>
      </c>
      <c r="J936" s="8" t="s">
        <v>333</v>
      </c>
      <c r="K936" s="53" t="s">
        <v>349</v>
      </c>
      <c r="L936" s="53">
        <v>44621</v>
      </c>
      <c r="M936" s="71" t="s">
        <v>1916</v>
      </c>
      <c r="N936" s="8" t="s">
        <v>2726</v>
      </c>
      <c r="O936" s="12" t="s">
        <v>326</v>
      </c>
      <c r="P936" s="8"/>
      <c r="Q936" s="8"/>
      <c r="R936" s="10"/>
      <c r="S936" s="10"/>
    </row>
    <row r="937" spans="2:19" outlineLevel="1">
      <c r="B937" s="225"/>
      <c r="C937" s="225"/>
      <c r="D937" s="225"/>
      <c r="E937" s="232"/>
      <c r="F937" s="9"/>
      <c r="G937" s="9"/>
      <c r="H937" s="169"/>
      <c r="I937" s="32"/>
      <c r="J937" s="8"/>
      <c r="K937" s="53"/>
      <c r="L937" s="53"/>
      <c r="M937" s="71"/>
      <c r="N937" s="8"/>
      <c r="O937" s="12"/>
      <c r="P937" s="8"/>
      <c r="Q937" s="8"/>
      <c r="R937" s="10"/>
      <c r="S937" s="10"/>
    </row>
    <row r="938" spans="2:19" outlineLevel="1">
      <c r="B938" s="225"/>
      <c r="C938" s="225"/>
      <c r="D938" s="225"/>
      <c r="E938" s="232"/>
      <c r="F938" s="9"/>
      <c r="G938" s="9"/>
      <c r="H938" s="109" t="s">
        <v>2626</v>
      </c>
      <c r="I938" s="32"/>
      <c r="J938" s="8"/>
      <c r="K938" s="53"/>
      <c r="L938" s="53"/>
      <c r="M938" s="71"/>
      <c r="N938" s="8"/>
      <c r="O938" s="12"/>
      <c r="P938" s="8"/>
      <c r="Q938" s="8"/>
      <c r="R938" s="10"/>
      <c r="S938" s="10"/>
    </row>
    <row r="939" spans="2:19" ht="14" outlineLevel="1">
      <c r="B939" s="225"/>
      <c r="C939" s="225"/>
      <c r="D939" s="225"/>
      <c r="E939" s="232"/>
      <c r="F939" s="9"/>
      <c r="G939" s="9"/>
      <c r="H939" s="169" t="s">
        <v>3471</v>
      </c>
      <c r="I939" s="32" t="s">
        <v>3</v>
      </c>
      <c r="J939" s="8" t="s">
        <v>333</v>
      </c>
      <c r="K939" s="53" t="s">
        <v>349</v>
      </c>
      <c r="L939" s="53">
        <v>44952</v>
      </c>
      <c r="M939" s="71" t="s">
        <v>1916</v>
      </c>
      <c r="N939" s="8" t="s">
        <v>3470</v>
      </c>
      <c r="O939" s="12" t="s">
        <v>326</v>
      </c>
      <c r="P939" s="8"/>
      <c r="Q939" s="8"/>
      <c r="R939" s="10"/>
      <c r="S939" s="10"/>
    </row>
    <row r="940" spans="2:19" ht="14" outlineLevel="1">
      <c r="B940" s="225"/>
      <c r="C940" s="225"/>
      <c r="D940" s="225"/>
      <c r="E940" s="232"/>
      <c r="F940" s="9"/>
      <c r="G940" s="9"/>
      <c r="H940" s="169" t="s">
        <v>3472</v>
      </c>
      <c r="I940" s="32" t="s">
        <v>3</v>
      </c>
      <c r="J940" s="8" t="s">
        <v>333</v>
      </c>
      <c r="K940" s="53" t="s">
        <v>349</v>
      </c>
      <c r="L940" s="53">
        <v>44952</v>
      </c>
      <c r="M940" s="71" t="s">
        <v>1916</v>
      </c>
      <c r="N940" s="8" t="s">
        <v>3470</v>
      </c>
      <c r="O940" s="12" t="s">
        <v>326</v>
      </c>
      <c r="P940" s="8"/>
      <c r="Q940" s="8"/>
      <c r="R940" s="10"/>
      <c r="S940" s="10"/>
    </row>
    <row r="941" spans="2:19" outlineLevel="1">
      <c r="B941" s="225"/>
      <c r="C941" s="225"/>
      <c r="D941" s="225"/>
      <c r="E941" s="232"/>
      <c r="F941" s="9"/>
      <c r="G941" s="9"/>
      <c r="H941" s="169"/>
      <c r="I941" s="32"/>
      <c r="J941" s="8"/>
      <c r="K941" s="53"/>
      <c r="L941" s="53"/>
      <c r="M941" s="71"/>
      <c r="N941" s="8"/>
      <c r="O941" s="12"/>
      <c r="P941" s="8"/>
      <c r="Q941" s="8"/>
      <c r="R941" s="10"/>
      <c r="S941" s="10"/>
    </row>
    <row r="942" spans="2:19" outlineLevel="1">
      <c r="B942" s="225"/>
      <c r="C942" s="225"/>
      <c r="D942" s="225"/>
      <c r="E942" s="232"/>
      <c r="F942" s="9"/>
      <c r="G942" s="9"/>
      <c r="H942" s="109" t="s">
        <v>2627</v>
      </c>
      <c r="I942" s="32"/>
      <c r="J942" s="8"/>
      <c r="K942" s="53"/>
      <c r="L942" s="53"/>
      <c r="M942" s="71"/>
      <c r="N942" s="8"/>
      <c r="O942" s="12"/>
      <c r="P942" s="8"/>
      <c r="Q942" s="8"/>
      <c r="R942" s="10"/>
      <c r="S942" s="10"/>
    </row>
    <row r="943" spans="2:19" ht="14" outlineLevel="1">
      <c r="B943" s="225"/>
      <c r="C943" s="225"/>
      <c r="D943" s="225"/>
      <c r="E943" s="232"/>
      <c r="F943" s="9"/>
      <c r="G943" s="9"/>
      <c r="H943" s="169" t="s">
        <v>3684</v>
      </c>
      <c r="I943" s="32" t="s">
        <v>3</v>
      </c>
      <c r="J943" s="8" t="s">
        <v>333</v>
      </c>
      <c r="K943" s="53" t="s">
        <v>349</v>
      </c>
      <c r="L943" s="53">
        <v>45028</v>
      </c>
      <c r="M943" s="71" t="s">
        <v>1916</v>
      </c>
      <c r="N943" s="8" t="s">
        <v>3686</v>
      </c>
      <c r="O943" s="12" t="s">
        <v>326</v>
      </c>
      <c r="P943" s="8"/>
      <c r="Q943" s="8"/>
      <c r="R943" s="10"/>
      <c r="S943" s="10"/>
    </row>
    <row r="944" spans="2:19" ht="14" outlineLevel="1">
      <c r="B944" s="225"/>
      <c r="C944" s="225"/>
      <c r="D944" s="225"/>
      <c r="E944" s="232"/>
      <c r="F944" s="9"/>
      <c r="G944" s="9"/>
      <c r="H944" s="169" t="s">
        <v>3685</v>
      </c>
      <c r="I944" s="32" t="s">
        <v>3</v>
      </c>
      <c r="J944" s="8" t="s">
        <v>333</v>
      </c>
      <c r="K944" s="53" t="s">
        <v>349</v>
      </c>
      <c r="L944" s="53">
        <v>45028</v>
      </c>
      <c r="M944" s="71" t="s">
        <v>1916</v>
      </c>
      <c r="N944" s="8" t="s">
        <v>3686</v>
      </c>
      <c r="O944" s="12" t="s">
        <v>326</v>
      </c>
      <c r="P944" s="8"/>
      <c r="Q944" s="8"/>
      <c r="R944" s="10"/>
      <c r="S944" s="10"/>
    </row>
    <row r="945" spans="2:19" outlineLevel="1">
      <c r="B945" s="225"/>
      <c r="C945" s="225"/>
      <c r="D945" s="225"/>
      <c r="E945" s="232"/>
      <c r="F945" s="9"/>
      <c r="G945" s="9"/>
      <c r="H945" s="169"/>
      <c r="I945" s="32"/>
      <c r="J945" s="8"/>
      <c r="K945" s="53"/>
      <c r="L945" s="53"/>
      <c r="M945" s="71"/>
      <c r="N945" s="8"/>
      <c r="O945" s="12"/>
      <c r="P945" s="8"/>
      <c r="Q945" s="8"/>
      <c r="R945" s="10"/>
      <c r="S945" s="10"/>
    </row>
    <row r="946" spans="2:19" outlineLevel="1">
      <c r="B946" s="225"/>
      <c r="C946" s="225"/>
      <c r="D946" s="225"/>
      <c r="E946" s="232"/>
      <c r="F946" s="9"/>
      <c r="G946" s="9"/>
      <c r="H946" s="153"/>
      <c r="I946" s="32"/>
      <c r="J946" s="8"/>
      <c r="K946" s="53"/>
      <c r="L946" s="53"/>
      <c r="M946" s="71"/>
      <c r="N946" s="8"/>
      <c r="O946" s="12"/>
      <c r="P946" s="8"/>
      <c r="Q946" s="8"/>
      <c r="R946" s="10"/>
      <c r="S946" s="10"/>
    </row>
    <row r="947" spans="2:19" ht="14" outlineLevel="1">
      <c r="B947" s="225"/>
      <c r="C947" s="225"/>
      <c r="D947" s="225"/>
      <c r="E947" s="232"/>
      <c r="F947" s="9" t="s">
        <v>129</v>
      </c>
      <c r="G947" s="9"/>
      <c r="H947" s="70" t="s">
        <v>2251</v>
      </c>
      <c r="I947" s="32" t="s">
        <v>3</v>
      </c>
      <c r="J947" s="8" t="s">
        <v>333</v>
      </c>
      <c r="K947" s="53" t="s">
        <v>349</v>
      </c>
      <c r="L947" s="53">
        <v>44474</v>
      </c>
      <c r="M947" s="53" t="s">
        <v>349</v>
      </c>
      <c r="N947" s="8" t="s">
        <v>2320</v>
      </c>
      <c r="O947" s="12" t="s">
        <v>326</v>
      </c>
      <c r="P947" s="8"/>
      <c r="Q947" s="8"/>
      <c r="R947" s="10"/>
      <c r="S947" s="10"/>
    </row>
    <row r="948" spans="2:19" outlineLevel="1">
      <c r="B948" s="225"/>
      <c r="C948" s="225"/>
      <c r="D948" s="225"/>
      <c r="E948" s="232"/>
      <c r="F948" s="9"/>
      <c r="G948" s="9"/>
      <c r="H948" s="70"/>
      <c r="I948" s="32"/>
      <c r="J948" s="8"/>
      <c r="K948" s="53"/>
      <c r="L948" s="53"/>
      <c r="M948" s="53"/>
      <c r="N948" s="8"/>
      <c r="O948" s="12"/>
      <c r="P948" s="8"/>
      <c r="Q948" s="8"/>
      <c r="R948" s="10"/>
      <c r="S948" s="10"/>
    </row>
    <row r="949" spans="2:19" ht="14" outlineLevel="1">
      <c r="B949" s="225"/>
      <c r="C949" s="225"/>
      <c r="D949" s="225"/>
      <c r="E949" s="232"/>
      <c r="F949" s="9" t="s">
        <v>134</v>
      </c>
      <c r="G949" s="9"/>
      <c r="H949" s="65" t="s">
        <v>1384</v>
      </c>
      <c r="I949" s="32"/>
      <c r="J949" s="8"/>
      <c r="K949" s="53"/>
      <c r="L949" s="53"/>
      <c r="M949" s="53"/>
      <c r="N949" s="8"/>
      <c r="O949" s="12"/>
      <c r="P949" s="8"/>
      <c r="Q949" s="8"/>
      <c r="R949" s="10"/>
      <c r="S949" s="10"/>
    </row>
    <row r="950" spans="2:19" outlineLevel="1">
      <c r="B950" s="225"/>
      <c r="C950" s="225"/>
      <c r="D950" s="225"/>
      <c r="E950" s="232"/>
      <c r="F950" s="9"/>
      <c r="G950" s="9"/>
      <c r="H950" s="147" t="s">
        <v>2173</v>
      </c>
      <c r="I950" s="32"/>
      <c r="J950" s="8"/>
      <c r="K950" s="53"/>
      <c r="L950" s="53"/>
      <c r="M950" s="53"/>
      <c r="N950" s="8"/>
      <c r="O950" s="12"/>
      <c r="P950" s="8"/>
      <c r="Q950" s="8"/>
      <c r="R950" s="10"/>
      <c r="S950" s="10"/>
    </row>
    <row r="951" spans="2:19" ht="14" outlineLevel="1">
      <c r="B951" s="225"/>
      <c r="C951" s="225"/>
      <c r="D951" s="225"/>
      <c r="E951" s="232"/>
      <c r="F951" s="9"/>
      <c r="G951" s="9"/>
      <c r="H951" s="147" t="s">
        <v>2618</v>
      </c>
      <c r="I951" s="32" t="s">
        <v>3</v>
      </c>
      <c r="J951" s="8" t="s">
        <v>333</v>
      </c>
      <c r="K951" s="53" t="s">
        <v>50</v>
      </c>
      <c r="L951" s="53">
        <v>44538</v>
      </c>
      <c r="M951" s="71">
        <v>4804510</v>
      </c>
      <c r="N951" s="8" t="s">
        <v>2544</v>
      </c>
      <c r="O951" s="12" t="s">
        <v>326</v>
      </c>
      <c r="P951" s="8"/>
      <c r="Q951" s="8"/>
      <c r="R951" s="10"/>
      <c r="S951" s="10"/>
    </row>
    <row r="952" spans="2:19" ht="14" outlineLevel="1">
      <c r="B952" s="225"/>
      <c r="C952" s="225"/>
      <c r="D952" s="225"/>
      <c r="E952" s="232"/>
      <c r="F952" s="9"/>
      <c r="G952" s="9"/>
      <c r="H952" s="147" t="s">
        <v>2619</v>
      </c>
      <c r="I952" s="32" t="s">
        <v>3</v>
      </c>
      <c r="J952" s="8" t="s">
        <v>333</v>
      </c>
      <c r="K952" s="53" t="s">
        <v>50</v>
      </c>
      <c r="L952" s="53">
        <v>44571</v>
      </c>
      <c r="M952" s="71">
        <v>5012981</v>
      </c>
      <c r="N952" s="8" t="s">
        <v>2620</v>
      </c>
      <c r="O952" s="12" t="s">
        <v>326</v>
      </c>
      <c r="P952" s="8"/>
      <c r="Q952" s="8"/>
      <c r="R952" s="10"/>
      <c r="S952" s="10"/>
    </row>
    <row r="953" spans="2:19" outlineLevel="1">
      <c r="B953" s="225"/>
      <c r="C953" s="225"/>
      <c r="D953" s="225"/>
      <c r="E953" s="232"/>
      <c r="F953" s="9"/>
      <c r="G953" s="9"/>
      <c r="H953" s="147" t="s">
        <v>2622</v>
      </c>
      <c r="I953" s="32"/>
      <c r="J953" s="8"/>
      <c r="K953" s="53"/>
      <c r="L953" s="53"/>
      <c r="M953" s="71"/>
      <c r="N953" s="8"/>
      <c r="O953" s="12"/>
      <c r="P953" s="8"/>
      <c r="Q953" s="8"/>
      <c r="R953" s="10"/>
      <c r="S953" s="10"/>
    </row>
    <row r="954" spans="2:19" outlineLevel="1">
      <c r="B954" s="225"/>
      <c r="C954" s="225"/>
      <c r="D954" s="225"/>
      <c r="E954" s="232"/>
      <c r="F954" s="9"/>
      <c r="G954" s="9"/>
      <c r="H954" s="147" t="s">
        <v>2623</v>
      </c>
      <c r="I954" s="32"/>
      <c r="J954" s="8"/>
      <c r="K954" s="53"/>
      <c r="L954" s="53"/>
      <c r="M954" s="71"/>
      <c r="N954" s="8"/>
      <c r="O954" s="12"/>
      <c r="P954" s="8"/>
      <c r="Q954" s="8"/>
      <c r="R954" s="10"/>
      <c r="S954" s="10"/>
    </row>
    <row r="955" spans="2:19" outlineLevel="1">
      <c r="B955" s="225"/>
      <c r="C955" s="225"/>
      <c r="D955" s="225"/>
      <c r="E955" s="232"/>
      <c r="F955" s="9"/>
      <c r="G955" s="9"/>
      <c r="H955" s="147"/>
      <c r="I955" s="32"/>
      <c r="J955" s="8"/>
      <c r="K955" s="53"/>
      <c r="L955" s="53"/>
      <c r="M955" s="71"/>
      <c r="N955" s="8"/>
      <c r="O955" s="12"/>
      <c r="P955" s="8"/>
      <c r="Q955" s="8"/>
      <c r="R955" s="10"/>
      <c r="S955" s="10"/>
    </row>
    <row r="956" spans="2:19" ht="14" outlineLevel="1">
      <c r="B956" s="225"/>
      <c r="C956" s="225"/>
      <c r="D956" s="225"/>
      <c r="E956" s="232"/>
      <c r="F956" s="9" t="s">
        <v>135</v>
      </c>
      <c r="G956" s="9"/>
      <c r="H956" s="65" t="s">
        <v>2641</v>
      </c>
      <c r="I956" s="32" t="s">
        <v>3</v>
      </c>
      <c r="J956" s="8" t="s">
        <v>332</v>
      </c>
      <c r="K956" s="53" t="s">
        <v>50</v>
      </c>
      <c r="L956" s="53">
        <v>44595</v>
      </c>
      <c r="M956" s="71" t="s">
        <v>2643</v>
      </c>
      <c r="N956" s="8" t="s">
        <v>2646</v>
      </c>
      <c r="O956" s="12" t="s">
        <v>326</v>
      </c>
      <c r="P956" s="8"/>
      <c r="Q956" s="8"/>
      <c r="R956" s="10"/>
      <c r="S956" s="10"/>
    </row>
    <row r="957" spans="2:19" ht="14" outlineLevel="1">
      <c r="B957" s="225"/>
      <c r="C957" s="225"/>
      <c r="D957" s="225"/>
      <c r="E957" s="232"/>
      <c r="F957" s="9"/>
      <c r="G957" s="9"/>
      <c r="H957" s="65" t="s">
        <v>2641</v>
      </c>
      <c r="I957" s="32" t="s">
        <v>512</v>
      </c>
      <c r="J957" s="8" t="s">
        <v>332</v>
      </c>
      <c r="K957" s="53" t="s">
        <v>50</v>
      </c>
      <c r="L957" s="53">
        <v>45261</v>
      </c>
      <c r="M957" s="53" t="s">
        <v>50</v>
      </c>
      <c r="N957" s="8" t="s">
        <v>4145</v>
      </c>
      <c r="O957" s="12" t="s">
        <v>326</v>
      </c>
      <c r="P957" s="8"/>
      <c r="Q957" s="8"/>
      <c r="R957" s="10"/>
      <c r="S957" s="10"/>
    </row>
    <row r="958" spans="2:19" ht="14" outlineLevel="1">
      <c r="B958" s="225"/>
      <c r="C958" s="225"/>
      <c r="D958" s="225"/>
      <c r="E958" s="232"/>
      <c r="F958" s="9" t="s">
        <v>204</v>
      </c>
      <c r="G958" s="9"/>
      <c r="H958" s="54" t="s">
        <v>2642</v>
      </c>
      <c r="I958" s="32" t="s">
        <v>3</v>
      </c>
      <c r="J958" s="8" t="s">
        <v>332</v>
      </c>
      <c r="K958" s="53" t="s">
        <v>50</v>
      </c>
      <c r="L958" s="53">
        <v>44595</v>
      </c>
      <c r="M958" s="71" t="s">
        <v>2644</v>
      </c>
      <c r="N958" s="8" t="s">
        <v>2646</v>
      </c>
      <c r="O958" s="12" t="s">
        <v>326</v>
      </c>
      <c r="P958" s="8"/>
      <c r="Q958" s="8"/>
      <c r="R958" s="10"/>
      <c r="S958" s="10"/>
    </row>
    <row r="959" spans="2:19" ht="14" outlineLevel="1">
      <c r="B959" s="225"/>
      <c r="C959" s="225"/>
      <c r="D959" s="225"/>
      <c r="E959" s="232"/>
      <c r="F959" s="9"/>
      <c r="G959" s="9"/>
      <c r="H959" s="54" t="s">
        <v>2642</v>
      </c>
      <c r="I959" s="32" t="s">
        <v>512</v>
      </c>
      <c r="J959" s="8" t="s">
        <v>332</v>
      </c>
      <c r="K959" s="53" t="s">
        <v>50</v>
      </c>
      <c r="L959" s="53">
        <v>45261</v>
      </c>
      <c r="M959" s="53" t="s">
        <v>50</v>
      </c>
      <c r="N959" s="8" t="s">
        <v>4145</v>
      </c>
      <c r="O959" s="12" t="s">
        <v>326</v>
      </c>
      <c r="P959" s="8"/>
      <c r="Q959" s="8"/>
      <c r="R959" s="10"/>
      <c r="S959" s="10"/>
    </row>
    <row r="960" spans="2:19" ht="14" outlineLevel="1">
      <c r="B960" s="225"/>
      <c r="C960" s="225"/>
      <c r="D960" s="225"/>
      <c r="E960" s="232"/>
      <c r="F960" s="9" t="s">
        <v>205</v>
      </c>
      <c r="G960" s="9"/>
      <c r="H960" s="54" t="s">
        <v>2034</v>
      </c>
      <c r="I960" s="32" t="s">
        <v>3</v>
      </c>
      <c r="J960" s="8" t="s">
        <v>332</v>
      </c>
      <c r="K960" s="53" t="s">
        <v>50</v>
      </c>
      <c r="L960" s="53">
        <v>44595</v>
      </c>
      <c r="M960" s="71" t="s">
        <v>2645</v>
      </c>
      <c r="N960" s="8" t="s">
        <v>2646</v>
      </c>
      <c r="O960" s="12" t="s">
        <v>326</v>
      </c>
      <c r="P960" s="8"/>
      <c r="Q960" s="8"/>
      <c r="R960" s="10"/>
      <c r="S960" s="10"/>
    </row>
    <row r="961" spans="2:19" outlineLevel="1">
      <c r="B961" s="225"/>
      <c r="C961" s="225"/>
      <c r="D961" s="225"/>
      <c r="E961" s="232"/>
      <c r="F961" s="9"/>
      <c r="G961" s="9"/>
      <c r="H961" s="65"/>
      <c r="I961" s="32"/>
      <c r="J961" s="8"/>
      <c r="K961" s="53"/>
      <c r="L961" s="53"/>
      <c r="M961" s="8"/>
      <c r="N961" s="8"/>
      <c r="O961" s="12"/>
      <c r="P961" s="8"/>
      <c r="Q961" s="8"/>
      <c r="R961" s="10"/>
      <c r="S961" s="10"/>
    </row>
    <row r="962" spans="2:19" ht="12.75" customHeight="1" outlineLevel="1">
      <c r="B962" s="225"/>
      <c r="C962" s="225"/>
      <c r="D962" s="9" t="s">
        <v>148</v>
      </c>
      <c r="E962" s="251" t="s">
        <v>246</v>
      </c>
      <c r="F962" s="251"/>
      <c r="G962" s="251"/>
      <c r="H962" s="251"/>
      <c r="I962" s="31"/>
      <c r="J962" s="12"/>
      <c r="K962" s="12"/>
      <c r="L962" s="12"/>
      <c r="M962" s="12"/>
      <c r="N962" s="12"/>
      <c r="O962" s="12"/>
      <c r="P962" s="8"/>
      <c r="Q962" s="8"/>
      <c r="R962" s="10"/>
      <c r="S962" s="10"/>
    </row>
    <row r="963" spans="2:19" ht="28" outlineLevel="1">
      <c r="B963" s="225"/>
      <c r="C963" s="225"/>
      <c r="D963" s="221"/>
      <c r="E963" s="221"/>
      <c r="F963" s="34" t="s">
        <v>27</v>
      </c>
      <c r="G963" s="34"/>
      <c r="H963" s="54" t="s">
        <v>247</v>
      </c>
      <c r="I963" s="31" t="s">
        <v>3</v>
      </c>
      <c r="J963" s="12" t="s">
        <v>333</v>
      </c>
      <c r="K963" s="55">
        <v>44165</v>
      </c>
      <c r="L963" s="55">
        <v>44169</v>
      </c>
      <c r="M963" s="12" t="s">
        <v>1576</v>
      </c>
      <c r="N963" s="12" t="s">
        <v>720</v>
      </c>
      <c r="O963" s="12" t="s">
        <v>326</v>
      </c>
      <c r="P963" s="8"/>
      <c r="Q963" s="8"/>
      <c r="R963" s="10"/>
      <c r="S963" s="10"/>
    </row>
    <row r="964" spans="2:19" ht="28" outlineLevel="1">
      <c r="B964" s="225"/>
      <c r="C964" s="225"/>
      <c r="D964" s="222"/>
      <c r="E964" s="222"/>
      <c r="F964" s="34"/>
      <c r="G964" s="34"/>
      <c r="H964" s="54" t="s">
        <v>247</v>
      </c>
      <c r="I964" s="31" t="s">
        <v>512</v>
      </c>
      <c r="J964" s="12" t="s">
        <v>333</v>
      </c>
      <c r="K964" s="55" t="s">
        <v>349</v>
      </c>
      <c r="L964" s="55">
        <v>44250</v>
      </c>
      <c r="M964" s="12" t="s">
        <v>1576</v>
      </c>
      <c r="N964" s="12" t="s">
        <v>1162</v>
      </c>
      <c r="O964" s="12" t="s">
        <v>326</v>
      </c>
      <c r="P964" s="8"/>
      <c r="Q964" s="8"/>
      <c r="R964" s="10"/>
      <c r="S964" s="10"/>
    </row>
    <row r="965" spans="2:19" ht="28" outlineLevel="1">
      <c r="B965" s="225"/>
      <c r="C965" s="225"/>
      <c r="D965" s="222"/>
      <c r="E965" s="222"/>
      <c r="F965" s="34"/>
      <c r="G965" s="34"/>
      <c r="H965" s="54" t="s">
        <v>247</v>
      </c>
      <c r="I965" s="31" t="s">
        <v>654</v>
      </c>
      <c r="J965" s="12" t="s">
        <v>333</v>
      </c>
      <c r="K965" s="55" t="s">
        <v>349</v>
      </c>
      <c r="L965" s="55">
        <v>44315</v>
      </c>
      <c r="M965" s="12" t="s">
        <v>1576</v>
      </c>
      <c r="N965" s="12" t="s">
        <v>1570</v>
      </c>
      <c r="O965" s="12" t="s">
        <v>326</v>
      </c>
      <c r="P965" s="8"/>
      <c r="Q965" s="8"/>
      <c r="R965" s="10"/>
      <c r="S965" s="10"/>
    </row>
    <row r="966" spans="2:19" ht="28" outlineLevel="1">
      <c r="B966" s="225"/>
      <c r="C966" s="225"/>
      <c r="D966" s="222"/>
      <c r="E966" s="222"/>
      <c r="F966" s="34"/>
      <c r="G966" s="34"/>
      <c r="H966" s="54" t="s">
        <v>247</v>
      </c>
      <c r="I966" s="31" t="s">
        <v>730</v>
      </c>
      <c r="J966" s="12" t="s">
        <v>333</v>
      </c>
      <c r="K966" s="55" t="s">
        <v>349</v>
      </c>
      <c r="L966" s="55">
        <v>45216</v>
      </c>
      <c r="M966" s="12" t="s">
        <v>1576</v>
      </c>
      <c r="N966" s="12" t="s">
        <v>3976</v>
      </c>
      <c r="O966" s="12" t="s">
        <v>326</v>
      </c>
      <c r="P966" s="8"/>
      <c r="Q966" s="8"/>
      <c r="R966" s="10"/>
      <c r="S966" s="10"/>
    </row>
    <row r="967" spans="2:19" outlineLevel="1">
      <c r="B967" s="225"/>
      <c r="C967" s="225"/>
      <c r="D967" s="222"/>
      <c r="E967" s="222"/>
      <c r="F967" s="34"/>
      <c r="G967" s="34"/>
      <c r="H967" s="54"/>
      <c r="I967" s="31"/>
      <c r="J967" s="12"/>
      <c r="K967" s="55"/>
      <c r="L967" s="55"/>
      <c r="M967" s="12"/>
      <c r="N967" s="12"/>
      <c r="O967" s="12"/>
      <c r="P967" s="8"/>
      <c r="Q967" s="8"/>
      <c r="R967" s="10"/>
      <c r="S967" s="10"/>
    </row>
    <row r="968" spans="2:19" ht="14" outlineLevel="1">
      <c r="B968" s="225"/>
      <c r="C968" s="225"/>
      <c r="D968" s="222"/>
      <c r="E968" s="222"/>
      <c r="F968" s="34" t="s">
        <v>29</v>
      </c>
      <c r="G968" s="34"/>
      <c r="H968" s="54" t="s">
        <v>248</v>
      </c>
      <c r="I968" s="31" t="s">
        <v>3</v>
      </c>
      <c r="J968" s="12" t="s">
        <v>333</v>
      </c>
      <c r="K968" s="55">
        <v>44195</v>
      </c>
      <c r="L968" s="55">
        <v>44200</v>
      </c>
      <c r="M968" s="12" t="s">
        <v>862</v>
      </c>
      <c r="N968" s="12" t="s">
        <v>855</v>
      </c>
      <c r="O968" s="12" t="s">
        <v>326</v>
      </c>
      <c r="P968" s="8"/>
      <c r="Q968" s="8"/>
      <c r="R968" s="10"/>
      <c r="S968" s="10"/>
    </row>
    <row r="969" spans="2:19" outlineLevel="1">
      <c r="B969" s="225"/>
      <c r="C969" s="225"/>
      <c r="D969" s="223"/>
      <c r="E969" s="223"/>
      <c r="F969" s="34"/>
      <c r="G969" s="34"/>
      <c r="H969" s="54"/>
      <c r="I969" s="31"/>
      <c r="J969" s="12"/>
      <c r="K969" s="55"/>
      <c r="L969" s="55"/>
      <c r="M969" s="12"/>
      <c r="N969" s="12"/>
      <c r="O969" s="12"/>
      <c r="P969" s="8"/>
      <c r="Q969" s="8"/>
      <c r="R969" s="10"/>
      <c r="S969" s="10"/>
    </row>
    <row r="970" spans="2:19" ht="12.75" customHeight="1" outlineLevel="1">
      <c r="B970" s="225"/>
      <c r="C970" s="225"/>
      <c r="D970" s="9" t="s">
        <v>149</v>
      </c>
      <c r="E970" s="227" t="s">
        <v>1188</v>
      </c>
      <c r="F970" s="228"/>
      <c r="G970" s="228"/>
      <c r="H970" s="229"/>
      <c r="I970" s="32"/>
      <c r="J970" s="8"/>
      <c r="K970" s="53"/>
      <c r="L970" s="55"/>
      <c r="M970" s="8"/>
      <c r="N970" s="8"/>
      <c r="O970" s="8"/>
      <c r="P970" s="8"/>
      <c r="Q970" s="8"/>
      <c r="R970" s="10"/>
      <c r="S970" s="10"/>
    </row>
    <row r="971" spans="2:19" ht="14" outlineLevel="1">
      <c r="B971" s="225"/>
      <c r="C971" s="225"/>
      <c r="D971" s="224"/>
      <c r="E971" s="232"/>
      <c r="F971" s="9" t="s">
        <v>27</v>
      </c>
      <c r="G971" s="9"/>
      <c r="H971" s="33" t="s">
        <v>250</v>
      </c>
      <c r="I971" s="32" t="s">
        <v>330</v>
      </c>
      <c r="J971" s="8" t="s">
        <v>333</v>
      </c>
      <c r="K971" s="53">
        <v>44029</v>
      </c>
      <c r="L971" s="53">
        <v>44029</v>
      </c>
      <c r="M971" s="8" t="s">
        <v>348</v>
      </c>
      <c r="N971" s="8" t="s">
        <v>335</v>
      </c>
      <c r="O971" s="8" t="s">
        <v>326</v>
      </c>
      <c r="P971" s="8"/>
      <c r="Q971" s="8"/>
      <c r="R971" s="10"/>
      <c r="S971" s="10"/>
    </row>
    <row r="972" spans="2:19" ht="14" outlineLevel="1">
      <c r="B972" s="225"/>
      <c r="C972" s="225"/>
      <c r="D972" s="225"/>
      <c r="E972" s="232"/>
      <c r="F972" s="9"/>
      <c r="G972" s="9"/>
      <c r="H972" s="33" t="s">
        <v>250</v>
      </c>
      <c r="I972" s="32"/>
      <c r="J972" s="8" t="s">
        <v>333</v>
      </c>
      <c r="K972" s="53">
        <v>44104</v>
      </c>
      <c r="L972" s="53">
        <v>44082</v>
      </c>
      <c r="M972" s="8" t="s">
        <v>408</v>
      </c>
      <c r="N972" s="8" t="s">
        <v>400</v>
      </c>
      <c r="O972" s="12" t="s">
        <v>326</v>
      </c>
      <c r="P972" s="8"/>
      <c r="Q972" s="8"/>
      <c r="R972" s="10"/>
      <c r="S972" s="10"/>
    </row>
    <row r="973" spans="2:19" ht="14" outlineLevel="1">
      <c r="B973" s="225"/>
      <c r="C973" s="225"/>
      <c r="D973" s="225"/>
      <c r="E973" s="232"/>
      <c r="F973" s="9" t="s">
        <v>29</v>
      </c>
      <c r="G973" s="9"/>
      <c r="H973" s="33" t="s">
        <v>251</v>
      </c>
      <c r="I973" s="32" t="s">
        <v>3</v>
      </c>
      <c r="J973" s="8" t="s">
        <v>333</v>
      </c>
      <c r="K973" s="53">
        <v>44195</v>
      </c>
      <c r="L973" s="55">
        <v>44200</v>
      </c>
      <c r="M973" s="8" t="s">
        <v>858</v>
      </c>
      <c r="N973" s="8" t="s">
        <v>855</v>
      </c>
      <c r="O973" s="8" t="s">
        <v>326</v>
      </c>
      <c r="P973" s="8"/>
      <c r="Q973" s="8"/>
      <c r="R973" s="10"/>
      <c r="S973" s="10"/>
    </row>
    <row r="974" spans="2:19" ht="14" outlineLevel="1">
      <c r="B974" s="225"/>
      <c r="C974" s="225"/>
      <c r="D974" s="225"/>
      <c r="E974" s="232"/>
      <c r="F974" s="9" t="s">
        <v>35</v>
      </c>
      <c r="G974" s="9"/>
      <c r="H974" s="33" t="s">
        <v>252</v>
      </c>
      <c r="I974" s="32" t="s">
        <v>3</v>
      </c>
      <c r="J974" s="8" t="s">
        <v>333</v>
      </c>
      <c r="K974" s="53">
        <v>44195</v>
      </c>
      <c r="L974" s="55">
        <v>44200</v>
      </c>
      <c r="M974" s="8" t="s">
        <v>349</v>
      </c>
      <c r="N974" s="8" t="s">
        <v>855</v>
      </c>
      <c r="O974" s="8" t="s">
        <v>326</v>
      </c>
      <c r="P974" s="8"/>
      <c r="Q974" s="8"/>
      <c r="R974" s="10"/>
      <c r="S974" s="10"/>
    </row>
    <row r="975" spans="2:19" ht="14" outlineLevel="1">
      <c r="B975" s="225"/>
      <c r="C975" s="225"/>
      <c r="D975" s="225"/>
      <c r="E975" s="232"/>
      <c r="F975" s="9" t="s">
        <v>36</v>
      </c>
      <c r="G975" s="9"/>
      <c r="H975" s="65" t="s">
        <v>1384</v>
      </c>
      <c r="I975" s="55"/>
      <c r="J975" s="8"/>
      <c r="K975" s="55"/>
      <c r="L975" s="55"/>
      <c r="M975" s="8"/>
      <c r="N975" s="8"/>
      <c r="O975" s="8"/>
      <c r="P975" s="8"/>
      <c r="Q975" s="8"/>
      <c r="R975" s="10"/>
      <c r="S975" s="10"/>
    </row>
    <row r="976" spans="2:19" ht="14" outlineLevel="1">
      <c r="B976" s="225"/>
      <c r="C976" s="225"/>
      <c r="D976" s="225"/>
      <c r="E976" s="232"/>
      <c r="F976" s="9"/>
      <c r="G976" s="9"/>
      <c r="H976" s="147" t="s">
        <v>2173</v>
      </c>
      <c r="I976" s="55" t="s">
        <v>349</v>
      </c>
      <c r="J976" s="8" t="s">
        <v>333</v>
      </c>
      <c r="K976" s="55" t="s">
        <v>349</v>
      </c>
      <c r="L976" s="55">
        <v>44364</v>
      </c>
      <c r="M976" s="8" t="s">
        <v>1777</v>
      </c>
      <c r="N976" s="8" t="s">
        <v>1778</v>
      </c>
      <c r="O976" s="8" t="s">
        <v>326</v>
      </c>
      <c r="P976" s="8"/>
      <c r="Q976" s="8"/>
      <c r="R976" s="10"/>
      <c r="S976" s="10"/>
    </row>
    <row r="977" spans="2:19" ht="14" outlineLevel="1">
      <c r="B977" s="225"/>
      <c r="C977" s="225"/>
      <c r="D977" s="225"/>
      <c r="E977" s="232"/>
      <c r="F977" s="9"/>
      <c r="G977" s="9"/>
      <c r="H977" s="147" t="s">
        <v>2618</v>
      </c>
      <c r="I977" s="55" t="s">
        <v>349</v>
      </c>
      <c r="J977" s="8" t="s">
        <v>333</v>
      </c>
      <c r="K977" s="55" t="s">
        <v>349</v>
      </c>
      <c r="L977" s="53">
        <v>44403</v>
      </c>
      <c r="M977" s="71">
        <v>4817093</v>
      </c>
      <c r="N977" s="8" t="s">
        <v>2051</v>
      </c>
      <c r="O977" s="12" t="s">
        <v>326</v>
      </c>
      <c r="P977" s="8"/>
      <c r="Q977" s="8"/>
      <c r="R977" s="10"/>
      <c r="S977" s="10"/>
    </row>
    <row r="978" spans="2:19" ht="14" outlineLevel="1">
      <c r="B978" s="225"/>
      <c r="C978" s="225"/>
      <c r="D978" s="225"/>
      <c r="E978" s="232"/>
      <c r="F978" s="9"/>
      <c r="G978" s="9"/>
      <c r="H978" s="147" t="s">
        <v>2619</v>
      </c>
      <c r="I978" s="55" t="s">
        <v>349</v>
      </c>
      <c r="J978" s="8" t="s">
        <v>333</v>
      </c>
      <c r="K978" s="55" t="s">
        <v>349</v>
      </c>
      <c r="L978" s="53">
        <v>44650</v>
      </c>
      <c r="M978" s="71" t="s">
        <v>2814</v>
      </c>
      <c r="N978" s="8" t="s">
        <v>2813</v>
      </c>
      <c r="O978" s="12" t="s">
        <v>326</v>
      </c>
      <c r="P978" s="8"/>
      <c r="Q978" s="8"/>
      <c r="R978" s="10"/>
      <c r="S978" s="10"/>
    </row>
    <row r="979" spans="2:19" ht="14" outlineLevel="1">
      <c r="B979" s="225"/>
      <c r="C979" s="225"/>
      <c r="D979" s="225"/>
      <c r="E979" s="232"/>
      <c r="F979" s="9"/>
      <c r="G979" s="9"/>
      <c r="H979" s="147" t="s">
        <v>2622</v>
      </c>
      <c r="I979" s="55" t="s">
        <v>349</v>
      </c>
      <c r="J979" s="8" t="s">
        <v>333</v>
      </c>
      <c r="K979" s="55" t="s">
        <v>349</v>
      </c>
      <c r="L979" s="53">
        <v>44952</v>
      </c>
      <c r="M979" s="71" t="s">
        <v>3425</v>
      </c>
      <c r="N979" s="8" t="s">
        <v>3451</v>
      </c>
      <c r="O979" s="12" t="s">
        <v>326</v>
      </c>
      <c r="P979" s="8"/>
      <c r="Q979" s="8"/>
      <c r="R979" s="10"/>
      <c r="S979" s="10"/>
    </row>
    <row r="980" spans="2:19" ht="14" outlineLevel="1">
      <c r="B980" s="225"/>
      <c r="C980" s="225"/>
      <c r="D980" s="225"/>
      <c r="E980" s="232"/>
      <c r="F980" s="9"/>
      <c r="G980" s="9"/>
      <c r="H980" s="147" t="s">
        <v>2623</v>
      </c>
      <c r="I980" s="55" t="s">
        <v>349</v>
      </c>
      <c r="J980" s="8" t="s">
        <v>333</v>
      </c>
      <c r="K980" s="55" t="s">
        <v>349</v>
      </c>
      <c r="L980" s="53">
        <v>44952</v>
      </c>
      <c r="M980" s="71" t="s">
        <v>3447</v>
      </c>
      <c r="N980" s="8" t="s">
        <v>3451</v>
      </c>
      <c r="O980" s="12" t="s">
        <v>326</v>
      </c>
      <c r="P980" s="8"/>
      <c r="Q980" s="8"/>
      <c r="R980" s="10"/>
      <c r="S980" s="10"/>
    </row>
    <row r="981" spans="2:19" outlineLevel="1">
      <c r="B981" s="225"/>
      <c r="C981" s="225"/>
      <c r="D981" s="225"/>
      <c r="E981" s="232"/>
      <c r="F981" s="9"/>
      <c r="G981" s="9"/>
      <c r="H981" s="147" t="s">
        <v>3123</v>
      </c>
      <c r="I981" s="55"/>
      <c r="J981" s="12"/>
      <c r="K981" s="55"/>
      <c r="L981" s="53"/>
      <c r="M981" s="71"/>
      <c r="N981" s="8"/>
      <c r="O981" s="12"/>
      <c r="P981" s="8"/>
      <c r="Q981" s="8"/>
      <c r="R981" s="10"/>
      <c r="S981" s="10"/>
    </row>
    <row r="982" spans="2:19" outlineLevel="1">
      <c r="B982" s="225"/>
      <c r="C982" s="225"/>
      <c r="D982" s="225"/>
      <c r="E982" s="232"/>
      <c r="F982" s="9"/>
      <c r="G982" s="9"/>
      <c r="H982" s="147"/>
      <c r="I982" s="55"/>
      <c r="J982" s="12"/>
      <c r="K982" s="55"/>
      <c r="L982" s="53"/>
      <c r="M982" s="71"/>
      <c r="N982" s="8"/>
      <c r="O982" s="12"/>
      <c r="P982" s="8"/>
      <c r="Q982" s="8"/>
      <c r="R982" s="10"/>
      <c r="S982" s="10"/>
    </row>
    <row r="983" spans="2:19" ht="14" outlineLevel="1">
      <c r="B983" s="225"/>
      <c r="C983" s="225"/>
      <c r="D983" s="225"/>
      <c r="E983" s="232"/>
      <c r="F983" s="9" t="s">
        <v>38</v>
      </c>
      <c r="G983" s="9"/>
      <c r="H983" s="33" t="s">
        <v>1801</v>
      </c>
      <c r="I983" s="32"/>
      <c r="J983" s="8"/>
      <c r="K983" s="53"/>
      <c r="L983" s="55"/>
      <c r="M983" s="8"/>
      <c r="N983" s="8"/>
      <c r="O983" s="8"/>
      <c r="P983" s="8"/>
      <c r="Q983" s="8"/>
      <c r="R983" s="10"/>
      <c r="S983" s="10"/>
    </row>
    <row r="984" spans="2:19" ht="14" outlineLevel="1">
      <c r="B984" s="225"/>
      <c r="C984" s="225"/>
      <c r="D984" s="225"/>
      <c r="E984" s="232"/>
      <c r="F984" s="9"/>
      <c r="G984" s="9"/>
      <c r="H984" s="109" t="s">
        <v>2624</v>
      </c>
      <c r="I984" s="55" t="s">
        <v>349</v>
      </c>
      <c r="J984" s="12" t="s">
        <v>332</v>
      </c>
      <c r="K984" s="55" t="s">
        <v>349</v>
      </c>
      <c r="L984" s="53">
        <v>44391</v>
      </c>
      <c r="M984" s="71" t="s">
        <v>2011</v>
      </c>
      <c r="N984" s="8" t="s">
        <v>2015</v>
      </c>
      <c r="O984" s="12" t="s">
        <v>326</v>
      </c>
      <c r="P984" s="8"/>
      <c r="Q984" s="8"/>
      <c r="R984" s="10"/>
      <c r="S984" s="10"/>
    </row>
    <row r="985" spans="2:19" ht="14" outlineLevel="1">
      <c r="B985" s="225"/>
      <c r="C985" s="225"/>
      <c r="D985" s="225"/>
      <c r="E985" s="232"/>
      <c r="F985" s="9"/>
      <c r="G985" s="9"/>
      <c r="H985" s="109" t="s">
        <v>2625</v>
      </c>
      <c r="I985" s="55" t="s">
        <v>349</v>
      </c>
      <c r="J985" s="12" t="s">
        <v>332</v>
      </c>
      <c r="K985" s="55" t="s">
        <v>349</v>
      </c>
      <c r="L985" s="53">
        <v>44650</v>
      </c>
      <c r="M985" s="71" t="s">
        <v>2802</v>
      </c>
      <c r="N985" s="8" t="s">
        <v>2803</v>
      </c>
      <c r="O985" s="12" t="s">
        <v>326</v>
      </c>
      <c r="P985" s="8"/>
      <c r="Q985" s="8"/>
      <c r="R985" s="10"/>
      <c r="S985" s="10"/>
    </row>
    <row r="986" spans="2:19" ht="14" outlineLevel="1">
      <c r="B986" s="225"/>
      <c r="C986" s="225"/>
      <c r="D986" s="225"/>
      <c r="E986" s="232"/>
      <c r="F986" s="9"/>
      <c r="G986" s="9"/>
      <c r="H986" s="109" t="s">
        <v>2626</v>
      </c>
      <c r="I986" s="55" t="s">
        <v>349</v>
      </c>
      <c r="J986" s="12" t="s">
        <v>332</v>
      </c>
      <c r="K986" s="55" t="s">
        <v>349</v>
      </c>
      <c r="L986" s="53">
        <v>44952</v>
      </c>
      <c r="M986" s="71" t="s">
        <v>2011</v>
      </c>
      <c r="N986" s="8" t="s">
        <v>3470</v>
      </c>
      <c r="O986" s="12" t="s">
        <v>326</v>
      </c>
      <c r="P986" s="8"/>
      <c r="Q986" s="8"/>
      <c r="R986" s="10"/>
      <c r="S986" s="10"/>
    </row>
    <row r="987" spans="2:19" ht="14" outlineLevel="1">
      <c r="B987" s="225"/>
      <c r="C987" s="225"/>
      <c r="D987" s="225"/>
      <c r="E987" s="232"/>
      <c r="F987" s="9"/>
      <c r="G987" s="9"/>
      <c r="H987" s="109" t="s">
        <v>2627</v>
      </c>
      <c r="I987" s="55" t="s">
        <v>349</v>
      </c>
      <c r="J987" s="12" t="s">
        <v>332</v>
      </c>
      <c r="K987" s="55" t="s">
        <v>349</v>
      </c>
      <c r="L987" s="53">
        <v>44952</v>
      </c>
      <c r="M987" s="71" t="s">
        <v>2011</v>
      </c>
      <c r="N987" s="8" t="s">
        <v>3470</v>
      </c>
      <c r="O987" s="12" t="s">
        <v>326</v>
      </c>
      <c r="P987" s="8"/>
      <c r="Q987" s="8"/>
      <c r="R987" s="10"/>
      <c r="S987" s="10"/>
    </row>
    <row r="988" spans="2:19" outlineLevel="1">
      <c r="B988" s="225"/>
      <c r="C988" s="225"/>
      <c r="D988" s="225"/>
      <c r="E988" s="232"/>
      <c r="F988" s="9"/>
      <c r="G988" s="9"/>
      <c r="H988" s="109" t="s">
        <v>2628</v>
      </c>
      <c r="I988" s="55"/>
      <c r="J988" s="12"/>
      <c r="K988" s="55"/>
      <c r="L988" s="53"/>
      <c r="M988" s="71"/>
      <c r="N988" s="8"/>
      <c r="O988" s="12"/>
      <c r="P988" s="8"/>
      <c r="Q988" s="8"/>
      <c r="R988" s="10"/>
      <c r="S988" s="10"/>
    </row>
    <row r="989" spans="2:19" outlineLevel="1">
      <c r="B989" s="225"/>
      <c r="C989" s="225"/>
      <c r="D989" s="225"/>
      <c r="E989" s="232"/>
      <c r="F989" s="9"/>
      <c r="G989" s="9"/>
      <c r="H989" s="109"/>
      <c r="I989" s="55"/>
      <c r="J989" s="12"/>
      <c r="K989" s="55"/>
      <c r="L989" s="53"/>
      <c r="M989" s="71"/>
      <c r="N989" s="8"/>
      <c r="O989" s="12"/>
      <c r="P989" s="8"/>
      <c r="Q989" s="8"/>
      <c r="R989" s="10"/>
      <c r="S989" s="10"/>
    </row>
    <row r="990" spans="2:19" ht="14" outlineLevel="1">
      <c r="B990" s="225"/>
      <c r="C990" s="225"/>
      <c r="D990" s="225"/>
      <c r="E990" s="232"/>
      <c r="F990" s="34" t="s">
        <v>40</v>
      </c>
      <c r="G990" s="34"/>
      <c r="H990" s="54" t="s">
        <v>1993</v>
      </c>
      <c r="I990" s="55" t="s">
        <v>349</v>
      </c>
      <c r="J990" s="12" t="s">
        <v>332</v>
      </c>
      <c r="K990" s="55" t="s">
        <v>349</v>
      </c>
      <c r="L990" s="53">
        <v>44455</v>
      </c>
      <c r="M990" s="71" t="s">
        <v>2272</v>
      </c>
      <c r="N990" s="8" t="s">
        <v>2273</v>
      </c>
      <c r="O990" s="12" t="s">
        <v>326</v>
      </c>
      <c r="P990" s="8"/>
      <c r="Q990" s="8"/>
      <c r="R990" s="10"/>
      <c r="S990" s="10"/>
    </row>
    <row r="991" spans="2:19" ht="14" outlineLevel="1">
      <c r="B991" s="225"/>
      <c r="C991" s="225"/>
      <c r="D991" s="225"/>
      <c r="E991" s="232"/>
      <c r="F991" s="34"/>
      <c r="G991" s="34"/>
      <c r="H991" s="54" t="s">
        <v>1993</v>
      </c>
      <c r="I991" s="31" t="s">
        <v>512</v>
      </c>
      <c r="J991" s="12" t="s">
        <v>332</v>
      </c>
      <c r="K991" s="55" t="s">
        <v>349</v>
      </c>
      <c r="L991" s="53">
        <v>45250</v>
      </c>
      <c r="M991" s="71" t="s">
        <v>2272</v>
      </c>
      <c r="N991" s="8" t="s">
        <v>4136</v>
      </c>
      <c r="O991" s="12" t="s">
        <v>326</v>
      </c>
      <c r="P991" s="8"/>
      <c r="Q991" s="8"/>
      <c r="R991" s="10"/>
      <c r="S991" s="10"/>
    </row>
    <row r="992" spans="2:19" outlineLevel="1">
      <c r="B992" s="225"/>
      <c r="C992" s="225"/>
      <c r="D992" s="225"/>
      <c r="E992" s="232"/>
      <c r="F992" s="34"/>
      <c r="G992" s="34"/>
      <c r="H992" s="54"/>
      <c r="I992" s="31"/>
      <c r="J992" s="12"/>
      <c r="K992" s="55"/>
      <c r="L992" s="53"/>
      <c r="M992" s="71"/>
      <c r="N992" s="8"/>
      <c r="O992" s="12"/>
      <c r="P992" s="8"/>
      <c r="Q992" s="8"/>
      <c r="R992" s="10"/>
      <c r="S992" s="10"/>
    </row>
    <row r="993" spans="2:19" ht="14" outlineLevel="1">
      <c r="B993" s="225"/>
      <c r="C993" s="225"/>
      <c r="D993" s="225"/>
      <c r="E993" s="232"/>
      <c r="F993" s="34" t="s">
        <v>108</v>
      </c>
      <c r="G993" s="34"/>
      <c r="H993" s="54" t="s">
        <v>2034</v>
      </c>
      <c r="I993" s="31" t="s">
        <v>512</v>
      </c>
      <c r="J993" s="12" t="s">
        <v>332</v>
      </c>
      <c r="K993" s="55" t="s">
        <v>349</v>
      </c>
      <c r="L993" s="53">
        <v>44455</v>
      </c>
      <c r="M993" s="71" t="s">
        <v>2272</v>
      </c>
      <c r="N993" s="8" t="s">
        <v>2273</v>
      </c>
      <c r="O993" s="12" t="s">
        <v>326</v>
      </c>
      <c r="P993" s="8"/>
      <c r="Q993" s="8"/>
      <c r="R993" s="10"/>
      <c r="S993" s="10"/>
    </row>
    <row r="994" spans="2:19" ht="14" outlineLevel="1">
      <c r="B994" s="225"/>
      <c r="C994" s="225"/>
      <c r="D994" s="225"/>
      <c r="E994" s="232"/>
      <c r="F994" s="34" t="s">
        <v>129</v>
      </c>
      <c r="G994" s="34"/>
      <c r="H994" s="54" t="s">
        <v>2251</v>
      </c>
      <c r="I994" s="32" t="s">
        <v>3</v>
      </c>
      <c r="J994" s="12" t="s">
        <v>332</v>
      </c>
      <c r="K994" s="55" t="s">
        <v>349</v>
      </c>
      <c r="L994" s="53">
        <v>44455</v>
      </c>
      <c r="M994" s="71" t="s">
        <v>2271</v>
      </c>
      <c r="N994" s="8" t="s">
        <v>2273</v>
      </c>
      <c r="O994" s="12" t="s">
        <v>326</v>
      </c>
      <c r="P994" s="8"/>
      <c r="Q994" s="8"/>
      <c r="R994" s="10"/>
      <c r="S994" s="10"/>
    </row>
    <row r="995" spans="2:19" ht="14" outlineLevel="1">
      <c r="B995" s="225"/>
      <c r="C995" s="225"/>
      <c r="D995" s="225"/>
      <c r="E995" s="232"/>
      <c r="F995" s="34" t="s">
        <v>134</v>
      </c>
      <c r="G995" s="34"/>
      <c r="H995" s="54" t="s">
        <v>3980</v>
      </c>
      <c r="I995" s="55" t="s">
        <v>349</v>
      </c>
      <c r="J995" s="12" t="s">
        <v>332</v>
      </c>
      <c r="K995" s="55" t="s">
        <v>349</v>
      </c>
      <c r="L995" s="53">
        <v>45216</v>
      </c>
      <c r="M995" s="71" t="s">
        <v>3979</v>
      </c>
      <c r="N995" s="8" t="s">
        <v>3981</v>
      </c>
      <c r="O995" s="12" t="s">
        <v>326</v>
      </c>
      <c r="P995" s="8"/>
      <c r="Q995" s="8"/>
      <c r="R995" s="10"/>
      <c r="S995" s="10"/>
    </row>
    <row r="996" spans="2:19" outlineLevel="1">
      <c r="B996" s="225"/>
      <c r="C996" s="225"/>
      <c r="D996" s="225"/>
      <c r="E996" s="232"/>
      <c r="F996" s="9"/>
      <c r="G996" s="9"/>
      <c r="H996" s="156"/>
      <c r="I996" s="55"/>
      <c r="J996" s="12"/>
      <c r="K996" s="55"/>
      <c r="L996" s="53"/>
      <c r="M996" s="71"/>
      <c r="N996" s="8"/>
      <c r="O996" s="12"/>
      <c r="P996" s="8"/>
      <c r="Q996" s="8"/>
      <c r="R996" s="10"/>
      <c r="S996" s="10"/>
    </row>
    <row r="997" spans="2:19" outlineLevel="1">
      <c r="B997" s="225"/>
      <c r="C997" s="225"/>
      <c r="D997" s="225"/>
      <c r="E997" s="232"/>
      <c r="F997" s="9"/>
      <c r="G997" s="9"/>
      <c r="H997" s="157"/>
      <c r="I997" s="55"/>
      <c r="J997" s="12"/>
      <c r="K997" s="55"/>
      <c r="L997" s="53"/>
      <c r="M997" s="71"/>
      <c r="N997" s="8"/>
      <c r="O997" s="12"/>
      <c r="P997" s="8"/>
      <c r="Q997" s="8"/>
      <c r="R997" s="10"/>
      <c r="S997" s="10"/>
    </row>
    <row r="998" spans="2:19" ht="12.75" customHeight="1" outlineLevel="1">
      <c r="B998" s="225"/>
      <c r="C998" s="225"/>
      <c r="D998" s="87" t="s">
        <v>150</v>
      </c>
      <c r="E998" s="251" t="s">
        <v>147</v>
      </c>
      <c r="F998" s="251"/>
      <c r="G998" s="251"/>
      <c r="H998" s="251"/>
      <c r="I998" s="31"/>
      <c r="J998" s="12"/>
      <c r="K998" s="12"/>
      <c r="L998" s="12"/>
      <c r="M998" s="12"/>
      <c r="N998" s="12"/>
      <c r="O998" s="12"/>
      <c r="P998" s="8"/>
      <c r="Q998" s="8"/>
      <c r="R998" s="10"/>
      <c r="S998" s="10"/>
    </row>
    <row r="999" spans="2:19" ht="28" outlineLevel="1">
      <c r="B999" s="225"/>
      <c r="C999" s="225"/>
      <c r="D999" s="224"/>
      <c r="E999" s="224"/>
      <c r="F999" s="34" t="s">
        <v>27</v>
      </c>
      <c r="G999" s="34"/>
      <c r="H999" s="54" t="s">
        <v>1223</v>
      </c>
      <c r="I999" s="31" t="s">
        <v>870</v>
      </c>
      <c r="J999" s="12" t="s">
        <v>332</v>
      </c>
      <c r="K999" s="55">
        <v>44083</v>
      </c>
      <c r="L999" s="55">
        <v>44099</v>
      </c>
      <c r="M999" s="12" t="s">
        <v>496</v>
      </c>
      <c r="N999" s="12" t="s">
        <v>495</v>
      </c>
      <c r="O999" s="12" t="s">
        <v>326</v>
      </c>
      <c r="P999" s="12"/>
      <c r="Q999" s="12"/>
      <c r="R999" s="3"/>
      <c r="S999" s="3"/>
    </row>
    <row r="1000" spans="2:19" ht="28" outlineLevel="1">
      <c r="B1000" s="225"/>
      <c r="C1000" s="225"/>
      <c r="D1000" s="225"/>
      <c r="E1000" s="225"/>
      <c r="F1000" s="34"/>
      <c r="G1000" s="34"/>
      <c r="H1000" s="54" t="s">
        <v>1223</v>
      </c>
      <c r="I1000" s="31" t="s">
        <v>871</v>
      </c>
      <c r="J1000" s="12" t="s">
        <v>332</v>
      </c>
      <c r="K1000" s="55" t="s">
        <v>349</v>
      </c>
      <c r="L1000" s="55">
        <v>44200</v>
      </c>
      <c r="M1000" s="12" t="s">
        <v>496</v>
      </c>
      <c r="N1000" s="12" t="s">
        <v>855</v>
      </c>
      <c r="O1000" s="12" t="s">
        <v>326</v>
      </c>
      <c r="P1000" s="12"/>
      <c r="Q1000" s="12"/>
      <c r="R1000" s="3"/>
      <c r="S1000" s="3"/>
    </row>
    <row r="1001" spans="2:19" ht="28" outlineLevel="1">
      <c r="B1001" s="225"/>
      <c r="C1001" s="225"/>
      <c r="D1001" s="225"/>
      <c r="E1001" s="225"/>
      <c r="F1001" s="34"/>
      <c r="G1001" s="34"/>
      <c r="H1001" s="54" t="s">
        <v>1223</v>
      </c>
      <c r="I1001" s="31" t="s">
        <v>1166</v>
      </c>
      <c r="J1001" s="12" t="s">
        <v>332</v>
      </c>
      <c r="K1001" s="55" t="s">
        <v>349</v>
      </c>
      <c r="L1001" s="55">
        <v>44253</v>
      </c>
      <c r="M1001" s="12" t="s">
        <v>496</v>
      </c>
      <c r="N1001" s="12" t="s">
        <v>1167</v>
      </c>
      <c r="O1001" s="12" t="s">
        <v>326</v>
      </c>
      <c r="P1001" s="12"/>
      <c r="Q1001" s="12"/>
      <c r="R1001" s="3"/>
      <c r="S1001" s="3"/>
    </row>
    <row r="1002" spans="2:19" ht="28" outlineLevel="1">
      <c r="B1002" s="225"/>
      <c r="C1002" s="225"/>
      <c r="D1002" s="225"/>
      <c r="E1002" s="225"/>
      <c r="F1002" s="34"/>
      <c r="G1002" s="34"/>
      <c r="H1002" s="54" t="s">
        <v>1223</v>
      </c>
      <c r="I1002" s="31" t="s">
        <v>1224</v>
      </c>
      <c r="J1002" s="12" t="s">
        <v>332</v>
      </c>
      <c r="K1002" s="55" t="s">
        <v>349</v>
      </c>
      <c r="L1002" s="55">
        <v>44266</v>
      </c>
      <c r="M1002" s="12" t="s">
        <v>496</v>
      </c>
      <c r="N1002" s="12" t="s">
        <v>1225</v>
      </c>
      <c r="O1002" s="12" t="s">
        <v>326</v>
      </c>
      <c r="P1002" s="12"/>
      <c r="Q1002" s="12"/>
      <c r="R1002" s="3"/>
      <c r="S1002" s="3"/>
    </row>
    <row r="1003" spans="2:19" ht="28" outlineLevel="1">
      <c r="B1003" s="225"/>
      <c r="C1003" s="225"/>
      <c r="D1003" s="225"/>
      <c r="E1003" s="225"/>
      <c r="F1003" s="34"/>
      <c r="G1003" s="34"/>
      <c r="H1003" s="54" t="s">
        <v>1223</v>
      </c>
      <c r="I1003" s="31" t="s">
        <v>1350</v>
      </c>
      <c r="J1003" s="12" t="s">
        <v>332</v>
      </c>
      <c r="K1003" s="55" t="s">
        <v>349</v>
      </c>
      <c r="L1003" s="55">
        <v>44281</v>
      </c>
      <c r="M1003" s="12" t="s">
        <v>496</v>
      </c>
      <c r="N1003" s="12" t="s">
        <v>1349</v>
      </c>
      <c r="O1003" s="12" t="s">
        <v>326</v>
      </c>
      <c r="P1003" s="12"/>
      <c r="Q1003" s="12"/>
      <c r="R1003" s="3"/>
      <c r="S1003" s="3"/>
    </row>
    <row r="1004" spans="2:19" outlineLevel="1">
      <c r="B1004" s="225"/>
      <c r="C1004" s="225"/>
      <c r="D1004" s="225"/>
      <c r="E1004" s="225"/>
      <c r="F1004" s="34"/>
      <c r="G1004" s="34"/>
      <c r="H1004" s="54"/>
      <c r="I1004" s="31"/>
      <c r="J1004" s="12"/>
      <c r="K1004" s="55"/>
      <c r="L1004" s="55"/>
      <c r="M1004" s="12"/>
      <c r="N1004" s="12"/>
      <c r="O1004" s="12"/>
      <c r="P1004" s="8"/>
      <c r="Q1004" s="8"/>
      <c r="R1004" s="10"/>
      <c r="S1004" s="10"/>
    </row>
    <row r="1005" spans="2:19" ht="14" outlineLevel="1">
      <c r="B1005" s="225"/>
      <c r="C1005" s="225"/>
      <c r="D1005" s="225"/>
      <c r="E1005" s="225"/>
      <c r="F1005" s="9" t="s">
        <v>29</v>
      </c>
      <c r="G1005" s="9"/>
      <c r="H1005" s="33" t="s">
        <v>590</v>
      </c>
      <c r="I1005" s="32"/>
      <c r="J1005" s="8" t="s">
        <v>333</v>
      </c>
      <c r="K1005" s="53">
        <v>44165</v>
      </c>
      <c r="L1005" s="53">
        <v>44138</v>
      </c>
      <c r="M1005" s="8" t="s">
        <v>592</v>
      </c>
      <c r="N1005" s="8" t="s">
        <v>584</v>
      </c>
      <c r="O1005" s="8" t="s">
        <v>326</v>
      </c>
      <c r="P1005" s="8"/>
      <c r="Q1005" s="8"/>
      <c r="R1005" s="10"/>
      <c r="S1005" s="10"/>
    </row>
    <row r="1006" spans="2:19" ht="14" outlineLevel="1">
      <c r="B1006" s="225"/>
      <c r="C1006" s="225"/>
      <c r="D1006" s="225"/>
      <c r="E1006" s="225"/>
      <c r="F1006" s="9"/>
      <c r="G1006" s="9"/>
      <c r="H1006" s="33" t="s">
        <v>591</v>
      </c>
      <c r="I1006" s="32"/>
      <c r="J1006" s="8" t="s">
        <v>333</v>
      </c>
      <c r="K1006" s="53">
        <v>44165</v>
      </c>
      <c r="L1006" s="53">
        <v>44138</v>
      </c>
      <c r="M1006" s="8" t="s">
        <v>593</v>
      </c>
      <c r="N1006" s="8" t="s">
        <v>584</v>
      </c>
      <c r="O1006" s="8" t="s">
        <v>326</v>
      </c>
      <c r="P1006" s="8"/>
      <c r="Q1006" s="8"/>
      <c r="R1006" s="10"/>
      <c r="S1006" s="10"/>
    </row>
    <row r="1007" spans="2:19" outlineLevel="1">
      <c r="B1007" s="225"/>
      <c r="C1007" s="225"/>
      <c r="D1007" s="225"/>
      <c r="E1007" s="225"/>
      <c r="F1007" s="9"/>
      <c r="G1007" s="9"/>
      <c r="H1007" s="33"/>
      <c r="I1007" s="32"/>
      <c r="J1007" s="8"/>
      <c r="K1007" s="53"/>
      <c r="L1007" s="53"/>
      <c r="M1007" s="8"/>
      <c r="N1007" s="8"/>
      <c r="O1007" s="8"/>
      <c r="P1007" s="8"/>
      <c r="Q1007" s="8"/>
      <c r="R1007" s="10"/>
      <c r="S1007" s="10"/>
    </row>
    <row r="1008" spans="2:19" ht="14" outlineLevel="1">
      <c r="B1008" s="225"/>
      <c r="C1008" s="225"/>
      <c r="D1008" s="225"/>
      <c r="E1008" s="225"/>
      <c r="F1008" s="9" t="s">
        <v>35</v>
      </c>
      <c r="G1008" s="9"/>
      <c r="H1008" s="33" t="s">
        <v>253</v>
      </c>
      <c r="I1008" s="32" t="s">
        <v>3</v>
      </c>
      <c r="J1008" s="8" t="s">
        <v>333</v>
      </c>
      <c r="K1008" s="53">
        <v>44176</v>
      </c>
      <c r="L1008" s="53">
        <v>44152</v>
      </c>
      <c r="M1008" s="8" t="s">
        <v>652</v>
      </c>
      <c r="N1008" s="8" t="s">
        <v>653</v>
      </c>
      <c r="O1008" s="8" t="s">
        <v>326</v>
      </c>
      <c r="P1008" s="12"/>
      <c r="Q1008" s="12"/>
      <c r="R1008" s="3"/>
      <c r="S1008" s="3"/>
    </row>
    <row r="1009" spans="2:19" ht="14" outlineLevel="1">
      <c r="B1009" s="225"/>
      <c r="C1009" s="225"/>
      <c r="D1009" s="225"/>
      <c r="E1009" s="225"/>
      <c r="F1009" s="9"/>
      <c r="G1009" s="9"/>
      <c r="H1009" s="33" t="s">
        <v>253</v>
      </c>
      <c r="I1009" s="32" t="s">
        <v>512</v>
      </c>
      <c r="J1009" s="8" t="s">
        <v>332</v>
      </c>
      <c r="K1009" s="53" t="s">
        <v>349</v>
      </c>
      <c r="L1009" s="53">
        <v>44186</v>
      </c>
      <c r="M1009" s="8" t="s">
        <v>652</v>
      </c>
      <c r="N1009" s="8" t="s">
        <v>813</v>
      </c>
      <c r="O1009" s="8" t="s">
        <v>326</v>
      </c>
      <c r="P1009" s="12"/>
      <c r="Q1009" s="12"/>
      <c r="R1009" s="3"/>
      <c r="S1009" s="3"/>
    </row>
    <row r="1010" spans="2:19" outlineLevel="1">
      <c r="B1010" s="225"/>
      <c r="C1010" s="225"/>
      <c r="D1010" s="225"/>
      <c r="E1010" s="225"/>
      <c r="F1010" s="9"/>
      <c r="G1010" s="9"/>
      <c r="H1010" s="33"/>
      <c r="I1010" s="32"/>
      <c r="J1010" s="8"/>
      <c r="K1010" s="53"/>
      <c r="L1010" s="53"/>
      <c r="M1010" s="8"/>
      <c r="N1010" s="8"/>
      <c r="O1010" s="8"/>
      <c r="P1010" s="12"/>
      <c r="Q1010" s="8"/>
      <c r="R1010" s="10"/>
      <c r="S1010" s="10"/>
    </row>
    <row r="1011" spans="2:19" ht="14" outlineLevel="1">
      <c r="B1011" s="225"/>
      <c r="C1011" s="225"/>
      <c r="D1011" s="225"/>
      <c r="E1011" s="225"/>
      <c r="F1011" s="34" t="s">
        <v>36</v>
      </c>
      <c r="G1011" s="34"/>
      <c r="H1011" s="54" t="s">
        <v>254</v>
      </c>
      <c r="I1011" s="31" t="s">
        <v>330</v>
      </c>
      <c r="J1011" s="12" t="s">
        <v>333</v>
      </c>
      <c r="K1011" s="55">
        <v>44042</v>
      </c>
      <c r="L1011" s="55">
        <v>44042</v>
      </c>
      <c r="M1011" s="12" t="s">
        <v>502</v>
      </c>
      <c r="N1011" s="12" t="s">
        <v>335</v>
      </c>
      <c r="O1011" s="12" t="s">
        <v>326</v>
      </c>
      <c r="P1011" s="12"/>
      <c r="Q1011" s="8"/>
      <c r="R1011" s="10"/>
      <c r="S1011" s="10"/>
    </row>
    <row r="1012" spans="2:19" ht="14" outlineLevel="1">
      <c r="B1012" s="225"/>
      <c r="C1012" s="225"/>
      <c r="D1012" s="225"/>
      <c r="E1012" s="225"/>
      <c r="F1012" s="9"/>
      <c r="G1012" s="9"/>
      <c r="H1012" s="33" t="s">
        <v>254</v>
      </c>
      <c r="I1012" s="31" t="s">
        <v>330</v>
      </c>
      <c r="J1012" s="8" t="s">
        <v>333</v>
      </c>
      <c r="K1012" s="53">
        <v>44070</v>
      </c>
      <c r="L1012" s="53">
        <v>44085</v>
      </c>
      <c r="M1012" s="8" t="s">
        <v>407</v>
      </c>
      <c r="N1012" s="8" t="s">
        <v>405</v>
      </c>
      <c r="O1012" s="12" t="s">
        <v>326</v>
      </c>
      <c r="P1012" s="12"/>
      <c r="Q1012" s="8"/>
      <c r="R1012" s="10"/>
      <c r="S1012" s="10"/>
    </row>
    <row r="1013" spans="2:19" ht="14" outlineLevel="1">
      <c r="B1013" s="225"/>
      <c r="C1013" s="225"/>
      <c r="D1013" s="225"/>
      <c r="E1013" s="225"/>
      <c r="F1013" s="9"/>
      <c r="G1013" s="9"/>
      <c r="H1013" s="33" t="s">
        <v>544</v>
      </c>
      <c r="I1013" s="31" t="s">
        <v>3</v>
      </c>
      <c r="J1013" s="8" t="s">
        <v>332</v>
      </c>
      <c r="K1013" s="53" t="s">
        <v>349</v>
      </c>
      <c r="L1013" s="53">
        <v>40470</v>
      </c>
      <c r="M1013" s="8" t="s">
        <v>554</v>
      </c>
      <c r="N1013" s="8" t="s">
        <v>546</v>
      </c>
      <c r="O1013" s="12" t="s">
        <v>326</v>
      </c>
      <c r="P1013" s="12"/>
      <c r="Q1013" s="12"/>
      <c r="R1013" s="3"/>
      <c r="S1013" s="3"/>
    </row>
    <row r="1014" spans="2:19" ht="14" outlineLevel="1">
      <c r="B1014" s="225"/>
      <c r="C1014" s="225"/>
      <c r="D1014" s="225"/>
      <c r="E1014" s="225"/>
      <c r="F1014" s="9"/>
      <c r="G1014" s="9"/>
      <c r="H1014" s="33" t="s">
        <v>545</v>
      </c>
      <c r="I1014" s="31" t="s">
        <v>512</v>
      </c>
      <c r="J1014" s="8" t="s">
        <v>332</v>
      </c>
      <c r="K1014" s="53" t="s">
        <v>349</v>
      </c>
      <c r="L1014" s="53">
        <v>40470</v>
      </c>
      <c r="M1014" s="8" t="s">
        <v>407</v>
      </c>
      <c r="N1014" s="8" t="s">
        <v>546</v>
      </c>
      <c r="O1014" s="12" t="s">
        <v>326</v>
      </c>
      <c r="P1014" s="12"/>
      <c r="Q1014" s="8"/>
      <c r="R1014" s="10"/>
      <c r="S1014" s="10"/>
    </row>
    <row r="1015" spans="2:19" ht="28" outlineLevel="1">
      <c r="B1015" s="225"/>
      <c r="C1015" s="225"/>
      <c r="D1015" s="225"/>
      <c r="E1015" s="225"/>
      <c r="F1015" s="34"/>
      <c r="G1015" s="34"/>
      <c r="H1015" s="54" t="s">
        <v>254</v>
      </c>
      <c r="I1015" s="31" t="s">
        <v>1233</v>
      </c>
      <c r="J1015" s="12" t="s">
        <v>332</v>
      </c>
      <c r="K1015" s="55">
        <v>44179</v>
      </c>
      <c r="L1015" s="55">
        <v>44179</v>
      </c>
      <c r="M1015" s="12" t="s">
        <v>2160</v>
      </c>
      <c r="N1015" s="12" t="s">
        <v>765</v>
      </c>
      <c r="O1015" s="12" t="s">
        <v>326</v>
      </c>
      <c r="P1015" s="8"/>
      <c r="Q1015" s="8"/>
      <c r="R1015" s="10"/>
      <c r="S1015" s="10"/>
    </row>
    <row r="1016" spans="2:19" ht="28" outlineLevel="1">
      <c r="B1016" s="225"/>
      <c r="C1016" s="225"/>
      <c r="D1016" s="225"/>
      <c r="E1016" s="225"/>
      <c r="F1016" s="9"/>
      <c r="G1016" s="9"/>
      <c r="H1016" s="54" t="s">
        <v>254</v>
      </c>
      <c r="I1016" s="31" t="s">
        <v>1234</v>
      </c>
      <c r="J1016" s="12" t="s">
        <v>332</v>
      </c>
      <c r="K1016" s="12" t="s">
        <v>349</v>
      </c>
      <c r="L1016" s="55">
        <v>44244</v>
      </c>
      <c r="M1016" s="12" t="s">
        <v>2160</v>
      </c>
      <c r="N1016" s="12" t="s">
        <v>1045</v>
      </c>
      <c r="O1016" s="12" t="s">
        <v>326</v>
      </c>
      <c r="P1016" s="8"/>
      <c r="Q1016" s="8"/>
      <c r="R1016" s="10"/>
      <c r="S1016" s="10"/>
    </row>
    <row r="1017" spans="2:19" ht="28" outlineLevel="1">
      <c r="B1017" s="225"/>
      <c r="C1017" s="225"/>
      <c r="D1017" s="225"/>
      <c r="E1017" s="225"/>
      <c r="F1017" s="9"/>
      <c r="G1017" s="9"/>
      <c r="H1017" s="54" t="s">
        <v>254</v>
      </c>
      <c r="I1017" s="31" t="s">
        <v>2159</v>
      </c>
      <c r="J1017" s="12" t="s">
        <v>332</v>
      </c>
      <c r="K1017" s="12" t="s">
        <v>349</v>
      </c>
      <c r="L1017" s="55">
        <v>44421</v>
      </c>
      <c r="M1017" s="12" t="s">
        <v>2160</v>
      </c>
      <c r="N1017" s="12" t="s">
        <v>2161</v>
      </c>
      <c r="O1017" s="12" t="s">
        <v>326</v>
      </c>
      <c r="P1017" s="8"/>
      <c r="Q1017" s="8"/>
      <c r="R1017" s="10"/>
      <c r="S1017" s="10"/>
    </row>
    <row r="1018" spans="2:19" outlineLevel="1">
      <c r="B1018" s="225"/>
      <c r="C1018" s="225"/>
      <c r="D1018" s="225"/>
      <c r="E1018" s="225"/>
      <c r="F1018" s="9"/>
      <c r="G1018" s="9"/>
      <c r="H1018" s="54"/>
      <c r="I1018" s="31"/>
      <c r="J1018" s="12"/>
      <c r="L1018" s="55"/>
      <c r="M1018" s="12"/>
      <c r="N1018" s="12"/>
      <c r="P1018" s="8"/>
      <c r="Q1018" s="8"/>
      <c r="R1018" s="10"/>
      <c r="S1018" s="10"/>
    </row>
    <row r="1019" spans="2:19" ht="14" outlineLevel="1">
      <c r="B1019" s="225"/>
      <c r="C1019" s="225"/>
      <c r="D1019" s="225"/>
      <c r="E1019" s="225"/>
      <c r="F1019" s="9" t="s">
        <v>38</v>
      </c>
      <c r="G1019" s="9"/>
      <c r="H1019" s="33" t="s">
        <v>255</v>
      </c>
      <c r="I1019" s="32" t="s">
        <v>3</v>
      </c>
      <c r="J1019" s="8" t="s">
        <v>333</v>
      </c>
      <c r="K1019" s="53">
        <v>44176</v>
      </c>
      <c r="L1019" s="55">
        <v>44165</v>
      </c>
      <c r="M1019" s="8" t="s">
        <v>682</v>
      </c>
      <c r="N1019" s="8" t="s">
        <v>712</v>
      </c>
      <c r="O1019" s="8" t="s">
        <v>326</v>
      </c>
      <c r="P1019" s="8"/>
      <c r="Q1019" s="8"/>
      <c r="R1019" s="10"/>
      <c r="S1019" s="10"/>
    </row>
    <row r="1020" spans="2:19" ht="14" outlineLevel="1">
      <c r="B1020" s="225"/>
      <c r="C1020" s="225"/>
      <c r="D1020" s="225"/>
      <c r="E1020" s="225"/>
      <c r="F1020" s="9"/>
      <c r="G1020" s="9"/>
      <c r="H1020" s="33" t="s">
        <v>255</v>
      </c>
      <c r="I1020" s="32" t="s">
        <v>512</v>
      </c>
      <c r="J1020" s="8" t="s">
        <v>332</v>
      </c>
      <c r="K1020" s="53" t="s">
        <v>349</v>
      </c>
      <c r="L1020" s="55">
        <v>44200</v>
      </c>
      <c r="M1020" s="8" t="s">
        <v>857</v>
      </c>
      <c r="N1020" s="8" t="s">
        <v>855</v>
      </c>
      <c r="O1020" s="8" t="s">
        <v>326</v>
      </c>
      <c r="P1020" s="8"/>
      <c r="Q1020" s="8"/>
      <c r="R1020" s="10"/>
      <c r="S1020" s="10"/>
    </row>
    <row r="1021" spans="2:19" ht="14" outlineLevel="1">
      <c r="B1021" s="225"/>
      <c r="C1021" s="225"/>
      <c r="D1021" s="225"/>
      <c r="E1021" s="225"/>
      <c r="F1021" s="9"/>
      <c r="G1021" s="9"/>
      <c r="H1021" s="33" t="s">
        <v>255</v>
      </c>
      <c r="I1021" s="32" t="s">
        <v>654</v>
      </c>
      <c r="J1021" s="8" t="s">
        <v>332</v>
      </c>
      <c r="K1021" s="53" t="s">
        <v>349</v>
      </c>
      <c r="L1021" s="55">
        <v>44306</v>
      </c>
      <c r="M1021" s="8" t="s">
        <v>1456</v>
      </c>
      <c r="N1021" s="8" t="s">
        <v>1454</v>
      </c>
      <c r="O1021" s="8" t="s">
        <v>326</v>
      </c>
      <c r="P1021" s="8"/>
      <c r="Q1021" s="8"/>
      <c r="R1021" s="10"/>
      <c r="S1021" s="10"/>
    </row>
    <row r="1022" spans="2:19" ht="14" outlineLevel="1">
      <c r="B1022" s="225"/>
      <c r="C1022" s="225"/>
      <c r="D1022" s="225"/>
      <c r="E1022" s="225"/>
      <c r="F1022" s="9"/>
      <c r="G1022" s="9"/>
      <c r="H1022" s="33" t="s">
        <v>255</v>
      </c>
      <c r="I1022" s="32" t="s">
        <v>729</v>
      </c>
      <c r="J1022" s="8" t="s">
        <v>332</v>
      </c>
      <c r="K1022" s="53" t="s">
        <v>349</v>
      </c>
      <c r="L1022" s="55">
        <v>44364</v>
      </c>
      <c r="M1022" s="8" t="s">
        <v>1780</v>
      </c>
      <c r="N1022" s="8" t="s">
        <v>1781</v>
      </c>
      <c r="O1022" s="8" t="s">
        <v>326</v>
      </c>
      <c r="P1022" s="8"/>
      <c r="Q1022" s="8"/>
      <c r="R1022" s="10"/>
      <c r="S1022" s="10"/>
    </row>
    <row r="1023" spans="2:19" ht="14" outlineLevel="1">
      <c r="B1023" s="225"/>
      <c r="C1023" s="225"/>
      <c r="D1023" s="225"/>
      <c r="E1023" s="225"/>
      <c r="F1023" s="9"/>
      <c r="G1023" s="9"/>
      <c r="H1023" s="33" t="s">
        <v>255</v>
      </c>
      <c r="I1023" s="32" t="s">
        <v>730</v>
      </c>
      <c r="J1023" s="8" t="s">
        <v>332</v>
      </c>
      <c r="K1023" s="53" t="s">
        <v>349</v>
      </c>
      <c r="L1023" s="55"/>
      <c r="M1023" s="8" t="s">
        <v>2155</v>
      </c>
      <c r="N1023" s="12" t="s">
        <v>2161</v>
      </c>
      <c r="O1023" s="8" t="s">
        <v>326</v>
      </c>
      <c r="P1023" s="8"/>
      <c r="Q1023" s="8"/>
      <c r="R1023" s="10"/>
      <c r="S1023" s="10"/>
    </row>
    <row r="1024" spans="2:19" outlineLevel="1">
      <c r="B1024" s="225"/>
      <c r="C1024" s="225"/>
      <c r="D1024" s="225"/>
      <c r="E1024" s="225"/>
      <c r="F1024" s="9"/>
      <c r="G1024" s="9"/>
      <c r="H1024" s="33"/>
      <c r="I1024" s="32"/>
      <c r="J1024" s="8"/>
      <c r="K1024" s="53"/>
      <c r="L1024" s="68"/>
      <c r="M1024" s="8"/>
      <c r="N1024" s="8"/>
      <c r="O1024" s="3"/>
      <c r="P1024" s="8"/>
      <c r="Q1024" s="8"/>
      <c r="R1024" s="10"/>
      <c r="S1024" s="10"/>
    </row>
    <row r="1025" spans="2:19" ht="14" outlineLevel="1">
      <c r="B1025" s="225"/>
      <c r="C1025" s="225"/>
      <c r="D1025" s="225"/>
      <c r="E1025" s="225"/>
      <c r="F1025" s="9" t="s">
        <v>40</v>
      </c>
      <c r="G1025" s="9"/>
      <c r="H1025" s="33" t="s">
        <v>256</v>
      </c>
      <c r="I1025" s="32" t="s">
        <v>654</v>
      </c>
      <c r="J1025" s="8" t="s">
        <v>332</v>
      </c>
      <c r="K1025" s="53">
        <v>44043</v>
      </c>
      <c r="L1025" s="53">
        <v>44186</v>
      </c>
      <c r="M1025" s="8" t="s">
        <v>812</v>
      </c>
      <c r="N1025" s="8" t="s">
        <v>813</v>
      </c>
      <c r="O1025" s="8" t="s">
        <v>326</v>
      </c>
      <c r="P1025" s="12"/>
      <c r="Q1025" s="12"/>
      <c r="R1025" s="3"/>
      <c r="S1025" s="3"/>
    </row>
    <row r="1026" spans="2:19" outlineLevel="1">
      <c r="B1026" s="225"/>
      <c r="C1026" s="225"/>
      <c r="D1026" s="225"/>
      <c r="E1026" s="225"/>
      <c r="F1026" s="9"/>
      <c r="G1026" s="9"/>
      <c r="H1026" s="33" t="s">
        <v>256</v>
      </c>
      <c r="I1026" s="32"/>
      <c r="J1026" s="8"/>
      <c r="K1026" s="53"/>
      <c r="L1026" s="53"/>
      <c r="M1026" s="8"/>
      <c r="N1026" s="8"/>
      <c r="O1026" s="11"/>
      <c r="P1026" s="12"/>
      <c r="Q1026" s="12"/>
      <c r="R1026" s="3"/>
      <c r="S1026" s="3"/>
    </row>
    <row r="1027" spans="2:19" ht="28" outlineLevel="1">
      <c r="B1027" s="225"/>
      <c r="C1027" s="225"/>
      <c r="D1027" s="225"/>
      <c r="E1027" s="225"/>
      <c r="F1027" s="34" t="s">
        <v>108</v>
      </c>
      <c r="G1027" s="34"/>
      <c r="H1027" s="54" t="s">
        <v>761</v>
      </c>
      <c r="I1027" s="31" t="s">
        <v>349</v>
      </c>
      <c r="J1027" s="12" t="s">
        <v>332</v>
      </c>
      <c r="K1027" s="55" t="s">
        <v>349</v>
      </c>
      <c r="L1027" s="55">
        <v>44179</v>
      </c>
      <c r="M1027" s="12" t="s">
        <v>762</v>
      </c>
      <c r="N1027" s="12" t="s">
        <v>765</v>
      </c>
      <c r="O1027" s="12" t="s">
        <v>326</v>
      </c>
      <c r="P1027" s="12"/>
      <c r="Q1027" s="12"/>
      <c r="R1027" s="3"/>
      <c r="S1027" s="3"/>
    </row>
    <row r="1028" spans="2:19" ht="28" outlineLevel="1">
      <c r="B1028" s="225"/>
      <c r="C1028" s="225"/>
      <c r="D1028" s="225"/>
      <c r="E1028" s="225"/>
      <c r="F1028" s="34"/>
      <c r="G1028" s="34"/>
      <c r="H1028" s="54" t="s">
        <v>761</v>
      </c>
      <c r="I1028" s="31" t="s">
        <v>1406</v>
      </c>
      <c r="J1028" s="12" t="s">
        <v>332</v>
      </c>
      <c r="K1028" s="55" t="s">
        <v>349</v>
      </c>
      <c r="L1028" s="55">
        <v>44291</v>
      </c>
      <c r="M1028" s="12" t="s">
        <v>762</v>
      </c>
      <c r="N1028" s="12" t="s">
        <v>1395</v>
      </c>
      <c r="O1028" s="12" t="s">
        <v>326</v>
      </c>
      <c r="P1028" s="12"/>
      <c r="Q1028" s="12"/>
      <c r="R1028" s="3"/>
      <c r="S1028" s="3"/>
    </row>
    <row r="1029" spans="2:19" outlineLevel="1">
      <c r="B1029" s="225"/>
      <c r="C1029" s="225"/>
      <c r="D1029" s="225"/>
      <c r="E1029" s="225"/>
      <c r="F1029" s="34"/>
      <c r="G1029" s="34"/>
      <c r="H1029" s="54"/>
      <c r="I1029" s="31"/>
      <c r="J1029" s="12"/>
      <c r="K1029" s="55"/>
      <c r="L1029" s="55"/>
      <c r="M1029" s="12"/>
      <c r="N1029" s="12"/>
      <c r="O1029" s="3"/>
      <c r="P1029" s="12"/>
      <c r="Q1029" s="12"/>
      <c r="R1029" s="3"/>
      <c r="S1029" s="3"/>
    </row>
    <row r="1030" spans="2:19" ht="28" outlineLevel="1">
      <c r="B1030" s="225"/>
      <c r="C1030" s="225"/>
      <c r="D1030" s="225"/>
      <c r="E1030" s="225"/>
      <c r="F1030" s="34" t="s">
        <v>129</v>
      </c>
      <c r="G1030" s="34"/>
      <c r="H1030" s="54" t="s">
        <v>868</v>
      </c>
      <c r="I1030" s="31" t="s">
        <v>3</v>
      </c>
      <c r="J1030" s="12" t="s">
        <v>332</v>
      </c>
      <c r="K1030" s="55" t="s">
        <v>349</v>
      </c>
      <c r="L1030" s="55">
        <v>44200</v>
      </c>
      <c r="M1030" s="12" t="s">
        <v>869</v>
      </c>
      <c r="N1030" s="12" t="s">
        <v>855</v>
      </c>
      <c r="O1030" s="12" t="s">
        <v>326</v>
      </c>
      <c r="P1030" s="12"/>
      <c r="Q1030" s="12"/>
      <c r="R1030" s="3"/>
      <c r="S1030" s="3"/>
    </row>
    <row r="1031" spans="2:19" outlineLevel="1">
      <c r="B1031" s="225"/>
      <c r="C1031" s="225"/>
      <c r="D1031" s="225"/>
      <c r="E1031" s="225"/>
      <c r="F1031" s="34"/>
      <c r="G1031" s="34"/>
      <c r="H1031" s="54"/>
      <c r="I1031" s="31"/>
      <c r="J1031" s="12"/>
      <c r="K1031" s="55"/>
      <c r="L1031" s="55"/>
      <c r="M1031" s="12"/>
      <c r="N1031" s="12"/>
      <c r="O1031" s="12"/>
      <c r="P1031" s="8"/>
      <c r="Q1031" s="8"/>
      <c r="R1031" s="10"/>
      <c r="S1031" s="10"/>
    </row>
    <row r="1032" spans="2:19" ht="14" outlineLevel="1">
      <c r="B1032" s="225"/>
      <c r="C1032" s="225"/>
      <c r="D1032" s="225"/>
      <c r="E1032" s="225"/>
      <c r="F1032" s="34" t="s">
        <v>134</v>
      </c>
      <c r="G1032" s="34"/>
      <c r="H1032" s="54" t="s">
        <v>1080</v>
      </c>
      <c r="I1032" s="31" t="s">
        <v>3</v>
      </c>
      <c r="J1032" s="12" t="s">
        <v>332</v>
      </c>
      <c r="K1032" s="55" t="s">
        <v>349</v>
      </c>
      <c r="L1032" s="55">
        <v>44243</v>
      </c>
      <c r="M1032" s="12" t="s">
        <v>1082</v>
      </c>
      <c r="N1032" s="12" t="s">
        <v>1084</v>
      </c>
      <c r="O1032" s="12" t="s">
        <v>326</v>
      </c>
      <c r="P1032" s="8"/>
      <c r="Q1032" s="8"/>
      <c r="R1032" s="10"/>
      <c r="S1032" s="10"/>
    </row>
    <row r="1033" spans="2:19" ht="14" outlineLevel="1">
      <c r="B1033" s="225"/>
      <c r="C1033" s="225"/>
      <c r="D1033" s="225"/>
      <c r="E1033" s="225"/>
      <c r="F1033" s="34"/>
      <c r="G1033" s="34"/>
      <c r="H1033" s="54" t="s">
        <v>1081</v>
      </c>
      <c r="I1033" s="31" t="s">
        <v>3</v>
      </c>
      <c r="J1033" s="12" t="s">
        <v>332</v>
      </c>
      <c r="K1033" s="55" t="s">
        <v>349</v>
      </c>
      <c r="L1033" s="55">
        <v>44243</v>
      </c>
      <c r="M1033" s="12" t="s">
        <v>1083</v>
      </c>
      <c r="N1033" s="12" t="s">
        <v>1084</v>
      </c>
      <c r="O1033" s="12" t="s">
        <v>326</v>
      </c>
      <c r="P1033" s="8"/>
      <c r="Q1033" s="8"/>
      <c r="R1033" s="10"/>
      <c r="S1033" s="10"/>
    </row>
    <row r="1034" spans="2:19" outlineLevel="1">
      <c r="B1034" s="225"/>
      <c r="C1034" s="225"/>
      <c r="D1034" s="225"/>
      <c r="E1034" s="225"/>
      <c r="F1034" s="34"/>
      <c r="G1034" s="34"/>
      <c r="H1034" s="54"/>
      <c r="I1034" s="31"/>
      <c r="J1034" s="12"/>
      <c r="K1034" s="55"/>
      <c r="L1034" s="55"/>
      <c r="M1034" s="12"/>
      <c r="N1034" s="12"/>
      <c r="O1034" s="12"/>
      <c r="P1034" s="8"/>
      <c r="Q1034" s="8"/>
      <c r="R1034" s="10"/>
      <c r="S1034" s="10"/>
    </row>
    <row r="1035" spans="2:19" ht="14" outlineLevel="1">
      <c r="B1035" s="225"/>
      <c r="C1035" s="225"/>
      <c r="D1035" s="225"/>
      <c r="E1035" s="225"/>
      <c r="F1035" s="34" t="s">
        <v>135</v>
      </c>
      <c r="G1035" s="34"/>
      <c r="H1035" s="54" t="s">
        <v>1041</v>
      </c>
      <c r="I1035" s="31" t="s">
        <v>3</v>
      </c>
      <c r="J1035" s="12" t="s">
        <v>332</v>
      </c>
      <c r="K1035" s="55" t="s">
        <v>349</v>
      </c>
      <c r="L1035" s="55">
        <v>44243</v>
      </c>
      <c r="M1035" s="12" t="s">
        <v>1085</v>
      </c>
      <c r="N1035" s="12" t="s">
        <v>1045</v>
      </c>
      <c r="O1035" s="12" t="s">
        <v>326</v>
      </c>
      <c r="P1035" s="8"/>
      <c r="Q1035" s="8"/>
      <c r="R1035" s="10"/>
      <c r="S1035" s="10"/>
    </row>
    <row r="1036" spans="2:19" outlineLevel="1">
      <c r="B1036" s="225"/>
      <c r="C1036" s="225"/>
      <c r="D1036" s="225"/>
      <c r="E1036" s="225"/>
      <c r="F1036" s="34"/>
      <c r="G1036" s="34"/>
      <c r="H1036" s="54"/>
      <c r="I1036" s="31"/>
      <c r="J1036" s="12"/>
      <c r="K1036" s="55"/>
      <c r="L1036" s="55"/>
      <c r="M1036" s="12"/>
      <c r="N1036" s="12"/>
      <c r="O1036" s="12"/>
      <c r="P1036" s="8"/>
      <c r="Q1036" s="8"/>
      <c r="R1036" s="10"/>
      <c r="S1036" s="10"/>
    </row>
    <row r="1037" spans="2:19" ht="28" outlineLevel="1">
      <c r="B1037" s="225"/>
      <c r="C1037" s="225"/>
      <c r="D1037" s="225"/>
      <c r="E1037" s="225"/>
      <c r="F1037" s="34" t="s">
        <v>204</v>
      </c>
      <c r="G1037" s="34"/>
      <c r="H1037" s="54" t="s">
        <v>1708</v>
      </c>
      <c r="I1037" s="31" t="s">
        <v>512</v>
      </c>
      <c r="J1037" s="12" t="s">
        <v>332</v>
      </c>
      <c r="K1037" s="55" t="s">
        <v>349</v>
      </c>
      <c r="L1037" s="55">
        <v>44336</v>
      </c>
      <c r="M1037" s="12" t="s">
        <v>1709</v>
      </c>
      <c r="N1037" s="12" t="s">
        <v>1710</v>
      </c>
      <c r="O1037" s="12" t="s">
        <v>326</v>
      </c>
      <c r="P1037" s="8"/>
      <c r="Q1037" s="8"/>
      <c r="R1037" s="10"/>
      <c r="S1037" s="10"/>
    </row>
    <row r="1038" spans="2:19" outlineLevel="1">
      <c r="B1038" s="225"/>
      <c r="C1038" s="225"/>
      <c r="D1038" s="225"/>
      <c r="E1038" s="225"/>
      <c r="F1038" s="34"/>
      <c r="G1038" s="34"/>
      <c r="H1038" s="54"/>
      <c r="I1038" s="31"/>
      <c r="J1038" s="12"/>
      <c r="K1038" s="55"/>
      <c r="L1038" s="55"/>
      <c r="M1038" s="12"/>
      <c r="N1038" s="12"/>
      <c r="O1038" s="12"/>
      <c r="P1038" s="8"/>
      <c r="Q1038" s="8"/>
      <c r="R1038" s="10"/>
      <c r="S1038" s="10"/>
    </row>
    <row r="1039" spans="2:19" ht="14" outlineLevel="1">
      <c r="B1039" s="225"/>
      <c r="C1039" s="225"/>
      <c r="D1039" s="225"/>
      <c r="E1039" s="225"/>
      <c r="F1039" s="34" t="s">
        <v>205</v>
      </c>
      <c r="G1039" s="34"/>
      <c r="H1039" s="54" t="s">
        <v>1920</v>
      </c>
      <c r="I1039" s="31"/>
      <c r="J1039" s="12"/>
      <c r="K1039" s="55"/>
      <c r="L1039" s="55"/>
      <c r="M1039" s="12"/>
      <c r="N1039" s="12"/>
      <c r="O1039" s="12"/>
      <c r="P1039" s="8"/>
      <c r="Q1039" s="8"/>
      <c r="R1039" s="10"/>
      <c r="S1039" s="10"/>
    </row>
    <row r="1040" spans="2:19" ht="14" outlineLevel="1">
      <c r="B1040" s="225"/>
      <c r="C1040" s="225"/>
      <c r="D1040" s="225"/>
      <c r="E1040" s="225"/>
      <c r="F1040" s="34"/>
      <c r="G1040" s="34"/>
      <c r="H1040" s="147" t="s">
        <v>1921</v>
      </c>
      <c r="I1040" s="31" t="s">
        <v>3</v>
      </c>
      <c r="J1040" s="8" t="s">
        <v>333</v>
      </c>
      <c r="K1040" s="55" t="s">
        <v>349</v>
      </c>
      <c r="L1040" s="55">
        <v>44376</v>
      </c>
      <c r="M1040" s="12" t="s">
        <v>1082</v>
      </c>
      <c r="N1040" s="12" t="s">
        <v>1913</v>
      </c>
      <c r="O1040" s="12" t="s">
        <v>326</v>
      </c>
      <c r="P1040" s="8"/>
      <c r="Q1040" s="8"/>
      <c r="R1040" s="10"/>
      <c r="S1040" s="10"/>
    </row>
    <row r="1041" spans="2:19" ht="14" outlineLevel="1">
      <c r="B1041" s="225"/>
      <c r="C1041" s="225"/>
      <c r="D1041" s="225"/>
      <c r="E1041" s="225"/>
      <c r="F1041" s="34"/>
      <c r="G1041" s="34"/>
      <c r="H1041" s="147" t="s">
        <v>1922</v>
      </c>
      <c r="I1041" s="31" t="s">
        <v>3</v>
      </c>
      <c r="J1041" s="8" t="s">
        <v>333</v>
      </c>
      <c r="K1041" s="55" t="s">
        <v>349</v>
      </c>
      <c r="L1041" s="55">
        <v>44376</v>
      </c>
      <c r="M1041" s="12" t="s">
        <v>1923</v>
      </c>
      <c r="N1041" s="12" t="s">
        <v>1913</v>
      </c>
      <c r="O1041" s="12" t="s">
        <v>326</v>
      </c>
      <c r="P1041" s="8"/>
      <c r="Q1041" s="8"/>
      <c r="R1041" s="10"/>
      <c r="S1041" s="10"/>
    </row>
    <row r="1042" spans="2:19" ht="14" outlineLevel="1">
      <c r="B1042" s="225"/>
      <c r="C1042" s="225"/>
      <c r="D1042" s="225"/>
      <c r="E1042" s="225"/>
      <c r="F1042" s="34"/>
      <c r="G1042" s="34"/>
      <c r="H1042" s="147" t="s">
        <v>1924</v>
      </c>
      <c r="I1042" s="31" t="s">
        <v>3</v>
      </c>
      <c r="J1042" s="12" t="s">
        <v>332</v>
      </c>
      <c r="K1042" s="55" t="s">
        <v>349</v>
      </c>
      <c r="L1042" s="55">
        <v>44243</v>
      </c>
      <c r="M1042" s="12" t="s">
        <v>1082</v>
      </c>
      <c r="N1042" s="12" t="s">
        <v>1084</v>
      </c>
      <c r="O1042" s="12" t="s">
        <v>326</v>
      </c>
      <c r="P1042" s="8"/>
      <c r="Q1042" s="8"/>
      <c r="R1042" s="10"/>
      <c r="S1042" s="10"/>
    </row>
    <row r="1043" spans="2:19" ht="14" outlineLevel="1">
      <c r="B1043" s="225"/>
      <c r="C1043" s="225"/>
      <c r="D1043" s="225"/>
      <c r="E1043" s="225"/>
      <c r="F1043" s="34"/>
      <c r="G1043" s="34"/>
      <c r="H1043" s="147" t="s">
        <v>1925</v>
      </c>
      <c r="I1043" s="31" t="s">
        <v>3</v>
      </c>
      <c r="J1043" s="12" t="s">
        <v>332</v>
      </c>
      <c r="K1043" s="55" t="s">
        <v>349</v>
      </c>
      <c r="L1043" s="55">
        <v>44243</v>
      </c>
      <c r="M1043" s="12" t="s">
        <v>1923</v>
      </c>
      <c r="N1043" s="12" t="s">
        <v>1084</v>
      </c>
      <c r="O1043" s="12" t="s">
        <v>326</v>
      </c>
      <c r="P1043" s="8"/>
      <c r="Q1043" s="8"/>
      <c r="R1043" s="10"/>
      <c r="S1043" s="10"/>
    </row>
    <row r="1044" spans="2:19" outlineLevel="1">
      <c r="B1044" s="225"/>
      <c r="C1044" s="225"/>
      <c r="D1044" s="225"/>
      <c r="E1044" s="225"/>
      <c r="F1044" s="34"/>
      <c r="G1044" s="34"/>
      <c r="H1044" s="147"/>
      <c r="I1044" s="31"/>
      <c r="J1044" s="12"/>
      <c r="K1044" s="55"/>
      <c r="L1044" s="55"/>
      <c r="M1044" s="12"/>
      <c r="N1044" s="12"/>
      <c r="O1044" s="12"/>
      <c r="P1044" s="8"/>
      <c r="Q1044" s="8"/>
      <c r="R1044" s="10"/>
      <c r="S1044" s="10"/>
    </row>
    <row r="1045" spans="2:19" ht="14" outlineLevel="1">
      <c r="B1045" s="225"/>
      <c r="C1045" s="225"/>
      <c r="D1045" s="225"/>
      <c r="E1045" s="225"/>
      <c r="F1045" s="34" t="s">
        <v>206</v>
      </c>
      <c r="G1045" s="34"/>
      <c r="H1045" s="54" t="s">
        <v>1801</v>
      </c>
      <c r="I1045" s="31"/>
      <c r="J1045" s="12"/>
      <c r="K1045" s="55"/>
      <c r="L1045" s="55"/>
      <c r="M1045" s="12"/>
      <c r="N1045" s="12"/>
      <c r="O1045" s="12"/>
      <c r="P1045" s="8"/>
      <c r="Q1045" s="8"/>
      <c r="R1045" s="10"/>
      <c r="S1045" s="10"/>
    </row>
    <row r="1046" spans="2:19" ht="14" outlineLevel="1">
      <c r="B1046" s="225"/>
      <c r="C1046" s="225"/>
      <c r="D1046" s="225"/>
      <c r="E1046" s="225"/>
      <c r="F1046" s="34"/>
      <c r="G1046" s="34" t="s">
        <v>177</v>
      </c>
      <c r="H1046" s="109" t="s">
        <v>2624</v>
      </c>
      <c r="I1046" s="31"/>
      <c r="J1046" s="12"/>
      <c r="K1046" s="55"/>
      <c r="L1046" s="55"/>
      <c r="M1046" s="12"/>
      <c r="N1046" s="12"/>
      <c r="O1046" s="12"/>
      <c r="P1046" s="8"/>
      <c r="Q1046" s="8"/>
      <c r="R1046" s="10"/>
      <c r="S1046" s="10"/>
    </row>
    <row r="1047" spans="2:19" ht="14" outlineLevel="1">
      <c r="B1047" s="225"/>
      <c r="C1047" s="225"/>
      <c r="D1047" s="225"/>
      <c r="E1047" s="225"/>
      <c r="F1047" s="34"/>
      <c r="G1047" s="34"/>
      <c r="H1047" s="160" t="s">
        <v>2014</v>
      </c>
      <c r="I1047" s="55" t="s">
        <v>349</v>
      </c>
      <c r="J1047" s="12" t="s">
        <v>332</v>
      </c>
      <c r="K1047" s="55" t="s">
        <v>349</v>
      </c>
      <c r="L1047" s="53">
        <v>44391</v>
      </c>
      <c r="M1047" s="55" t="s">
        <v>1082</v>
      </c>
      <c r="N1047" s="8" t="s">
        <v>2015</v>
      </c>
      <c r="O1047" s="12" t="s">
        <v>326</v>
      </c>
      <c r="P1047" s="8"/>
      <c r="Q1047" s="8"/>
      <c r="R1047" s="10"/>
      <c r="S1047" s="10"/>
    </row>
    <row r="1048" spans="2:19" ht="14" outlineLevel="1">
      <c r="B1048" s="225"/>
      <c r="C1048" s="225"/>
      <c r="D1048" s="225"/>
      <c r="E1048" s="225"/>
      <c r="F1048" s="34"/>
      <c r="G1048" s="34"/>
      <c r="H1048" s="160" t="s">
        <v>2013</v>
      </c>
      <c r="I1048" s="55" t="s">
        <v>349</v>
      </c>
      <c r="J1048" s="12" t="s">
        <v>332</v>
      </c>
      <c r="K1048" s="55" t="s">
        <v>349</v>
      </c>
      <c r="L1048" s="53">
        <v>44391</v>
      </c>
      <c r="M1048" s="55" t="s">
        <v>1082</v>
      </c>
      <c r="N1048" s="8" t="s">
        <v>2015</v>
      </c>
      <c r="O1048" s="12" t="s">
        <v>326</v>
      </c>
      <c r="P1048" s="8"/>
      <c r="Q1048" s="8"/>
      <c r="R1048" s="10"/>
      <c r="S1048" s="10"/>
    </row>
    <row r="1049" spans="2:19" ht="14" outlineLevel="1">
      <c r="B1049" s="225"/>
      <c r="C1049" s="225"/>
      <c r="D1049" s="225"/>
      <c r="E1049" s="225"/>
      <c r="F1049" s="34"/>
      <c r="G1049" s="34"/>
      <c r="H1049" s="160" t="s">
        <v>2365</v>
      </c>
      <c r="I1049" s="55" t="s">
        <v>349</v>
      </c>
      <c r="J1049" s="12" t="s">
        <v>332</v>
      </c>
      <c r="K1049" s="55" t="s">
        <v>349</v>
      </c>
      <c r="L1049" s="53">
        <v>44483</v>
      </c>
      <c r="M1049" s="55" t="s">
        <v>1082</v>
      </c>
      <c r="N1049" s="8" t="s">
        <v>2369</v>
      </c>
      <c r="O1049" s="12" t="s">
        <v>326</v>
      </c>
      <c r="P1049" s="8"/>
      <c r="Q1049" s="8"/>
      <c r="R1049" s="10"/>
      <c r="S1049" s="10"/>
    </row>
    <row r="1050" spans="2:19" ht="14" outlineLevel="1">
      <c r="B1050" s="225"/>
      <c r="C1050" s="225"/>
      <c r="D1050" s="225"/>
      <c r="E1050" s="225"/>
      <c r="F1050" s="34"/>
      <c r="G1050" s="34"/>
      <c r="H1050" s="160" t="s">
        <v>2367</v>
      </c>
      <c r="I1050" s="55" t="s">
        <v>349</v>
      </c>
      <c r="J1050" s="12" t="s">
        <v>332</v>
      </c>
      <c r="K1050" s="55" t="s">
        <v>349</v>
      </c>
      <c r="L1050" s="53">
        <v>44483</v>
      </c>
      <c r="M1050" s="55" t="s">
        <v>1923</v>
      </c>
      <c r="N1050" s="8" t="s">
        <v>2369</v>
      </c>
      <c r="O1050" s="12" t="s">
        <v>326</v>
      </c>
      <c r="P1050" s="8"/>
      <c r="Q1050" s="8"/>
      <c r="R1050" s="10"/>
      <c r="S1050" s="10"/>
    </row>
    <row r="1051" spans="2:19" ht="14" outlineLevel="1">
      <c r="B1051" s="225"/>
      <c r="C1051" s="225"/>
      <c r="D1051" s="225"/>
      <c r="E1051" s="225"/>
      <c r="F1051" s="34"/>
      <c r="G1051" s="34"/>
      <c r="H1051" s="160" t="s">
        <v>2366</v>
      </c>
      <c r="I1051" s="55" t="s">
        <v>349</v>
      </c>
      <c r="J1051" s="12" t="s">
        <v>332</v>
      </c>
      <c r="K1051" s="55" t="s">
        <v>349</v>
      </c>
      <c r="L1051" s="53">
        <v>44483</v>
      </c>
      <c r="M1051" s="55" t="s">
        <v>1923</v>
      </c>
      <c r="N1051" s="8" t="s">
        <v>2369</v>
      </c>
      <c r="O1051" s="12" t="s">
        <v>326</v>
      </c>
      <c r="P1051" s="8"/>
      <c r="Q1051" s="8"/>
      <c r="R1051" s="10"/>
      <c r="S1051" s="10"/>
    </row>
    <row r="1052" spans="2:19" ht="14" outlineLevel="1">
      <c r="B1052" s="225"/>
      <c r="C1052" s="225"/>
      <c r="D1052" s="225"/>
      <c r="E1052" s="225"/>
      <c r="F1052" s="34"/>
      <c r="G1052" s="34" t="s">
        <v>181</v>
      </c>
      <c r="H1052" s="109" t="s">
        <v>2625</v>
      </c>
      <c r="I1052" s="55"/>
      <c r="J1052" s="12"/>
      <c r="K1052" s="55"/>
      <c r="L1052" s="53"/>
      <c r="M1052" s="55"/>
      <c r="N1052" s="8"/>
      <c r="O1052" s="12"/>
      <c r="P1052" s="8"/>
      <c r="Q1052" s="8"/>
      <c r="R1052" s="10"/>
      <c r="S1052" s="10"/>
    </row>
    <row r="1053" spans="2:19" ht="14" outlineLevel="1">
      <c r="B1053" s="225"/>
      <c r="C1053" s="225"/>
      <c r="D1053" s="225"/>
      <c r="E1053" s="225"/>
      <c r="F1053" s="34"/>
      <c r="G1053" s="34"/>
      <c r="H1053" s="151" t="s">
        <v>2765</v>
      </c>
      <c r="I1053" s="55" t="s">
        <v>349</v>
      </c>
      <c r="J1053" s="12" t="s">
        <v>332</v>
      </c>
      <c r="K1053" s="55" t="s">
        <v>349</v>
      </c>
      <c r="L1053" s="53">
        <v>44635</v>
      </c>
      <c r="M1053" s="55" t="s">
        <v>1082</v>
      </c>
      <c r="N1053" s="8" t="s">
        <v>2764</v>
      </c>
      <c r="O1053" s="12" t="s">
        <v>326</v>
      </c>
      <c r="P1053" s="8"/>
      <c r="Q1053" s="8"/>
      <c r="R1053" s="10"/>
      <c r="S1053" s="10"/>
    </row>
    <row r="1054" spans="2:19" ht="14" outlineLevel="1">
      <c r="B1054" s="225"/>
      <c r="C1054" s="225"/>
      <c r="D1054" s="225"/>
      <c r="E1054" s="225"/>
      <c r="F1054" s="34"/>
      <c r="G1054" s="34"/>
      <c r="H1054" s="151" t="s">
        <v>2766</v>
      </c>
      <c r="I1054" s="55" t="s">
        <v>349</v>
      </c>
      <c r="J1054" s="12" t="s">
        <v>332</v>
      </c>
      <c r="K1054" s="55" t="s">
        <v>349</v>
      </c>
      <c r="L1054" s="53">
        <v>44635</v>
      </c>
      <c r="M1054" s="55" t="s">
        <v>1082</v>
      </c>
      <c r="N1054" s="8" t="s">
        <v>2764</v>
      </c>
      <c r="O1054" s="12" t="s">
        <v>326</v>
      </c>
      <c r="P1054" s="8"/>
      <c r="Q1054" s="8"/>
      <c r="R1054" s="10"/>
      <c r="S1054" s="10"/>
    </row>
    <row r="1055" spans="2:19" ht="14" outlineLevel="1">
      <c r="B1055" s="225"/>
      <c r="C1055" s="225"/>
      <c r="D1055" s="225"/>
      <c r="E1055" s="225"/>
      <c r="F1055" s="34"/>
      <c r="G1055" s="34"/>
      <c r="H1055" s="151" t="s">
        <v>2767</v>
      </c>
      <c r="I1055" s="55" t="s">
        <v>349</v>
      </c>
      <c r="J1055" s="12" t="s">
        <v>332</v>
      </c>
      <c r="K1055" s="55" t="s">
        <v>349</v>
      </c>
      <c r="L1055" s="53">
        <v>44635</v>
      </c>
      <c r="M1055" s="55" t="s">
        <v>1923</v>
      </c>
      <c r="N1055" s="8" t="s">
        <v>2764</v>
      </c>
      <c r="O1055" s="12" t="s">
        <v>326</v>
      </c>
      <c r="P1055" s="8"/>
      <c r="Q1055" s="8"/>
      <c r="R1055" s="10"/>
      <c r="S1055" s="10"/>
    </row>
    <row r="1056" spans="2:19" ht="14" outlineLevel="1">
      <c r="B1056" s="225"/>
      <c r="C1056" s="225"/>
      <c r="D1056" s="225"/>
      <c r="E1056" s="225"/>
      <c r="F1056" s="34"/>
      <c r="G1056" s="34"/>
      <c r="H1056" s="151" t="s">
        <v>2768</v>
      </c>
      <c r="I1056" s="55" t="s">
        <v>349</v>
      </c>
      <c r="J1056" s="12" t="s">
        <v>332</v>
      </c>
      <c r="K1056" s="55" t="s">
        <v>349</v>
      </c>
      <c r="L1056" s="53">
        <v>44635</v>
      </c>
      <c r="M1056" s="55" t="s">
        <v>1923</v>
      </c>
      <c r="N1056" s="8" t="s">
        <v>2764</v>
      </c>
      <c r="O1056" s="12" t="s">
        <v>326</v>
      </c>
      <c r="P1056" s="8"/>
      <c r="Q1056" s="8"/>
      <c r="R1056" s="10"/>
      <c r="S1056" s="10"/>
    </row>
    <row r="1057" spans="2:19" ht="14" outlineLevel="1">
      <c r="B1057" s="225"/>
      <c r="C1057" s="225"/>
      <c r="D1057" s="225"/>
      <c r="E1057" s="225"/>
      <c r="F1057" s="34"/>
      <c r="G1057" s="34" t="s">
        <v>183</v>
      </c>
      <c r="H1057" s="109" t="s">
        <v>2626</v>
      </c>
      <c r="I1057" s="55"/>
      <c r="J1057" s="12"/>
      <c r="K1057" s="55"/>
      <c r="L1057" s="53"/>
      <c r="M1057" s="55"/>
      <c r="N1057" s="8"/>
      <c r="O1057" s="12"/>
      <c r="P1057" s="8"/>
      <c r="Q1057" s="8"/>
      <c r="R1057" s="10"/>
      <c r="S1057" s="10"/>
    </row>
    <row r="1058" spans="2:19" ht="14" outlineLevel="1">
      <c r="B1058" s="225"/>
      <c r="C1058" s="225"/>
      <c r="D1058" s="225"/>
      <c r="E1058" s="225"/>
      <c r="F1058" s="34"/>
      <c r="G1058" s="34"/>
      <c r="H1058" s="151" t="s">
        <v>3629</v>
      </c>
      <c r="I1058" s="55" t="s">
        <v>349</v>
      </c>
      <c r="J1058" s="12" t="s">
        <v>332</v>
      </c>
      <c r="K1058" s="55" t="s">
        <v>349</v>
      </c>
      <c r="L1058" s="53">
        <v>45009</v>
      </c>
      <c r="M1058" s="55" t="s">
        <v>3298</v>
      </c>
      <c r="N1058" s="8" t="s">
        <v>3632</v>
      </c>
      <c r="O1058" s="12" t="s">
        <v>326</v>
      </c>
      <c r="P1058" s="8"/>
      <c r="Q1058" s="8"/>
      <c r="R1058" s="10"/>
      <c r="S1058" s="10"/>
    </row>
    <row r="1059" spans="2:19" ht="14" outlineLevel="1">
      <c r="B1059" s="225"/>
      <c r="C1059" s="225"/>
      <c r="D1059" s="225"/>
      <c r="E1059" s="225"/>
      <c r="F1059" s="34"/>
      <c r="G1059" s="34"/>
      <c r="H1059" s="151" t="s">
        <v>3290</v>
      </c>
      <c r="I1059" s="55" t="s">
        <v>349</v>
      </c>
      <c r="J1059" s="12" t="s">
        <v>332</v>
      </c>
      <c r="K1059" s="55" t="s">
        <v>349</v>
      </c>
      <c r="L1059" s="53">
        <v>44851</v>
      </c>
      <c r="M1059" s="55" t="s">
        <v>3298</v>
      </c>
      <c r="N1059" s="8" t="s">
        <v>3299</v>
      </c>
      <c r="O1059" s="12" t="s">
        <v>326</v>
      </c>
      <c r="P1059" s="8"/>
      <c r="Q1059" s="8"/>
      <c r="R1059" s="10"/>
      <c r="S1059" s="10"/>
    </row>
    <row r="1060" spans="2:19" ht="14" outlineLevel="1">
      <c r="B1060" s="225"/>
      <c r="C1060" s="225"/>
      <c r="D1060" s="225"/>
      <c r="E1060" s="225"/>
      <c r="F1060" s="34"/>
      <c r="G1060" s="34"/>
      <c r="H1060" s="151" t="s">
        <v>3631</v>
      </c>
      <c r="I1060" s="55" t="s">
        <v>349</v>
      </c>
      <c r="J1060" s="12" t="s">
        <v>332</v>
      </c>
      <c r="K1060" s="55" t="s">
        <v>349</v>
      </c>
      <c r="L1060" s="53"/>
      <c r="M1060" s="55" t="s">
        <v>3474</v>
      </c>
      <c r="N1060" s="8" t="s">
        <v>3632</v>
      </c>
      <c r="O1060" s="12" t="s">
        <v>326</v>
      </c>
      <c r="P1060" s="8"/>
      <c r="Q1060" s="8"/>
      <c r="R1060" s="10"/>
      <c r="S1060" s="10"/>
    </row>
    <row r="1061" spans="2:19" ht="14" outlineLevel="1">
      <c r="B1061" s="225"/>
      <c r="C1061" s="225"/>
      <c r="D1061" s="225"/>
      <c r="E1061" s="225"/>
      <c r="F1061" s="34"/>
      <c r="G1061" s="34"/>
      <c r="H1061" s="151" t="s">
        <v>3473</v>
      </c>
      <c r="I1061" s="55" t="s">
        <v>349</v>
      </c>
      <c r="J1061" s="12" t="s">
        <v>332</v>
      </c>
      <c r="K1061" s="55" t="s">
        <v>349</v>
      </c>
      <c r="L1061" s="53">
        <v>44952</v>
      </c>
      <c r="M1061" s="55" t="s">
        <v>3474</v>
      </c>
      <c r="N1061" s="8" t="s">
        <v>3470</v>
      </c>
      <c r="O1061" s="12" t="s">
        <v>326</v>
      </c>
      <c r="P1061" s="8"/>
      <c r="Q1061" s="8"/>
      <c r="R1061" s="10"/>
      <c r="S1061" s="10"/>
    </row>
    <row r="1062" spans="2:19" ht="14" outlineLevel="1">
      <c r="B1062" s="225"/>
      <c r="C1062" s="225"/>
      <c r="D1062" s="225"/>
      <c r="E1062" s="225"/>
      <c r="F1062" s="34"/>
      <c r="G1062" s="34" t="s">
        <v>184</v>
      </c>
      <c r="H1062" s="109" t="s">
        <v>2627</v>
      </c>
      <c r="I1062" s="55"/>
      <c r="J1062" s="12"/>
      <c r="K1062" s="55"/>
      <c r="L1062" s="53"/>
      <c r="M1062" s="55"/>
      <c r="N1062" s="8"/>
      <c r="O1062" s="12"/>
      <c r="P1062" s="8"/>
      <c r="Q1062" s="8"/>
      <c r="R1062" s="10"/>
      <c r="S1062" s="10"/>
    </row>
    <row r="1063" spans="2:19" outlineLevel="1">
      <c r="B1063" s="225"/>
      <c r="C1063" s="225"/>
      <c r="D1063" s="225"/>
      <c r="E1063" s="225"/>
      <c r="F1063" s="34"/>
      <c r="G1063" s="34"/>
      <c r="H1063" s="151"/>
      <c r="I1063" s="55"/>
      <c r="J1063" s="12"/>
      <c r="K1063" s="55"/>
      <c r="L1063" s="53"/>
      <c r="M1063" s="55"/>
      <c r="N1063" s="8"/>
      <c r="O1063" s="12"/>
      <c r="P1063" s="8"/>
      <c r="Q1063" s="8"/>
      <c r="R1063" s="10"/>
      <c r="S1063" s="10"/>
    </row>
    <row r="1064" spans="2:19" ht="14" outlineLevel="1">
      <c r="B1064" s="225"/>
      <c r="C1064" s="225"/>
      <c r="D1064" s="225"/>
      <c r="E1064" s="225"/>
      <c r="F1064" s="34"/>
      <c r="G1064" s="34"/>
      <c r="H1064" s="151" t="s">
        <v>3455</v>
      </c>
      <c r="I1064" s="55" t="s">
        <v>349</v>
      </c>
      <c r="J1064" s="12" t="s">
        <v>332</v>
      </c>
      <c r="K1064" s="55" t="s">
        <v>349</v>
      </c>
      <c r="L1064" s="53">
        <v>44952</v>
      </c>
      <c r="M1064" s="55" t="s">
        <v>3298</v>
      </c>
      <c r="N1064" s="8" t="s">
        <v>3470</v>
      </c>
      <c r="O1064" s="12" t="s">
        <v>326</v>
      </c>
      <c r="P1064" s="8"/>
      <c r="Q1064" s="8"/>
      <c r="R1064" s="10"/>
      <c r="S1064" s="10"/>
    </row>
    <row r="1065" spans="2:19" outlineLevel="1">
      <c r="B1065" s="225"/>
      <c r="C1065" s="225"/>
      <c r="D1065" s="225"/>
      <c r="E1065" s="225"/>
      <c r="F1065" s="34"/>
      <c r="G1065" s="34"/>
      <c r="H1065" s="151"/>
      <c r="I1065" s="55"/>
      <c r="J1065" s="12"/>
      <c r="K1065" s="55"/>
      <c r="L1065" s="53"/>
      <c r="M1065" s="55"/>
      <c r="N1065" s="8"/>
      <c r="O1065" s="12"/>
      <c r="P1065" s="8"/>
      <c r="Q1065" s="8"/>
      <c r="R1065" s="10"/>
      <c r="S1065" s="10"/>
    </row>
    <row r="1066" spans="2:19" ht="14" outlineLevel="1">
      <c r="B1066" s="225"/>
      <c r="C1066" s="225"/>
      <c r="D1066" s="225"/>
      <c r="E1066" s="225"/>
      <c r="F1066" s="34"/>
      <c r="G1066" s="34"/>
      <c r="H1066" s="151" t="s">
        <v>3457</v>
      </c>
      <c r="I1066" s="55" t="s">
        <v>349</v>
      </c>
      <c r="J1066" s="12" t="s">
        <v>332</v>
      </c>
      <c r="K1066" s="55" t="s">
        <v>349</v>
      </c>
      <c r="L1066" s="53">
        <v>44952</v>
      </c>
      <c r="M1066" s="55" t="s">
        <v>3474</v>
      </c>
      <c r="N1066" s="8" t="s">
        <v>3470</v>
      </c>
      <c r="O1066" s="12" t="s">
        <v>326</v>
      </c>
      <c r="P1066" s="8"/>
      <c r="Q1066" s="8"/>
      <c r="R1066" s="10"/>
      <c r="S1066" s="10"/>
    </row>
    <row r="1067" spans="2:19" outlineLevel="1">
      <c r="B1067" s="225"/>
      <c r="C1067" s="225"/>
      <c r="D1067" s="225"/>
      <c r="E1067" s="225"/>
      <c r="F1067" s="34"/>
      <c r="G1067" s="34"/>
      <c r="H1067" s="160"/>
      <c r="I1067" s="55"/>
      <c r="J1067" s="12"/>
      <c r="K1067" s="55"/>
      <c r="L1067" s="53"/>
      <c r="M1067" s="55"/>
      <c r="N1067" s="8"/>
      <c r="O1067" s="12"/>
      <c r="P1067" s="8"/>
      <c r="Q1067" s="8"/>
      <c r="R1067" s="10"/>
      <c r="S1067" s="10"/>
    </row>
    <row r="1068" spans="2:19" ht="14" outlineLevel="1">
      <c r="B1068" s="225"/>
      <c r="C1068" s="225"/>
      <c r="D1068" s="225"/>
      <c r="E1068" s="225"/>
      <c r="F1068" s="34" t="s">
        <v>207</v>
      </c>
      <c r="G1068" s="34"/>
      <c r="H1068" s="65" t="s">
        <v>1384</v>
      </c>
      <c r="I1068" s="55"/>
      <c r="J1068" s="12"/>
      <c r="K1068" s="55"/>
      <c r="L1068" s="53"/>
      <c r="M1068" s="55"/>
      <c r="N1068" s="8"/>
      <c r="O1068" s="12"/>
      <c r="P1068" s="8"/>
      <c r="Q1068" s="8"/>
      <c r="R1068" s="10"/>
      <c r="S1068" s="10"/>
    </row>
    <row r="1069" spans="2:19" ht="28" outlineLevel="1">
      <c r="B1069" s="225"/>
      <c r="C1069" s="225"/>
      <c r="D1069" s="225"/>
      <c r="E1069" s="225"/>
      <c r="F1069" s="34"/>
      <c r="G1069" s="34"/>
      <c r="H1069" s="147" t="s">
        <v>2173</v>
      </c>
      <c r="I1069" s="55" t="s">
        <v>349</v>
      </c>
      <c r="J1069" s="12" t="s">
        <v>332</v>
      </c>
      <c r="K1069" s="55" t="s">
        <v>349</v>
      </c>
      <c r="L1069" s="55">
        <v>44421</v>
      </c>
      <c r="M1069" s="158" t="s">
        <v>2167</v>
      </c>
      <c r="N1069" s="12" t="s">
        <v>2168</v>
      </c>
      <c r="O1069" s="12" t="s">
        <v>326</v>
      </c>
      <c r="P1069" s="8"/>
      <c r="Q1069" s="8"/>
      <c r="R1069" s="10"/>
      <c r="S1069" s="10"/>
    </row>
    <row r="1070" spans="2:19" ht="14" outlineLevel="1">
      <c r="B1070" s="225"/>
      <c r="C1070" s="225"/>
      <c r="D1070" s="225"/>
      <c r="E1070" s="225"/>
      <c r="F1070" s="34"/>
      <c r="G1070" s="34"/>
      <c r="H1070" s="147" t="s">
        <v>2618</v>
      </c>
      <c r="I1070" s="55" t="s">
        <v>349</v>
      </c>
      <c r="J1070" s="12" t="s">
        <v>332</v>
      </c>
      <c r="K1070" s="55" t="s">
        <v>349</v>
      </c>
      <c r="L1070" s="53">
        <v>44405</v>
      </c>
      <c r="M1070" s="62">
        <v>4753453</v>
      </c>
      <c r="N1070" s="8" t="s">
        <v>2069</v>
      </c>
      <c r="O1070" s="12" t="s">
        <v>326</v>
      </c>
      <c r="P1070" s="8"/>
      <c r="Q1070" s="8"/>
      <c r="R1070" s="10"/>
      <c r="S1070" s="10"/>
    </row>
    <row r="1071" spans="2:19" ht="14" outlineLevel="1">
      <c r="B1071" s="225"/>
      <c r="C1071" s="225"/>
      <c r="D1071" s="225"/>
      <c r="E1071" s="225"/>
      <c r="F1071" s="34"/>
      <c r="G1071" s="34"/>
      <c r="H1071" s="147" t="s">
        <v>2619</v>
      </c>
      <c r="I1071" s="55" t="s">
        <v>349</v>
      </c>
      <c r="J1071" s="12" t="s">
        <v>332</v>
      </c>
      <c r="K1071" s="55" t="s">
        <v>349</v>
      </c>
      <c r="L1071" s="53">
        <v>44643</v>
      </c>
      <c r="M1071" s="62">
        <v>5093966</v>
      </c>
      <c r="N1071" s="8" t="s">
        <v>2783</v>
      </c>
      <c r="O1071" s="12" t="s">
        <v>326</v>
      </c>
      <c r="P1071" s="8"/>
      <c r="Q1071" s="8"/>
      <c r="R1071" s="10"/>
      <c r="S1071" s="10"/>
    </row>
    <row r="1072" spans="2:19" ht="14" outlineLevel="1">
      <c r="B1072" s="225"/>
      <c r="C1072" s="225"/>
      <c r="D1072" s="225"/>
      <c r="E1072" s="225"/>
      <c r="F1072" s="34"/>
      <c r="G1072" s="34"/>
      <c r="H1072" s="147" t="s">
        <v>2622</v>
      </c>
      <c r="I1072" s="55" t="s">
        <v>349</v>
      </c>
      <c r="J1072" s="12" t="s">
        <v>332</v>
      </c>
      <c r="K1072" s="55" t="s">
        <v>349</v>
      </c>
      <c r="L1072" s="53">
        <v>44995</v>
      </c>
      <c r="M1072" s="62" t="s">
        <v>3592</v>
      </c>
      <c r="N1072" s="8" t="s">
        <v>3589</v>
      </c>
      <c r="O1072" s="12" t="s">
        <v>326</v>
      </c>
      <c r="P1072" s="8"/>
      <c r="Q1072" s="8"/>
      <c r="R1072" s="10"/>
      <c r="S1072" s="10"/>
    </row>
    <row r="1073" spans="2:19" ht="14" outlineLevel="1">
      <c r="B1073" s="225"/>
      <c r="C1073" s="225"/>
      <c r="D1073" s="225"/>
      <c r="E1073" s="225"/>
      <c r="F1073" s="34"/>
      <c r="G1073" s="34"/>
      <c r="H1073" s="147" t="s">
        <v>2623</v>
      </c>
      <c r="I1073" s="55" t="s">
        <v>349</v>
      </c>
      <c r="J1073" s="12" t="s">
        <v>332</v>
      </c>
      <c r="K1073" s="55" t="s">
        <v>349</v>
      </c>
      <c r="L1073" s="53">
        <v>44995</v>
      </c>
      <c r="M1073" s="62" t="s">
        <v>3593</v>
      </c>
      <c r="N1073" s="8" t="s">
        <v>3589</v>
      </c>
      <c r="O1073" s="12" t="s">
        <v>326</v>
      </c>
      <c r="P1073" s="8"/>
      <c r="Q1073" s="8"/>
      <c r="R1073" s="10"/>
      <c r="S1073" s="10"/>
    </row>
    <row r="1074" spans="2:19" outlineLevel="1">
      <c r="B1074" s="225"/>
      <c r="C1074" s="225"/>
      <c r="D1074" s="225"/>
      <c r="E1074" s="225"/>
      <c r="F1074" s="34"/>
      <c r="G1074" s="34"/>
      <c r="H1074" s="147" t="s">
        <v>3123</v>
      </c>
      <c r="I1074" s="55"/>
      <c r="J1074" s="12"/>
      <c r="K1074" s="55"/>
      <c r="L1074" s="53"/>
      <c r="M1074" s="62"/>
      <c r="N1074" s="8"/>
      <c r="O1074" s="12"/>
      <c r="P1074" s="8"/>
      <c r="Q1074" s="8"/>
      <c r="R1074" s="10"/>
      <c r="S1074" s="10"/>
    </row>
    <row r="1075" spans="2:19" outlineLevel="1">
      <c r="B1075" s="225"/>
      <c r="C1075" s="225"/>
      <c r="D1075" s="225"/>
      <c r="E1075" s="225"/>
      <c r="F1075" s="34"/>
      <c r="G1075" s="34"/>
      <c r="H1075" s="147"/>
      <c r="I1075" s="55"/>
      <c r="J1075" s="12"/>
      <c r="K1075" s="55"/>
      <c r="L1075" s="53"/>
      <c r="M1075" s="62"/>
      <c r="N1075" s="8"/>
      <c r="O1075" s="12"/>
      <c r="P1075" s="8"/>
      <c r="Q1075" s="8"/>
      <c r="R1075" s="10"/>
      <c r="S1075" s="10"/>
    </row>
    <row r="1076" spans="2:19" ht="14" outlineLevel="1">
      <c r="B1076" s="225"/>
      <c r="C1076" s="225"/>
      <c r="D1076" s="225"/>
      <c r="E1076" s="225"/>
      <c r="F1076" s="34" t="s">
        <v>208</v>
      </c>
      <c r="G1076" s="34"/>
      <c r="H1076" s="65" t="s">
        <v>2251</v>
      </c>
      <c r="I1076" s="55" t="s">
        <v>349</v>
      </c>
      <c r="J1076" s="8" t="s">
        <v>333</v>
      </c>
      <c r="K1076" s="55" t="s">
        <v>349</v>
      </c>
      <c r="L1076" s="53">
        <v>44447</v>
      </c>
      <c r="M1076" s="8" t="s">
        <v>652</v>
      </c>
      <c r="N1076" s="8" t="s">
        <v>2252</v>
      </c>
      <c r="O1076" s="8" t="s">
        <v>326</v>
      </c>
      <c r="P1076" s="8"/>
      <c r="Q1076" s="8"/>
      <c r="R1076" s="10"/>
      <c r="S1076" s="10"/>
    </row>
    <row r="1077" spans="2:19" outlineLevel="1">
      <c r="B1077" s="225"/>
      <c r="C1077" s="225"/>
      <c r="D1077" s="225"/>
      <c r="E1077" s="225"/>
      <c r="F1077" s="34"/>
      <c r="G1077" s="34"/>
      <c r="H1077" s="65"/>
      <c r="I1077" s="55"/>
      <c r="J1077" s="8"/>
      <c r="K1077" s="55"/>
      <c r="L1077" s="53"/>
      <c r="M1077" s="8"/>
      <c r="N1077" s="8"/>
      <c r="O1077" s="8"/>
      <c r="P1077" s="8"/>
      <c r="Q1077" s="8"/>
      <c r="R1077" s="10"/>
      <c r="S1077" s="10"/>
    </row>
    <row r="1078" spans="2:19" ht="14" outlineLevel="1">
      <c r="B1078" s="225"/>
      <c r="C1078" s="225"/>
      <c r="D1078" s="225"/>
      <c r="E1078" s="225"/>
      <c r="F1078" s="34" t="s">
        <v>209</v>
      </c>
      <c r="G1078" s="34"/>
      <c r="H1078" s="54" t="s">
        <v>1993</v>
      </c>
      <c r="I1078" s="31" t="s">
        <v>3</v>
      </c>
      <c r="J1078" s="12" t="s">
        <v>332</v>
      </c>
      <c r="K1078" s="55" t="s">
        <v>349</v>
      </c>
      <c r="L1078" s="55">
        <v>44522</v>
      </c>
      <c r="M1078" s="12" t="s">
        <v>4142</v>
      </c>
      <c r="N1078" s="12" t="s">
        <v>2460</v>
      </c>
      <c r="O1078" s="12" t="s">
        <v>326</v>
      </c>
      <c r="P1078" s="12"/>
      <c r="Q1078" s="12"/>
      <c r="R1078" s="3"/>
      <c r="S1078" s="3"/>
    </row>
    <row r="1079" spans="2:19" ht="14" outlineLevel="1">
      <c r="B1079" s="225"/>
      <c r="C1079" s="225"/>
      <c r="D1079" s="225"/>
      <c r="E1079" s="225"/>
      <c r="F1079" s="34"/>
      <c r="G1079" s="34"/>
      <c r="H1079" s="54" t="s">
        <v>1993</v>
      </c>
      <c r="I1079" s="31" t="s">
        <v>654</v>
      </c>
      <c r="J1079" s="12" t="s">
        <v>332</v>
      </c>
      <c r="K1079" s="55" t="s">
        <v>349</v>
      </c>
      <c r="L1079" s="55">
        <v>45258</v>
      </c>
      <c r="M1079" s="12" t="s">
        <v>4141</v>
      </c>
      <c r="N1079" s="12" t="s">
        <v>4140</v>
      </c>
      <c r="O1079" s="12" t="s">
        <v>326</v>
      </c>
      <c r="P1079" s="12"/>
      <c r="Q1079" s="12"/>
      <c r="R1079" s="3"/>
      <c r="S1079" s="3"/>
    </row>
    <row r="1080" spans="2:19" outlineLevel="1">
      <c r="B1080" s="225"/>
      <c r="C1080" s="225"/>
      <c r="D1080" s="225"/>
      <c r="E1080" s="225"/>
      <c r="F1080" s="34"/>
      <c r="G1080" s="34"/>
      <c r="H1080" s="54"/>
      <c r="I1080" s="31"/>
      <c r="J1080" s="12"/>
      <c r="K1080" s="55"/>
      <c r="L1080" s="55"/>
      <c r="M1080" s="12"/>
      <c r="N1080" s="12"/>
      <c r="O1080" s="12"/>
      <c r="P1080" s="12"/>
      <c r="Q1080" s="12"/>
      <c r="R1080" s="3"/>
      <c r="S1080" s="3"/>
    </row>
    <row r="1081" spans="2:19" ht="14" outlineLevel="1">
      <c r="B1081" s="225"/>
      <c r="C1081" s="225"/>
      <c r="D1081" s="225"/>
      <c r="E1081" s="225"/>
      <c r="F1081" s="34" t="s">
        <v>210</v>
      </c>
      <c r="G1081" s="34"/>
      <c r="H1081" s="54" t="s">
        <v>2034</v>
      </c>
      <c r="I1081" s="31" t="s">
        <v>3</v>
      </c>
      <c r="J1081" s="12" t="s">
        <v>332</v>
      </c>
      <c r="K1081" s="55" t="s">
        <v>349</v>
      </c>
      <c r="L1081" s="55">
        <v>44587</v>
      </c>
      <c r="M1081" s="12" t="s">
        <v>4142</v>
      </c>
      <c r="N1081" s="12" t="s">
        <v>2637</v>
      </c>
      <c r="O1081" s="8" t="s">
        <v>326</v>
      </c>
      <c r="P1081" s="8"/>
      <c r="Q1081" s="8"/>
      <c r="R1081" s="10"/>
      <c r="S1081" s="10"/>
    </row>
    <row r="1082" spans="2:19" outlineLevel="1">
      <c r="B1082" s="225"/>
      <c r="C1082" s="225"/>
      <c r="D1082" s="225"/>
      <c r="E1082" s="225"/>
      <c r="F1082" s="34"/>
      <c r="G1082" s="34"/>
      <c r="H1082" s="54"/>
      <c r="I1082" s="31"/>
      <c r="J1082" s="12"/>
      <c r="K1082" s="55"/>
      <c r="L1082" s="53"/>
      <c r="M1082" s="8"/>
      <c r="N1082" s="8"/>
      <c r="O1082" s="8"/>
      <c r="P1082" s="8"/>
      <c r="Q1082" s="8"/>
      <c r="R1082" s="10"/>
      <c r="S1082" s="10"/>
    </row>
    <row r="1083" spans="2:19" ht="14" outlineLevel="1">
      <c r="B1083" s="225"/>
      <c r="C1083" s="225"/>
      <c r="D1083" s="225"/>
      <c r="E1083" s="225"/>
      <c r="F1083" s="34" t="s">
        <v>289</v>
      </c>
      <c r="G1083" s="34"/>
      <c r="H1083" s="65" t="s">
        <v>2563</v>
      </c>
      <c r="I1083" s="55" t="s">
        <v>349</v>
      </c>
      <c r="J1083" s="8" t="s">
        <v>333</v>
      </c>
      <c r="K1083" s="55" t="s">
        <v>349</v>
      </c>
      <c r="L1083" s="53">
        <v>44546</v>
      </c>
      <c r="M1083" s="62" t="s">
        <v>349</v>
      </c>
      <c r="N1083" s="8" t="s">
        <v>2564</v>
      </c>
      <c r="O1083" s="12" t="s">
        <v>326</v>
      </c>
      <c r="P1083" s="8"/>
      <c r="Q1083" s="8"/>
      <c r="R1083" s="10"/>
      <c r="S1083" s="10"/>
    </row>
    <row r="1084" spans="2:19" outlineLevel="1">
      <c r="B1084" s="225"/>
      <c r="C1084" s="225"/>
      <c r="D1084" s="225"/>
      <c r="E1084" s="225"/>
      <c r="F1084" s="34"/>
      <c r="G1084" s="34"/>
      <c r="H1084" s="65"/>
      <c r="I1084" s="55"/>
      <c r="J1084" s="8"/>
      <c r="K1084" s="55"/>
      <c r="L1084" s="53"/>
      <c r="M1084" s="62"/>
      <c r="N1084" s="8"/>
      <c r="O1084" s="12"/>
      <c r="P1084" s="8"/>
      <c r="Q1084" s="8"/>
      <c r="R1084" s="10"/>
      <c r="S1084" s="10"/>
    </row>
    <row r="1085" spans="2:19" ht="14" outlineLevel="1">
      <c r="B1085" s="225"/>
      <c r="C1085" s="225"/>
      <c r="D1085" s="225"/>
      <c r="E1085" s="225"/>
      <c r="F1085" s="34" t="s">
        <v>290</v>
      </c>
      <c r="G1085" s="34"/>
      <c r="H1085" s="65" t="s">
        <v>2595</v>
      </c>
      <c r="I1085" s="55"/>
      <c r="J1085" s="8"/>
      <c r="K1085" s="55"/>
      <c r="L1085" s="53"/>
      <c r="M1085" s="62"/>
      <c r="N1085" s="8"/>
      <c r="O1085" s="12"/>
      <c r="P1085" s="8"/>
      <c r="Q1085" s="8"/>
      <c r="R1085" s="10"/>
      <c r="S1085" s="10"/>
    </row>
    <row r="1086" spans="2:19" ht="14" outlineLevel="1">
      <c r="B1086" s="225"/>
      <c r="C1086" s="225"/>
      <c r="D1086" s="225"/>
      <c r="E1086" s="225"/>
      <c r="F1086" s="34"/>
      <c r="G1086" s="34" t="s">
        <v>177</v>
      </c>
      <c r="H1086" s="147" t="s">
        <v>2368</v>
      </c>
      <c r="I1086" s="55"/>
      <c r="J1086" s="8"/>
      <c r="K1086" s="55"/>
      <c r="L1086" s="53"/>
      <c r="M1086" s="62"/>
      <c r="N1086" s="8"/>
      <c r="O1086" s="12"/>
      <c r="P1086" s="8"/>
      <c r="Q1086" s="8"/>
      <c r="R1086" s="10"/>
      <c r="S1086" s="10"/>
    </row>
    <row r="1087" spans="2:19" ht="14" outlineLevel="1">
      <c r="B1087" s="225"/>
      <c r="C1087" s="225"/>
      <c r="D1087" s="225"/>
      <c r="E1087" s="225"/>
      <c r="F1087" s="34"/>
      <c r="G1087" s="34"/>
      <c r="H1087" s="160" t="s">
        <v>2600</v>
      </c>
      <c r="I1087" s="55" t="s">
        <v>349</v>
      </c>
      <c r="J1087" s="8" t="s">
        <v>333</v>
      </c>
      <c r="K1087" s="55" t="s">
        <v>349</v>
      </c>
      <c r="L1087" s="53">
        <v>44550</v>
      </c>
      <c r="M1087" s="62" t="s">
        <v>2598</v>
      </c>
      <c r="N1087" s="8" t="s">
        <v>2601</v>
      </c>
      <c r="O1087" s="12" t="s">
        <v>326</v>
      </c>
      <c r="P1087" s="8"/>
      <c r="Q1087" s="8"/>
      <c r="R1087" s="10"/>
      <c r="S1087" s="10"/>
    </row>
    <row r="1088" spans="2:19" ht="14" outlineLevel="1">
      <c r="B1088" s="225"/>
      <c r="C1088" s="225"/>
      <c r="D1088" s="225"/>
      <c r="E1088" s="225"/>
      <c r="F1088" s="34"/>
      <c r="G1088" s="34"/>
      <c r="H1088" s="160" t="s">
        <v>2600</v>
      </c>
      <c r="I1088" s="55" t="s">
        <v>349</v>
      </c>
      <c r="J1088" s="8" t="s">
        <v>333</v>
      </c>
      <c r="K1088" s="55" t="s">
        <v>349</v>
      </c>
      <c r="L1088" s="53">
        <v>44550</v>
      </c>
      <c r="M1088" s="62" t="s">
        <v>2599</v>
      </c>
      <c r="N1088" s="8" t="s">
        <v>2601</v>
      </c>
      <c r="O1088" s="12" t="s">
        <v>326</v>
      </c>
      <c r="P1088" s="8"/>
      <c r="Q1088" s="8"/>
      <c r="R1088" s="10"/>
      <c r="S1088" s="10"/>
    </row>
    <row r="1089" spans="2:19" ht="14" outlineLevel="1">
      <c r="B1089" s="225"/>
      <c r="C1089" s="225"/>
      <c r="D1089" s="225"/>
      <c r="E1089" s="225"/>
      <c r="F1089" s="34"/>
      <c r="G1089" s="34"/>
      <c r="H1089" s="160" t="s">
        <v>2602</v>
      </c>
      <c r="I1089" s="55" t="s">
        <v>349</v>
      </c>
      <c r="J1089" s="8" t="s">
        <v>333</v>
      </c>
      <c r="K1089" s="55" t="s">
        <v>349</v>
      </c>
      <c r="L1089" s="53">
        <v>44566</v>
      </c>
      <c r="M1089" s="55" t="s">
        <v>349</v>
      </c>
      <c r="N1089" s="8" t="s">
        <v>2604</v>
      </c>
      <c r="O1089" s="12" t="s">
        <v>326</v>
      </c>
      <c r="P1089" s="8"/>
      <c r="Q1089" s="8"/>
      <c r="R1089" s="10"/>
      <c r="S1089" s="10"/>
    </row>
    <row r="1090" spans="2:19" ht="14" outlineLevel="1">
      <c r="B1090" s="225"/>
      <c r="C1090" s="225"/>
      <c r="D1090" s="225"/>
      <c r="E1090" s="225"/>
      <c r="F1090" s="34"/>
      <c r="G1090" s="34"/>
      <c r="H1090" s="160" t="s">
        <v>2603</v>
      </c>
      <c r="I1090" s="55" t="s">
        <v>349</v>
      </c>
      <c r="J1090" s="8" t="s">
        <v>333</v>
      </c>
      <c r="K1090" s="55" t="s">
        <v>349</v>
      </c>
      <c r="L1090" s="53">
        <v>44566</v>
      </c>
      <c r="M1090" s="55" t="s">
        <v>349</v>
      </c>
      <c r="N1090" s="8" t="s">
        <v>2604</v>
      </c>
      <c r="O1090" s="12" t="s">
        <v>326</v>
      </c>
      <c r="P1090" s="8"/>
      <c r="Q1090" s="8"/>
      <c r="R1090" s="10"/>
      <c r="S1090" s="10"/>
    </row>
    <row r="1091" spans="2:19" outlineLevel="1">
      <c r="B1091" s="225"/>
      <c r="C1091" s="225"/>
      <c r="D1091" s="225"/>
      <c r="E1091" s="225"/>
      <c r="F1091" s="34"/>
      <c r="G1091" s="34"/>
      <c r="H1091" s="160"/>
      <c r="I1091" s="55"/>
      <c r="J1091" s="8"/>
      <c r="K1091" s="55"/>
      <c r="L1091" s="53"/>
      <c r="M1091" s="55"/>
      <c r="N1091" s="8"/>
      <c r="O1091" s="12"/>
      <c r="P1091" s="8"/>
      <c r="Q1091" s="8"/>
      <c r="R1091" s="10"/>
      <c r="S1091" s="10"/>
    </row>
    <row r="1092" spans="2:19" ht="14" outlineLevel="1">
      <c r="B1092" s="225"/>
      <c r="C1092" s="225"/>
      <c r="D1092" s="225"/>
      <c r="E1092" s="225"/>
      <c r="F1092" s="34" t="s">
        <v>291</v>
      </c>
      <c r="G1092" s="34"/>
      <c r="H1092" s="160" t="s">
        <v>3849</v>
      </c>
      <c r="I1092" s="55"/>
      <c r="J1092" s="8"/>
      <c r="K1092" s="55"/>
      <c r="L1092" s="53"/>
      <c r="M1092" s="55"/>
      <c r="N1092" s="8"/>
      <c r="O1092" s="12"/>
      <c r="P1092" s="8"/>
      <c r="Q1092" s="8"/>
      <c r="R1092" s="10"/>
      <c r="S1092" s="10"/>
    </row>
    <row r="1093" spans="2:19" ht="14" outlineLevel="1">
      <c r="B1093" s="225"/>
      <c r="C1093" s="225"/>
      <c r="D1093" s="225"/>
      <c r="E1093" s="225"/>
      <c r="F1093" s="34"/>
      <c r="G1093" s="34" t="s">
        <v>177</v>
      </c>
      <c r="H1093" s="160" t="s">
        <v>3850</v>
      </c>
      <c r="I1093" s="55" t="s">
        <v>349</v>
      </c>
      <c r="J1093" s="8" t="s">
        <v>333</v>
      </c>
      <c r="K1093" s="55" t="s">
        <v>349</v>
      </c>
      <c r="L1093" s="53">
        <v>45170</v>
      </c>
      <c r="M1093" s="55" t="s">
        <v>3830</v>
      </c>
      <c r="N1093" s="8" t="s">
        <v>3848</v>
      </c>
      <c r="O1093" s="12" t="s">
        <v>326</v>
      </c>
      <c r="P1093" s="8"/>
      <c r="Q1093" s="8"/>
      <c r="R1093" s="10"/>
      <c r="S1093" s="10"/>
    </row>
    <row r="1094" spans="2:19" ht="14" outlineLevel="1">
      <c r="B1094" s="225"/>
      <c r="C1094" s="225"/>
      <c r="D1094" s="225"/>
      <c r="E1094" s="225"/>
      <c r="F1094" s="34"/>
      <c r="G1094" s="34"/>
      <c r="H1094" s="160" t="s">
        <v>3851</v>
      </c>
      <c r="I1094" s="55" t="s">
        <v>349</v>
      </c>
      <c r="J1094" s="8" t="s">
        <v>333</v>
      </c>
      <c r="K1094" s="55" t="s">
        <v>349</v>
      </c>
      <c r="L1094" s="53">
        <v>45170</v>
      </c>
      <c r="M1094" s="55" t="s">
        <v>3832</v>
      </c>
      <c r="N1094" s="8" t="s">
        <v>3848</v>
      </c>
      <c r="O1094" s="12" t="s">
        <v>326</v>
      </c>
      <c r="P1094" s="8"/>
      <c r="Q1094" s="8"/>
      <c r="R1094" s="10"/>
      <c r="S1094" s="10"/>
    </row>
    <row r="1095" spans="2:19" ht="14" outlineLevel="1">
      <c r="B1095" s="225"/>
      <c r="C1095" s="225"/>
      <c r="D1095" s="225"/>
      <c r="E1095" s="225"/>
      <c r="F1095" s="34"/>
      <c r="G1095" s="34" t="s">
        <v>181</v>
      </c>
      <c r="H1095" s="160" t="s">
        <v>3852</v>
      </c>
      <c r="I1095" s="55" t="s">
        <v>349</v>
      </c>
      <c r="J1095" s="8" t="s">
        <v>333</v>
      </c>
      <c r="K1095" s="55" t="s">
        <v>349</v>
      </c>
      <c r="L1095" s="53">
        <v>45170</v>
      </c>
      <c r="M1095" s="55" t="s">
        <v>3833</v>
      </c>
      <c r="N1095" s="8" t="s">
        <v>3848</v>
      </c>
      <c r="O1095" s="12" t="s">
        <v>326</v>
      </c>
      <c r="P1095" s="8"/>
      <c r="Q1095" s="8"/>
      <c r="R1095" s="10"/>
      <c r="S1095" s="10"/>
    </row>
    <row r="1096" spans="2:19" ht="14" outlineLevel="1">
      <c r="B1096" s="225"/>
      <c r="C1096" s="225"/>
      <c r="D1096" s="225"/>
      <c r="E1096" s="225"/>
      <c r="F1096" s="34"/>
      <c r="G1096" s="34"/>
      <c r="H1096" s="160" t="s">
        <v>3853</v>
      </c>
      <c r="I1096" s="55" t="s">
        <v>349</v>
      </c>
      <c r="J1096" s="8" t="s">
        <v>333</v>
      </c>
      <c r="K1096" s="55" t="s">
        <v>349</v>
      </c>
      <c r="L1096" s="53">
        <v>45170</v>
      </c>
      <c r="M1096" s="55" t="s">
        <v>3835</v>
      </c>
      <c r="N1096" s="8" t="s">
        <v>3848</v>
      </c>
      <c r="O1096" s="12" t="s">
        <v>326</v>
      </c>
      <c r="P1096" s="8"/>
      <c r="Q1096" s="8"/>
      <c r="R1096" s="10"/>
      <c r="S1096" s="10"/>
    </row>
    <row r="1097" spans="2:19" ht="14" outlineLevel="1">
      <c r="B1097" s="225"/>
      <c r="C1097" s="225"/>
      <c r="D1097" s="225"/>
      <c r="E1097" s="225"/>
      <c r="F1097" s="34"/>
      <c r="G1097" s="34" t="s">
        <v>183</v>
      </c>
      <c r="H1097" s="160" t="s">
        <v>3854</v>
      </c>
      <c r="I1097" s="55" t="s">
        <v>349</v>
      </c>
      <c r="J1097" s="8" t="s">
        <v>333</v>
      </c>
      <c r="K1097" s="55" t="s">
        <v>349</v>
      </c>
      <c r="L1097" s="53">
        <v>45170</v>
      </c>
      <c r="M1097" s="55" t="s">
        <v>3836</v>
      </c>
      <c r="N1097" s="8" t="s">
        <v>3848</v>
      </c>
      <c r="O1097" s="12" t="s">
        <v>326</v>
      </c>
      <c r="P1097" s="8"/>
      <c r="Q1097" s="8"/>
      <c r="R1097" s="10"/>
      <c r="S1097" s="10"/>
    </row>
    <row r="1098" spans="2:19" ht="14" outlineLevel="1">
      <c r="B1098" s="225"/>
      <c r="C1098" s="225"/>
      <c r="D1098" s="225"/>
      <c r="E1098" s="225"/>
      <c r="F1098" s="34"/>
      <c r="G1098" s="34"/>
      <c r="H1098" s="160" t="s">
        <v>3855</v>
      </c>
      <c r="I1098" s="55" t="s">
        <v>349</v>
      </c>
      <c r="J1098" s="8" t="s">
        <v>333</v>
      </c>
      <c r="K1098" s="55" t="s">
        <v>349</v>
      </c>
      <c r="L1098" s="53">
        <v>45170</v>
      </c>
      <c r="M1098" s="55" t="s">
        <v>3858</v>
      </c>
      <c r="N1098" s="8" t="s">
        <v>3848</v>
      </c>
      <c r="O1098" s="12" t="s">
        <v>326</v>
      </c>
      <c r="P1098" s="8"/>
      <c r="Q1098" s="8"/>
      <c r="R1098" s="10"/>
      <c r="S1098" s="10"/>
    </row>
    <row r="1099" spans="2:19" ht="14" outlineLevel="1">
      <c r="B1099" s="225"/>
      <c r="C1099" s="225"/>
      <c r="D1099" s="225"/>
      <c r="E1099" s="225"/>
      <c r="F1099" s="34"/>
      <c r="G1099" s="34" t="s">
        <v>184</v>
      </c>
      <c r="H1099" s="160" t="s">
        <v>3856</v>
      </c>
      <c r="I1099" s="55" t="s">
        <v>1216</v>
      </c>
      <c r="J1099" s="8" t="s">
        <v>333</v>
      </c>
      <c r="K1099" s="55" t="s">
        <v>349</v>
      </c>
      <c r="L1099" s="53">
        <v>45170</v>
      </c>
      <c r="M1099" s="55" t="s">
        <v>3838</v>
      </c>
      <c r="N1099" s="8" t="s">
        <v>3848</v>
      </c>
      <c r="O1099" s="12" t="s">
        <v>326</v>
      </c>
      <c r="P1099" s="8"/>
      <c r="Q1099" s="8"/>
      <c r="R1099" s="10"/>
      <c r="S1099" s="10"/>
    </row>
    <row r="1100" spans="2:19" ht="14" outlineLevel="1">
      <c r="B1100" s="225"/>
      <c r="C1100" s="225"/>
      <c r="D1100" s="225"/>
      <c r="E1100" s="225"/>
      <c r="F1100" s="34"/>
      <c r="G1100" s="34"/>
      <c r="H1100" s="160" t="s">
        <v>3857</v>
      </c>
      <c r="I1100" s="55" t="s">
        <v>349</v>
      </c>
      <c r="J1100" s="8" t="s">
        <v>333</v>
      </c>
      <c r="K1100" s="55" t="s">
        <v>349</v>
      </c>
      <c r="L1100" s="53">
        <v>45170</v>
      </c>
      <c r="M1100" s="55" t="s">
        <v>3841</v>
      </c>
      <c r="N1100" s="8" t="s">
        <v>3848</v>
      </c>
      <c r="O1100" s="12" t="s">
        <v>326</v>
      </c>
      <c r="P1100" s="8"/>
      <c r="Q1100" s="8"/>
      <c r="R1100" s="10"/>
      <c r="S1100" s="10"/>
    </row>
    <row r="1101" spans="2:19" ht="14" outlineLevel="1">
      <c r="B1101" s="225"/>
      <c r="C1101" s="225"/>
      <c r="D1101" s="225"/>
      <c r="E1101" s="225"/>
      <c r="F1101" s="34"/>
      <c r="G1101" s="34" t="s">
        <v>386</v>
      </c>
      <c r="H1101" s="147"/>
      <c r="I1101" s="55"/>
      <c r="J1101" s="8"/>
      <c r="K1101" s="55"/>
      <c r="L1101" s="53"/>
      <c r="M1101" s="62"/>
      <c r="N1101" s="8"/>
      <c r="O1101" s="12"/>
      <c r="P1101" s="8"/>
      <c r="Q1101" s="8"/>
      <c r="R1101" s="10"/>
      <c r="S1101" s="10"/>
    </row>
    <row r="1102" spans="2:19" outlineLevel="1">
      <c r="B1102" s="225"/>
      <c r="C1102" s="225"/>
      <c r="D1102" s="225"/>
      <c r="E1102" s="225"/>
      <c r="F1102" s="34"/>
      <c r="G1102" s="34"/>
      <c r="H1102" s="147"/>
      <c r="I1102" s="55"/>
      <c r="J1102" s="8"/>
      <c r="K1102" s="55"/>
      <c r="L1102" s="53"/>
      <c r="M1102" s="62"/>
      <c r="N1102" s="8"/>
      <c r="O1102" s="12"/>
      <c r="P1102" s="8"/>
      <c r="Q1102" s="8"/>
      <c r="R1102" s="10"/>
      <c r="S1102" s="10"/>
    </row>
    <row r="1103" spans="2:19" outlineLevel="1">
      <c r="B1103" s="225"/>
      <c r="C1103" s="225"/>
      <c r="D1103" s="226"/>
      <c r="E1103" s="226"/>
      <c r="F1103" s="34"/>
      <c r="G1103" s="34"/>
      <c r="H1103" s="54"/>
      <c r="I1103" s="31"/>
      <c r="J1103" s="12"/>
      <c r="K1103" s="55"/>
      <c r="L1103" s="55"/>
      <c r="M1103" s="12"/>
      <c r="N1103" s="12"/>
      <c r="O1103" s="8"/>
      <c r="P1103" s="8"/>
      <c r="Q1103" s="8"/>
      <c r="R1103" s="10"/>
      <c r="S1103" s="10"/>
    </row>
    <row r="1104" spans="2:19" ht="28" outlineLevel="1">
      <c r="B1104" s="225"/>
      <c r="C1104" s="225"/>
      <c r="D1104" s="9" t="s">
        <v>151</v>
      </c>
      <c r="E1104" s="227" t="s">
        <v>224</v>
      </c>
      <c r="F1104" s="228"/>
      <c r="G1104" s="228"/>
      <c r="H1104" s="229"/>
      <c r="I1104" s="32"/>
      <c r="J1104" s="8"/>
      <c r="K1104" s="53"/>
      <c r="L1104" s="53"/>
      <c r="M1104" s="8"/>
      <c r="N1104" s="8"/>
      <c r="O1104" s="8"/>
      <c r="P1104" s="8"/>
      <c r="Q1104" s="8"/>
      <c r="R1104" s="10"/>
      <c r="S1104" s="10"/>
    </row>
    <row r="1105" spans="2:19" ht="28" outlineLevel="1">
      <c r="B1105" s="225"/>
      <c r="C1105" s="225"/>
      <c r="D1105" s="224"/>
      <c r="E1105" s="232"/>
      <c r="F1105" s="34" t="s">
        <v>27</v>
      </c>
      <c r="G1105" s="9"/>
      <c r="H1105" s="4" t="s">
        <v>220</v>
      </c>
      <c r="I1105" s="88" t="s">
        <v>3</v>
      </c>
      <c r="J1105" s="65" t="s">
        <v>332</v>
      </c>
      <c r="K1105" s="55">
        <v>44195</v>
      </c>
      <c r="L1105" s="55">
        <v>44188</v>
      </c>
      <c r="M1105" s="12" t="s">
        <v>672</v>
      </c>
      <c r="N1105" s="62" t="s">
        <v>850</v>
      </c>
      <c r="O1105" s="12" t="s">
        <v>326</v>
      </c>
      <c r="P1105" s="8"/>
      <c r="Q1105" s="8"/>
      <c r="R1105" s="10"/>
      <c r="S1105" s="10" t="s">
        <v>1092</v>
      </c>
    </row>
    <row r="1106" spans="2:19" ht="14" outlineLevel="1">
      <c r="B1106" s="225"/>
      <c r="C1106" s="225"/>
      <c r="D1106" s="225"/>
      <c r="E1106" s="232"/>
      <c r="F1106" s="9" t="s">
        <v>29</v>
      </c>
      <c r="G1106" s="9"/>
      <c r="H1106" s="43" t="s">
        <v>228</v>
      </c>
      <c r="I1106" s="32"/>
      <c r="J1106" s="8" t="s">
        <v>333</v>
      </c>
      <c r="K1106" s="8"/>
      <c r="L1106" s="8"/>
      <c r="M1106" s="8"/>
      <c r="N1106" s="8"/>
      <c r="O1106" s="8"/>
      <c r="P1106" s="8"/>
      <c r="Q1106" s="8"/>
      <c r="R1106" s="10"/>
      <c r="S1106" s="10"/>
    </row>
    <row r="1107" spans="2:19" ht="14" outlineLevel="1">
      <c r="B1107" s="225"/>
      <c r="C1107" s="225"/>
      <c r="D1107" s="225"/>
      <c r="E1107" s="232"/>
      <c r="F1107" s="9" t="s">
        <v>35</v>
      </c>
      <c r="G1107" s="9"/>
      <c r="H1107" s="4" t="s">
        <v>221</v>
      </c>
      <c r="I1107" s="32"/>
      <c r="J1107" s="8" t="s">
        <v>333</v>
      </c>
      <c r="K1107" s="8"/>
      <c r="L1107" s="8"/>
      <c r="M1107" s="8"/>
      <c r="N1107" s="8"/>
      <c r="O1107" s="8"/>
      <c r="P1107" s="8"/>
      <c r="Q1107" s="8"/>
      <c r="R1107" s="10"/>
      <c r="S1107" s="10"/>
    </row>
    <row r="1108" spans="2:19" ht="14" outlineLevel="1">
      <c r="B1108" s="225"/>
      <c r="C1108" s="225"/>
      <c r="D1108" s="225"/>
      <c r="E1108" s="232"/>
      <c r="F1108" s="9"/>
      <c r="G1108" s="9"/>
      <c r="H1108" s="101" t="s">
        <v>2037</v>
      </c>
      <c r="I1108" s="55" t="s">
        <v>349</v>
      </c>
      <c r="J1108" s="8" t="s">
        <v>333</v>
      </c>
      <c r="K1108" s="55" t="s">
        <v>349</v>
      </c>
      <c r="L1108" s="53">
        <v>44397</v>
      </c>
      <c r="M1108" s="55" t="s">
        <v>349</v>
      </c>
      <c r="N1108" s="8" t="s">
        <v>2043</v>
      </c>
      <c r="O1108" s="12" t="s">
        <v>326</v>
      </c>
      <c r="P1108" s="8"/>
      <c r="Q1108" s="8"/>
      <c r="R1108" s="10"/>
      <c r="S1108" s="10"/>
    </row>
    <row r="1109" spans="2:19" ht="14" outlineLevel="1">
      <c r="B1109" s="225"/>
      <c r="C1109" s="225"/>
      <c r="D1109" s="225"/>
      <c r="E1109" s="232"/>
      <c r="F1109" s="9"/>
      <c r="G1109" s="9"/>
      <c r="H1109" s="101" t="s">
        <v>2037</v>
      </c>
      <c r="I1109" s="55" t="s">
        <v>349</v>
      </c>
      <c r="J1109" s="8" t="s">
        <v>333</v>
      </c>
      <c r="K1109" s="55" t="s">
        <v>349</v>
      </c>
      <c r="L1109" s="53">
        <v>45091</v>
      </c>
      <c r="M1109" s="55" t="s">
        <v>3797</v>
      </c>
      <c r="N1109" s="8" t="s">
        <v>3810</v>
      </c>
      <c r="O1109" s="12" t="s">
        <v>326</v>
      </c>
      <c r="P1109" s="8"/>
      <c r="Q1109" s="8"/>
      <c r="R1109" s="10"/>
      <c r="S1109" s="10"/>
    </row>
    <row r="1110" spans="2:19" ht="14" outlineLevel="1">
      <c r="B1110" s="225"/>
      <c r="C1110" s="225"/>
      <c r="D1110" s="225"/>
      <c r="E1110" s="232"/>
      <c r="F1110" s="9"/>
      <c r="G1110" s="9"/>
      <c r="H1110" s="101" t="s">
        <v>2038</v>
      </c>
      <c r="I1110" s="55" t="s">
        <v>349</v>
      </c>
      <c r="J1110" s="8" t="s">
        <v>333</v>
      </c>
      <c r="K1110" s="55" t="s">
        <v>349</v>
      </c>
      <c r="L1110" s="53">
        <v>44397</v>
      </c>
      <c r="M1110" s="55" t="s">
        <v>349</v>
      </c>
      <c r="N1110" s="8" t="s">
        <v>2043</v>
      </c>
      <c r="O1110" s="12" t="s">
        <v>326</v>
      </c>
      <c r="P1110" s="8"/>
      <c r="Q1110" s="8"/>
      <c r="R1110" s="10"/>
      <c r="S1110" s="10"/>
    </row>
    <row r="1111" spans="2:19" ht="14" outlineLevel="1">
      <c r="B1111" s="225"/>
      <c r="C1111" s="225"/>
      <c r="D1111" s="225"/>
      <c r="E1111" s="232"/>
      <c r="F1111" s="9"/>
      <c r="G1111" s="9"/>
      <c r="H1111" s="101" t="s">
        <v>2038</v>
      </c>
      <c r="I1111" s="55" t="s">
        <v>349</v>
      </c>
      <c r="J1111" s="8" t="s">
        <v>333</v>
      </c>
      <c r="K1111" s="55" t="s">
        <v>349</v>
      </c>
      <c r="L1111" s="53">
        <v>45091</v>
      </c>
      <c r="M1111" s="55" t="s">
        <v>3799</v>
      </c>
      <c r="N1111" s="8" t="s">
        <v>3810</v>
      </c>
      <c r="O1111" s="12" t="s">
        <v>326</v>
      </c>
      <c r="P1111" s="8"/>
      <c r="Q1111" s="8"/>
      <c r="R1111" s="10"/>
      <c r="S1111" s="10"/>
    </row>
    <row r="1112" spans="2:19" ht="14" outlineLevel="1">
      <c r="B1112" s="225"/>
      <c r="C1112" s="225"/>
      <c r="D1112" s="225"/>
      <c r="E1112" s="232"/>
      <c r="F1112" s="9"/>
      <c r="G1112" s="9"/>
      <c r="H1112" s="101" t="s">
        <v>2039</v>
      </c>
      <c r="I1112" s="55" t="s">
        <v>349</v>
      </c>
      <c r="J1112" s="8" t="s">
        <v>333</v>
      </c>
      <c r="K1112" s="55" t="s">
        <v>349</v>
      </c>
      <c r="L1112" s="53">
        <v>44397</v>
      </c>
      <c r="M1112" s="55" t="s">
        <v>349</v>
      </c>
      <c r="N1112" s="8" t="s">
        <v>2043</v>
      </c>
      <c r="O1112" s="12" t="s">
        <v>326</v>
      </c>
      <c r="P1112" s="8"/>
      <c r="Q1112" s="8"/>
      <c r="R1112" s="10"/>
      <c r="S1112" s="10"/>
    </row>
    <row r="1113" spans="2:19" ht="14" outlineLevel="1">
      <c r="B1113" s="225"/>
      <c r="C1113" s="225"/>
      <c r="D1113" s="225"/>
      <c r="E1113" s="232"/>
      <c r="F1113" s="9"/>
      <c r="G1113" s="9"/>
      <c r="H1113" s="101" t="s">
        <v>2039</v>
      </c>
      <c r="I1113" s="55" t="s">
        <v>349</v>
      </c>
      <c r="J1113" s="8" t="s">
        <v>333</v>
      </c>
      <c r="K1113" s="55" t="s">
        <v>349</v>
      </c>
      <c r="L1113" s="53">
        <v>45091</v>
      </c>
      <c r="M1113" s="55" t="s">
        <v>3801</v>
      </c>
      <c r="N1113" s="8" t="s">
        <v>3810</v>
      </c>
      <c r="O1113" s="12" t="s">
        <v>326</v>
      </c>
      <c r="P1113" s="8"/>
      <c r="Q1113" s="8"/>
      <c r="R1113" s="10"/>
      <c r="S1113" s="10"/>
    </row>
    <row r="1114" spans="2:19" ht="14" outlineLevel="1">
      <c r="B1114" s="225"/>
      <c r="C1114" s="225"/>
      <c r="D1114" s="225"/>
      <c r="E1114" s="232"/>
      <c r="F1114" s="9"/>
      <c r="G1114" s="9"/>
      <c r="H1114" s="101" t="s">
        <v>2042</v>
      </c>
      <c r="I1114" s="55" t="s">
        <v>349</v>
      </c>
      <c r="J1114" s="8" t="s">
        <v>333</v>
      </c>
      <c r="K1114" s="55" t="s">
        <v>349</v>
      </c>
      <c r="L1114" s="53">
        <v>44397</v>
      </c>
      <c r="M1114" s="55" t="s">
        <v>349</v>
      </c>
      <c r="N1114" s="8" t="s">
        <v>2043</v>
      </c>
      <c r="O1114" s="12" t="s">
        <v>326</v>
      </c>
      <c r="P1114" s="8"/>
      <c r="Q1114" s="8"/>
      <c r="R1114" s="10"/>
      <c r="S1114" s="10"/>
    </row>
    <row r="1115" spans="2:19" ht="14" outlineLevel="1">
      <c r="B1115" s="225"/>
      <c r="C1115" s="225"/>
      <c r="D1115" s="225"/>
      <c r="E1115" s="232"/>
      <c r="F1115" s="9"/>
      <c r="G1115" s="9"/>
      <c r="H1115" s="101" t="s">
        <v>2042</v>
      </c>
      <c r="I1115" s="55" t="s">
        <v>349</v>
      </c>
      <c r="J1115" s="8" t="s">
        <v>333</v>
      </c>
      <c r="K1115" s="55" t="s">
        <v>349</v>
      </c>
      <c r="L1115" s="53">
        <v>45091</v>
      </c>
      <c r="M1115" s="55" t="s">
        <v>3803</v>
      </c>
      <c r="N1115" s="8" t="s">
        <v>3810</v>
      </c>
      <c r="O1115" s="12" t="s">
        <v>326</v>
      </c>
      <c r="P1115" s="8"/>
      <c r="Q1115" s="8"/>
      <c r="R1115" s="10"/>
      <c r="S1115" s="10"/>
    </row>
    <row r="1116" spans="2:19" ht="14" outlineLevel="1">
      <c r="B1116" s="225"/>
      <c r="C1116" s="225"/>
      <c r="D1116" s="225"/>
      <c r="E1116" s="232"/>
      <c r="F1116" s="9"/>
      <c r="G1116" s="9"/>
      <c r="H1116" s="101" t="s">
        <v>2040</v>
      </c>
      <c r="I1116" s="55" t="s">
        <v>349</v>
      </c>
      <c r="J1116" s="8" t="s">
        <v>333</v>
      </c>
      <c r="K1116" s="55" t="s">
        <v>349</v>
      </c>
      <c r="L1116" s="53">
        <v>44397</v>
      </c>
      <c r="M1116" s="55" t="s">
        <v>349</v>
      </c>
      <c r="N1116" s="8" t="s">
        <v>2043</v>
      </c>
      <c r="O1116" s="12" t="s">
        <v>326</v>
      </c>
      <c r="P1116" s="8"/>
      <c r="Q1116" s="8"/>
      <c r="R1116" s="10"/>
      <c r="S1116" s="10"/>
    </row>
    <row r="1117" spans="2:19" ht="14" outlineLevel="1">
      <c r="B1117" s="225"/>
      <c r="C1117" s="225"/>
      <c r="D1117" s="225"/>
      <c r="E1117" s="232"/>
      <c r="F1117" s="9"/>
      <c r="G1117" s="9"/>
      <c r="H1117" s="101" t="s">
        <v>2040</v>
      </c>
      <c r="I1117" s="55" t="s">
        <v>349</v>
      </c>
      <c r="J1117" s="8" t="s">
        <v>333</v>
      </c>
      <c r="K1117" s="55" t="s">
        <v>349</v>
      </c>
      <c r="L1117" s="53">
        <v>45091</v>
      </c>
      <c r="M1117" s="55" t="s">
        <v>3805</v>
      </c>
      <c r="N1117" s="8" t="s">
        <v>3810</v>
      </c>
      <c r="O1117" s="12" t="s">
        <v>326</v>
      </c>
      <c r="P1117" s="8"/>
      <c r="Q1117" s="8"/>
      <c r="R1117" s="10"/>
      <c r="S1117" s="10"/>
    </row>
    <row r="1118" spans="2:19" ht="14" outlineLevel="1">
      <c r="B1118" s="225"/>
      <c r="C1118" s="225"/>
      <c r="D1118" s="225"/>
      <c r="E1118" s="232"/>
      <c r="F1118" s="9"/>
      <c r="G1118" s="9"/>
      <c r="H1118" s="101" t="s">
        <v>2041</v>
      </c>
      <c r="I1118" s="55" t="s">
        <v>349</v>
      </c>
      <c r="J1118" s="8" t="s">
        <v>333</v>
      </c>
      <c r="K1118" s="55" t="s">
        <v>349</v>
      </c>
      <c r="L1118" s="53">
        <v>44397</v>
      </c>
      <c r="M1118" s="55" t="s">
        <v>349</v>
      </c>
      <c r="N1118" s="8" t="s">
        <v>2043</v>
      </c>
      <c r="O1118" s="12" t="s">
        <v>326</v>
      </c>
      <c r="P1118" s="8"/>
      <c r="Q1118" s="8"/>
      <c r="R1118" s="10"/>
      <c r="S1118" s="10"/>
    </row>
    <row r="1119" spans="2:19" ht="14" outlineLevel="1">
      <c r="B1119" s="225"/>
      <c r="C1119" s="225"/>
      <c r="D1119" s="225"/>
      <c r="E1119" s="232"/>
      <c r="F1119" s="9"/>
      <c r="G1119" s="9"/>
      <c r="H1119" s="101" t="s">
        <v>2041</v>
      </c>
      <c r="I1119" s="55" t="s">
        <v>349</v>
      </c>
      <c r="J1119" s="8" t="s">
        <v>333</v>
      </c>
      <c r="K1119" s="55" t="s">
        <v>349</v>
      </c>
      <c r="L1119" s="53">
        <v>45091</v>
      </c>
      <c r="M1119" s="55" t="s">
        <v>3807</v>
      </c>
      <c r="N1119" s="8" t="s">
        <v>3810</v>
      </c>
      <c r="O1119" s="12" t="s">
        <v>326</v>
      </c>
      <c r="P1119" s="8"/>
      <c r="Q1119" s="8"/>
      <c r="R1119" s="10"/>
      <c r="S1119" s="10"/>
    </row>
    <row r="1120" spans="2:19" outlineLevel="1">
      <c r="B1120" s="225"/>
      <c r="C1120" s="225"/>
      <c r="D1120" s="225"/>
      <c r="E1120" s="232"/>
      <c r="F1120" s="9"/>
      <c r="G1120" s="9"/>
      <c r="H1120" s="4"/>
      <c r="I1120" s="32"/>
      <c r="J1120" s="8"/>
      <c r="K1120" s="8"/>
      <c r="L1120" s="8"/>
      <c r="M1120" s="8"/>
      <c r="N1120" s="8"/>
      <c r="O1120" s="8"/>
      <c r="P1120" s="8"/>
      <c r="Q1120" s="8"/>
      <c r="R1120" s="10"/>
      <c r="S1120" s="10"/>
    </row>
    <row r="1121" spans="2:19" ht="14" outlineLevel="1">
      <c r="B1121" s="225"/>
      <c r="C1121" s="225"/>
      <c r="D1121" s="225"/>
      <c r="E1121" s="232"/>
      <c r="F1121" s="148" t="s">
        <v>36</v>
      </c>
      <c r="G1121" s="148"/>
      <c r="H1121" s="154" t="s">
        <v>229</v>
      </c>
      <c r="I1121" s="149"/>
      <c r="J1121" s="150" t="s">
        <v>333</v>
      </c>
      <c r="K1121" s="8"/>
      <c r="L1121" s="8"/>
      <c r="M1121" s="8"/>
      <c r="N1121" s="8"/>
      <c r="O1121" s="8"/>
      <c r="P1121" s="8"/>
      <c r="Q1121" s="8"/>
      <c r="R1121" s="10"/>
      <c r="S1121" s="10" t="s">
        <v>329</v>
      </c>
    </row>
    <row r="1122" spans="2:19" ht="14" outlineLevel="1">
      <c r="B1122" s="225"/>
      <c r="C1122" s="225"/>
      <c r="D1122" s="225"/>
      <c r="E1122" s="232"/>
      <c r="F1122" s="9" t="s">
        <v>38</v>
      </c>
      <c r="G1122" s="9"/>
      <c r="H1122" s="4" t="s">
        <v>222</v>
      </c>
      <c r="I1122" s="32" t="s">
        <v>758</v>
      </c>
      <c r="J1122" s="8" t="s">
        <v>333</v>
      </c>
      <c r="K1122" s="55" t="s">
        <v>349</v>
      </c>
      <c r="L1122" s="53">
        <v>44404</v>
      </c>
      <c r="M1122" s="55" t="s">
        <v>349</v>
      </c>
      <c r="N1122" s="8" t="s">
        <v>2059</v>
      </c>
      <c r="O1122" s="8" t="s">
        <v>326</v>
      </c>
      <c r="P1122" s="8"/>
      <c r="Q1122" s="8"/>
      <c r="R1122" s="10"/>
      <c r="S1122" s="10"/>
    </row>
    <row r="1123" spans="2:19" ht="14" outlineLevel="1">
      <c r="B1123" s="225"/>
      <c r="C1123" s="225"/>
      <c r="D1123" s="225"/>
      <c r="E1123" s="232"/>
      <c r="F1123" s="9" t="s">
        <v>40</v>
      </c>
      <c r="G1123" s="9"/>
      <c r="H1123" s="33" t="s">
        <v>202</v>
      </c>
      <c r="I1123" s="32"/>
      <c r="J1123" s="8" t="s">
        <v>333</v>
      </c>
      <c r="K1123" s="53">
        <v>44204</v>
      </c>
      <c r="L1123" s="8"/>
      <c r="M1123" s="8"/>
      <c r="N1123" s="8"/>
      <c r="O1123" s="8"/>
      <c r="P1123" s="8"/>
      <c r="Q1123" s="8"/>
      <c r="R1123" s="10"/>
      <c r="S1123" s="10"/>
    </row>
    <row r="1124" spans="2:19" ht="14" outlineLevel="1">
      <c r="B1124" s="225"/>
      <c r="C1124" s="225"/>
      <c r="D1124" s="225"/>
      <c r="E1124" s="232"/>
      <c r="F1124" s="9"/>
      <c r="G1124" s="9" t="s">
        <v>177</v>
      </c>
      <c r="H1124" s="109" t="s">
        <v>1815</v>
      </c>
      <c r="I1124" s="32" t="s">
        <v>758</v>
      </c>
      <c r="J1124" s="8" t="s">
        <v>332</v>
      </c>
      <c r="K1124" s="32" t="s">
        <v>349</v>
      </c>
      <c r="L1124" s="53">
        <v>44371</v>
      </c>
      <c r="M1124" s="8" t="s">
        <v>349</v>
      </c>
      <c r="N1124" s="8" t="s">
        <v>1812</v>
      </c>
      <c r="O1124" s="8" t="s">
        <v>326</v>
      </c>
      <c r="P1124" s="8"/>
      <c r="Q1124" s="8"/>
      <c r="R1124" s="10"/>
      <c r="S1124" s="10"/>
    </row>
    <row r="1125" spans="2:19" ht="14" outlineLevel="1">
      <c r="B1125" s="225"/>
      <c r="C1125" s="225"/>
      <c r="D1125" s="225"/>
      <c r="E1125" s="232"/>
      <c r="F1125" s="9"/>
      <c r="G1125" s="9"/>
      <c r="H1125" s="109"/>
      <c r="I1125" s="32" t="s">
        <v>1164</v>
      </c>
      <c r="J1125" s="8" t="s">
        <v>332</v>
      </c>
      <c r="K1125" s="32" t="s">
        <v>349</v>
      </c>
      <c r="L1125" s="53">
        <v>44385</v>
      </c>
      <c r="M1125" s="8" t="s">
        <v>349</v>
      </c>
      <c r="N1125" s="8" t="s">
        <v>1957</v>
      </c>
      <c r="O1125" s="8" t="s">
        <v>326</v>
      </c>
      <c r="P1125" s="8"/>
      <c r="Q1125" s="8"/>
      <c r="R1125" s="10"/>
      <c r="S1125" s="10"/>
    </row>
    <row r="1126" spans="2:19" ht="14" outlineLevel="1">
      <c r="B1126" s="225"/>
      <c r="C1126" s="225"/>
      <c r="D1126" s="225"/>
      <c r="E1126" s="232"/>
      <c r="F1126" s="9"/>
      <c r="G1126" s="9" t="s">
        <v>181</v>
      </c>
      <c r="H1126" s="109" t="s">
        <v>1816</v>
      </c>
      <c r="I1126" s="32" t="s">
        <v>758</v>
      </c>
      <c r="J1126" s="8" t="s">
        <v>332</v>
      </c>
      <c r="K1126" s="32" t="s">
        <v>349</v>
      </c>
      <c r="L1126" s="53">
        <v>44371</v>
      </c>
      <c r="M1126" s="8" t="s">
        <v>349</v>
      </c>
      <c r="N1126" s="8" t="s">
        <v>1812</v>
      </c>
      <c r="O1126" s="8" t="s">
        <v>326</v>
      </c>
      <c r="P1126" s="8"/>
      <c r="Q1126" s="8"/>
      <c r="R1126" s="10"/>
      <c r="S1126" s="10"/>
    </row>
    <row r="1127" spans="2:19" ht="14" outlineLevel="1">
      <c r="B1127" s="225"/>
      <c r="C1127" s="225"/>
      <c r="D1127" s="225"/>
      <c r="E1127" s="232"/>
      <c r="F1127" s="9"/>
      <c r="G1127" s="9"/>
      <c r="H1127" s="109"/>
      <c r="I1127" s="32" t="s">
        <v>1164</v>
      </c>
      <c r="J1127" s="8" t="s">
        <v>332</v>
      </c>
      <c r="K1127" s="32" t="s">
        <v>349</v>
      </c>
      <c r="L1127" s="53">
        <v>44385</v>
      </c>
      <c r="M1127" s="8" t="s">
        <v>349</v>
      </c>
      <c r="N1127" s="8" t="s">
        <v>1957</v>
      </c>
      <c r="O1127" s="8" t="s">
        <v>326</v>
      </c>
      <c r="P1127" s="8"/>
      <c r="Q1127" s="8"/>
      <c r="R1127" s="10"/>
      <c r="S1127" s="10"/>
    </row>
    <row r="1128" spans="2:19" ht="14" outlineLevel="1">
      <c r="B1128" s="225"/>
      <c r="C1128" s="225"/>
      <c r="D1128" s="225"/>
      <c r="E1128" s="232"/>
      <c r="F1128" s="9"/>
      <c r="G1128" s="9" t="s">
        <v>183</v>
      </c>
      <c r="H1128" s="109" t="s">
        <v>1871</v>
      </c>
      <c r="I1128" s="32" t="s">
        <v>758</v>
      </c>
      <c r="J1128" s="8" t="s">
        <v>332</v>
      </c>
      <c r="K1128" s="32" t="s">
        <v>349</v>
      </c>
      <c r="L1128" s="53">
        <v>44375</v>
      </c>
      <c r="M1128" s="8" t="s">
        <v>349</v>
      </c>
      <c r="N1128" s="8" t="s">
        <v>1878</v>
      </c>
      <c r="O1128" s="8" t="s">
        <v>326</v>
      </c>
      <c r="P1128" s="8"/>
      <c r="Q1128" s="8"/>
      <c r="R1128" s="10"/>
      <c r="S1128" s="10"/>
    </row>
    <row r="1129" spans="2:19" ht="14" outlineLevel="1">
      <c r="B1129" s="225"/>
      <c r="C1129" s="225"/>
      <c r="D1129" s="225"/>
      <c r="E1129" s="232"/>
      <c r="F1129" s="9"/>
      <c r="G1129" s="9"/>
      <c r="H1129" s="109"/>
      <c r="I1129" s="32" t="s">
        <v>1164</v>
      </c>
      <c r="J1129" s="8" t="s">
        <v>332</v>
      </c>
      <c r="K1129" s="32" t="s">
        <v>349</v>
      </c>
      <c r="L1129" s="53">
        <v>44390</v>
      </c>
      <c r="M1129" s="8" t="s">
        <v>349</v>
      </c>
      <c r="N1129" s="8" t="s">
        <v>1991</v>
      </c>
      <c r="O1129" s="8" t="s">
        <v>326</v>
      </c>
      <c r="P1129" s="8"/>
      <c r="Q1129" s="8"/>
      <c r="R1129" s="10"/>
      <c r="S1129" s="10"/>
    </row>
    <row r="1130" spans="2:19" ht="14" outlineLevel="1">
      <c r="B1130" s="225"/>
      <c r="C1130" s="225"/>
      <c r="D1130" s="225"/>
      <c r="E1130" s="232"/>
      <c r="F1130" s="9"/>
      <c r="G1130" s="9"/>
      <c r="H1130" s="109"/>
      <c r="I1130" s="32" t="s">
        <v>1706</v>
      </c>
      <c r="J1130" s="8" t="s">
        <v>332</v>
      </c>
      <c r="K1130" s="32" t="s">
        <v>349</v>
      </c>
      <c r="L1130" s="53">
        <v>44393</v>
      </c>
      <c r="M1130" s="8" t="s">
        <v>349</v>
      </c>
      <c r="N1130" s="8" t="s">
        <v>2029</v>
      </c>
      <c r="O1130" s="8" t="s">
        <v>326</v>
      </c>
      <c r="P1130" s="8"/>
      <c r="Q1130" s="8"/>
      <c r="R1130" s="10"/>
      <c r="S1130" s="10"/>
    </row>
    <row r="1131" spans="2:19" ht="14" outlineLevel="1">
      <c r="B1131" s="225"/>
      <c r="C1131" s="225"/>
      <c r="D1131" s="225"/>
      <c r="E1131" s="232"/>
      <c r="F1131" s="9"/>
      <c r="G1131" s="9" t="s">
        <v>184</v>
      </c>
      <c r="H1131" s="109" t="s">
        <v>1872</v>
      </c>
      <c r="I1131" s="32" t="s">
        <v>758</v>
      </c>
      <c r="J1131" s="8" t="s">
        <v>332</v>
      </c>
      <c r="K1131" s="32" t="s">
        <v>349</v>
      </c>
      <c r="L1131" s="53">
        <v>44375</v>
      </c>
      <c r="M1131" s="8" t="s">
        <v>349</v>
      </c>
      <c r="N1131" s="8" t="s">
        <v>1878</v>
      </c>
      <c r="O1131" s="8" t="s">
        <v>326</v>
      </c>
      <c r="P1131" s="8"/>
      <c r="Q1131" s="8"/>
      <c r="R1131" s="10"/>
      <c r="S1131" s="10"/>
    </row>
    <row r="1132" spans="2:19" ht="14" outlineLevel="1">
      <c r="B1132" s="225"/>
      <c r="C1132" s="225"/>
      <c r="D1132" s="225"/>
      <c r="E1132" s="232"/>
      <c r="F1132" s="9"/>
      <c r="G1132" s="9"/>
      <c r="H1132" s="109"/>
      <c r="I1132" s="32" t="s">
        <v>1164</v>
      </c>
      <c r="J1132" s="8" t="s">
        <v>332</v>
      </c>
      <c r="K1132" s="32" t="s">
        <v>349</v>
      </c>
      <c r="L1132" s="53">
        <v>44390</v>
      </c>
      <c r="M1132" s="8" t="s">
        <v>349</v>
      </c>
      <c r="N1132" s="8" t="s">
        <v>1991</v>
      </c>
      <c r="O1132" s="8" t="s">
        <v>326</v>
      </c>
      <c r="P1132" s="8"/>
      <c r="Q1132" s="8"/>
      <c r="R1132" s="10"/>
      <c r="S1132" s="10"/>
    </row>
    <row r="1133" spans="2:19" ht="14" outlineLevel="1">
      <c r="B1133" s="225"/>
      <c r="C1133" s="225"/>
      <c r="D1133" s="225"/>
      <c r="E1133" s="232"/>
      <c r="F1133" s="9"/>
      <c r="G1133" s="9"/>
      <c r="H1133" s="109"/>
      <c r="I1133" s="32" t="s">
        <v>1865</v>
      </c>
      <c r="J1133" s="8" t="s">
        <v>332</v>
      </c>
      <c r="K1133" s="32" t="s">
        <v>349</v>
      </c>
      <c r="L1133" s="53">
        <v>44393</v>
      </c>
      <c r="M1133" s="8" t="s">
        <v>349</v>
      </c>
      <c r="N1133" s="8" t="s">
        <v>2029</v>
      </c>
      <c r="O1133" s="8" t="s">
        <v>326</v>
      </c>
      <c r="P1133" s="8"/>
      <c r="Q1133" s="8"/>
      <c r="R1133" s="10"/>
      <c r="S1133" s="10"/>
    </row>
    <row r="1134" spans="2:19" ht="14" outlineLevel="1">
      <c r="B1134" s="225"/>
      <c r="C1134" s="225"/>
      <c r="D1134" s="225"/>
      <c r="E1134" s="232"/>
      <c r="F1134" s="9"/>
      <c r="G1134" s="9" t="s">
        <v>386</v>
      </c>
      <c r="H1134" s="109" t="s">
        <v>1873</v>
      </c>
      <c r="I1134" s="32" t="s">
        <v>758</v>
      </c>
      <c r="J1134" s="8" t="s">
        <v>332</v>
      </c>
      <c r="K1134" s="32" t="s">
        <v>349</v>
      </c>
      <c r="L1134" s="53">
        <v>44375</v>
      </c>
      <c r="M1134" s="8" t="s">
        <v>349</v>
      </c>
      <c r="N1134" s="8" t="s">
        <v>1878</v>
      </c>
      <c r="O1134" s="8" t="s">
        <v>326</v>
      </c>
      <c r="P1134" s="8"/>
      <c r="Q1134" s="8"/>
      <c r="R1134" s="10"/>
      <c r="S1134" s="10"/>
    </row>
    <row r="1135" spans="2:19" ht="14" outlineLevel="1">
      <c r="B1135" s="225"/>
      <c r="C1135" s="225"/>
      <c r="D1135" s="225"/>
      <c r="E1135" s="232"/>
      <c r="F1135" s="9"/>
      <c r="G1135" s="9"/>
      <c r="H1135" s="109"/>
      <c r="I1135" s="32" t="s">
        <v>1164</v>
      </c>
      <c r="J1135" s="8" t="s">
        <v>332</v>
      </c>
      <c r="K1135" s="32" t="s">
        <v>349</v>
      </c>
      <c r="L1135" s="53">
        <v>44390</v>
      </c>
      <c r="M1135" s="8" t="s">
        <v>349</v>
      </c>
      <c r="N1135" s="8" t="s">
        <v>1991</v>
      </c>
      <c r="O1135" s="8" t="s">
        <v>326</v>
      </c>
      <c r="P1135" s="8"/>
      <c r="Q1135" s="8"/>
      <c r="R1135" s="10"/>
      <c r="S1135" s="10"/>
    </row>
    <row r="1136" spans="2:19" ht="14" outlineLevel="1">
      <c r="B1136" s="225"/>
      <c r="C1136" s="225"/>
      <c r="D1136" s="225"/>
      <c r="E1136" s="232"/>
      <c r="F1136" s="9"/>
      <c r="G1136" s="9"/>
      <c r="H1136" s="109"/>
      <c r="I1136" s="32" t="s">
        <v>1865</v>
      </c>
      <c r="J1136" s="8" t="s">
        <v>332</v>
      </c>
      <c r="K1136" s="32" t="s">
        <v>349</v>
      </c>
      <c r="L1136" s="53">
        <v>44393</v>
      </c>
      <c r="M1136" s="8" t="s">
        <v>349</v>
      </c>
      <c r="N1136" s="8" t="s">
        <v>2029</v>
      </c>
      <c r="O1136" s="8" t="s">
        <v>326</v>
      </c>
      <c r="P1136" s="8"/>
      <c r="Q1136" s="8"/>
      <c r="R1136" s="10"/>
      <c r="S1136" s="10"/>
    </row>
    <row r="1137" spans="2:19" ht="14" outlineLevel="1">
      <c r="B1137" s="225"/>
      <c r="C1137" s="225"/>
      <c r="D1137" s="225"/>
      <c r="E1137" s="232"/>
      <c r="F1137" s="9"/>
      <c r="G1137" s="9" t="s">
        <v>935</v>
      </c>
      <c r="H1137" s="109" t="s">
        <v>1874</v>
      </c>
      <c r="I1137" s="32" t="s">
        <v>758</v>
      </c>
      <c r="J1137" s="8" t="s">
        <v>332</v>
      </c>
      <c r="K1137" s="32" t="s">
        <v>349</v>
      </c>
      <c r="L1137" s="53">
        <v>44375</v>
      </c>
      <c r="M1137" s="8" t="s">
        <v>349</v>
      </c>
      <c r="N1137" s="8" t="s">
        <v>1878</v>
      </c>
      <c r="O1137" s="8" t="s">
        <v>326</v>
      </c>
      <c r="P1137" s="8"/>
      <c r="Q1137" s="8"/>
      <c r="R1137" s="10"/>
      <c r="S1137" s="10"/>
    </row>
    <row r="1138" spans="2:19" ht="14" outlineLevel="1">
      <c r="B1138" s="225"/>
      <c r="C1138" s="225"/>
      <c r="D1138" s="225"/>
      <c r="E1138" s="232"/>
      <c r="F1138" s="9"/>
      <c r="G1138" s="9"/>
      <c r="H1138" s="109"/>
      <c r="I1138" s="32" t="s">
        <v>1164</v>
      </c>
      <c r="J1138" s="8" t="s">
        <v>332</v>
      </c>
      <c r="K1138" s="32" t="s">
        <v>349</v>
      </c>
      <c r="L1138" s="53">
        <v>44390</v>
      </c>
      <c r="M1138" s="8" t="s">
        <v>349</v>
      </c>
      <c r="N1138" s="8" t="s">
        <v>1991</v>
      </c>
      <c r="O1138" s="8" t="s">
        <v>326</v>
      </c>
      <c r="P1138" s="8"/>
      <c r="Q1138" s="8"/>
      <c r="R1138" s="10"/>
      <c r="S1138" s="10"/>
    </row>
    <row r="1139" spans="2:19" ht="14" outlineLevel="1">
      <c r="B1139" s="225"/>
      <c r="C1139" s="225"/>
      <c r="D1139" s="225"/>
      <c r="E1139" s="232"/>
      <c r="F1139" s="9"/>
      <c r="G1139" s="9"/>
      <c r="H1139" s="109"/>
      <c r="I1139" s="32" t="s">
        <v>1865</v>
      </c>
      <c r="J1139" s="8" t="s">
        <v>332</v>
      </c>
      <c r="K1139" s="32" t="s">
        <v>349</v>
      </c>
      <c r="L1139" s="53">
        <v>44393</v>
      </c>
      <c r="M1139" s="8" t="s">
        <v>349</v>
      </c>
      <c r="N1139" s="8" t="s">
        <v>2029</v>
      </c>
      <c r="O1139" s="8" t="s">
        <v>326</v>
      </c>
      <c r="P1139" s="8"/>
      <c r="Q1139" s="8"/>
      <c r="R1139" s="10"/>
      <c r="S1139" s="10"/>
    </row>
    <row r="1140" spans="2:19" ht="14" outlineLevel="1">
      <c r="B1140" s="225"/>
      <c r="C1140" s="225"/>
      <c r="D1140" s="225"/>
      <c r="E1140" s="232"/>
      <c r="F1140" s="9"/>
      <c r="G1140" s="9" t="s">
        <v>1058</v>
      </c>
      <c r="H1140" s="109" t="s">
        <v>1875</v>
      </c>
      <c r="I1140" s="32" t="s">
        <v>758</v>
      </c>
      <c r="J1140" s="8" t="s">
        <v>332</v>
      </c>
      <c r="K1140" s="32" t="s">
        <v>349</v>
      </c>
      <c r="L1140" s="53">
        <v>44375</v>
      </c>
      <c r="M1140" s="8" t="s">
        <v>349</v>
      </c>
      <c r="N1140" s="8" t="s">
        <v>1878</v>
      </c>
      <c r="O1140" s="8" t="s">
        <v>326</v>
      </c>
      <c r="P1140" s="8"/>
      <c r="Q1140" s="8"/>
      <c r="R1140" s="10"/>
      <c r="S1140" s="10"/>
    </row>
    <row r="1141" spans="2:19" ht="14" outlineLevel="1">
      <c r="B1141" s="225"/>
      <c r="C1141" s="225"/>
      <c r="D1141" s="225"/>
      <c r="E1141" s="232"/>
      <c r="F1141" s="9"/>
      <c r="G1141" s="9"/>
      <c r="H1141" s="109"/>
      <c r="I1141" s="32" t="s">
        <v>1164</v>
      </c>
      <c r="J1141" s="8" t="s">
        <v>332</v>
      </c>
      <c r="K1141" s="32" t="s">
        <v>349</v>
      </c>
      <c r="L1141" s="53">
        <v>44390</v>
      </c>
      <c r="M1141" s="8" t="s">
        <v>349</v>
      </c>
      <c r="N1141" s="8" t="s">
        <v>1991</v>
      </c>
      <c r="O1141" s="8" t="s">
        <v>326</v>
      </c>
      <c r="P1141" s="8"/>
      <c r="Q1141" s="8"/>
      <c r="R1141" s="10"/>
      <c r="S1141" s="10"/>
    </row>
    <row r="1142" spans="2:19" ht="14" outlineLevel="1">
      <c r="B1142" s="225"/>
      <c r="C1142" s="225"/>
      <c r="D1142" s="225"/>
      <c r="E1142" s="232"/>
      <c r="F1142" s="9"/>
      <c r="G1142" s="9"/>
      <c r="H1142" s="109"/>
      <c r="I1142" s="32" t="s">
        <v>1706</v>
      </c>
      <c r="J1142" s="8" t="s">
        <v>332</v>
      </c>
      <c r="K1142" s="32" t="s">
        <v>349</v>
      </c>
      <c r="L1142" s="53">
        <v>44393</v>
      </c>
      <c r="M1142" s="8" t="s">
        <v>349</v>
      </c>
      <c r="N1142" s="8" t="s">
        <v>2029</v>
      </c>
      <c r="O1142" s="8" t="s">
        <v>326</v>
      </c>
      <c r="P1142" s="8"/>
      <c r="Q1142" s="8"/>
      <c r="R1142" s="10"/>
      <c r="S1142" s="10"/>
    </row>
    <row r="1143" spans="2:19" ht="14" outlineLevel="1">
      <c r="B1143" s="225"/>
      <c r="C1143" s="225"/>
      <c r="D1143" s="225"/>
      <c r="E1143" s="232"/>
      <c r="F1143" s="9"/>
      <c r="G1143" s="9" t="s">
        <v>1059</v>
      </c>
      <c r="H1143" s="109" t="s">
        <v>1876</v>
      </c>
      <c r="I1143" s="32" t="s">
        <v>758</v>
      </c>
      <c r="J1143" s="8" t="s">
        <v>332</v>
      </c>
      <c r="K1143" s="32" t="s">
        <v>349</v>
      </c>
      <c r="L1143" s="53">
        <v>44375</v>
      </c>
      <c r="M1143" s="8" t="s">
        <v>349</v>
      </c>
      <c r="N1143" s="8" t="s">
        <v>1878</v>
      </c>
      <c r="O1143" s="8" t="s">
        <v>326</v>
      </c>
      <c r="P1143" s="8"/>
      <c r="Q1143" s="8"/>
      <c r="R1143" s="10"/>
      <c r="S1143" s="10"/>
    </row>
    <row r="1144" spans="2:19" ht="14" outlineLevel="1">
      <c r="B1144" s="225"/>
      <c r="C1144" s="225"/>
      <c r="D1144" s="225"/>
      <c r="E1144" s="232"/>
      <c r="F1144" s="9"/>
      <c r="G1144" s="9"/>
      <c r="H1144" s="109"/>
      <c r="I1144" s="32" t="s">
        <v>1164</v>
      </c>
      <c r="J1144" s="8" t="s">
        <v>332</v>
      </c>
      <c r="K1144" s="32" t="s">
        <v>349</v>
      </c>
      <c r="L1144" s="53">
        <v>44390</v>
      </c>
      <c r="M1144" s="8" t="s">
        <v>349</v>
      </c>
      <c r="N1144" s="8" t="s">
        <v>1991</v>
      </c>
      <c r="O1144" s="8" t="s">
        <v>326</v>
      </c>
      <c r="P1144" s="8"/>
      <c r="Q1144" s="8"/>
      <c r="R1144" s="10"/>
      <c r="S1144" s="10"/>
    </row>
    <row r="1145" spans="2:19" ht="14" outlineLevel="1">
      <c r="B1145" s="225"/>
      <c r="C1145" s="225"/>
      <c r="D1145" s="225"/>
      <c r="E1145" s="232"/>
      <c r="F1145" s="9"/>
      <c r="G1145" s="9"/>
      <c r="H1145" s="109"/>
      <c r="I1145" s="32" t="s">
        <v>1865</v>
      </c>
      <c r="J1145" s="8" t="s">
        <v>332</v>
      </c>
      <c r="K1145" s="32" t="s">
        <v>349</v>
      </c>
      <c r="L1145" s="53">
        <v>44393</v>
      </c>
      <c r="M1145" s="8" t="s">
        <v>349</v>
      </c>
      <c r="N1145" s="8" t="s">
        <v>2029</v>
      </c>
      <c r="O1145" s="8" t="s">
        <v>326</v>
      </c>
      <c r="P1145" s="8"/>
      <c r="Q1145" s="8"/>
      <c r="R1145" s="10"/>
      <c r="S1145" s="10"/>
    </row>
    <row r="1146" spans="2:19" ht="14" outlineLevel="1">
      <c r="B1146" s="225"/>
      <c r="C1146" s="225"/>
      <c r="D1146" s="225"/>
      <c r="E1146" s="232"/>
      <c r="F1146" s="9"/>
      <c r="G1146" s="9" t="s">
        <v>1060</v>
      </c>
      <c r="H1146" s="109" t="s">
        <v>1877</v>
      </c>
      <c r="I1146" s="32" t="s">
        <v>758</v>
      </c>
      <c r="J1146" s="8" t="s">
        <v>332</v>
      </c>
      <c r="K1146" s="32" t="s">
        <v>349</v>
      </c>
      <c r="L1146" s="53">
        <v>44375</v>
      </c>
      <c r="M1146" s="8" t="s">
        <v>349</v>
      </c>
      <c r="N1146" s="8" t="s">
        <v>1878</v>
      </c>
      <c r="O1146" s="8" t="s">
        <v>326</v>
      </c>
      <c r="P1146" s="8"/>
      <c r="Q1146" s="8"/>
      <c r="R1146" s="10"/>
      <c r="S1146" s="10"/>
    </row>
    <row r="1147" spans="2:19" ht="14" outlineLevel="1">
      <c r="B1147" s="225"/>
      <c r="C1147" s="225"/>
      <c r="D1147" s="225"/>
      <c r="E1147" s="232"/>
      <c r="F1147" s="9"/>
      <c r="G1147" s="9"/>
      <c r="H1147" s="109"/>
      <c r="I1147" s="32" t="s">
        <v>1164</v>
      </c>
      <c r="J1147" s="8" t="s">
        <v>332</v>
      </c>
      <c r="K1147" s="32" t="s">
        <v>349</v>
      </c>
      <c r="L1147" s="53">
        <v>44390</v>
      </c>
      <c r="M1147" s="8" t="s">
        <v>349</v>
      </c>
      <c r="N1147" s="8" t="s">
        <v>1991</v>
      </c>
      <c r="O1147" s="8" t="s">
        <v>326</v>
      </c>
      <c r="P1147" s="8"/>
      <c r="Q1147" s="8"/>
      <c r="R1147" s="10"/>
      <c r="S1147" s="10"/>
    </row>
    <row r="1148" spans="2:19" ht="14" outlineLevel="1">
      <c r="B1148" s="225"/>
      <c r="C1148" s="225"/>
      <c r="D1148" s="225"/>
      <c r="E1148" s="232"/>
      <c r="F1148" s="9"/>
      <c r="G1148" s="9"/>
      <c r="H1148" s="109"/>
      <c r="I1148" s="32" t="s">
        <v>1865</v>
      </c>
      <c r="J1148" s="8" t="s">
        <v>332</v>
      </c>
      <c r="K1148" s="32" t="s">
        <v>349</v>
      </c>
      <c r="L1148" s="53">
        <v>44393</v>
      </c>
      <c r="M1148" s="8" t="s">
        <v>349</v>
      </c>
      <c r="N1148" s="8" t="s">
        <v>2029</v>
      </c>
      <c r="O1148" s="8" t="s">
        <v>326</v>
      </c>
      <c r="P1148" s="8"/>
      <c r="Q1148" s="8"/>
      <c r="R1148" s="10"/>
      <c r="S1148" s="10"/>
    </row>
    <row r="1149" spans="2:19" ht="14" outlineLevel="1">
      <c r="B1149" s="225"/>
      <c r="C1149" s="225"/>
      <c r="D1149" s="225"/>
      <c r="E1149" s="232"/>
      <c r="F1149" s="9"/>
      <c r="G1149" s="9" t="s">
        <v>1393</v>
      </c>
      <c r="H1149" s="109" t="s">
        <v>1938</v>
      </c>
      <c r="I1149" s="32" t="s">
        <v>349</v>
      </c>
      <c r="J1149" s="8" t="s">
        <v>332</v>
      </c>
      <c r="K1149" s="32" t="s">
        <v>349</v>
      </c>
      <c r="L1149" s="53">
        <v>44379</v>
      </c>
      <c r="M1149" s="8" t="s">
        <v>349</v>
      </c>
      <c r="N1149" s="8" t="s">
        <v>1950</v>
      </c>
      <c r="O1149" s="8" t="s">
        <v>326</v>
      </c>
      <c r="P1149" s="8"/>
      <c r="Q1149" s="8"/>
      <c r="R1149" s="10"/>
      <c r="S1149" s="10"/>
    </row>
    <row r="1150" spans="2:19" ht="14" outlineLevel="1">
      <c r="B1150" s="225"/>
      <c r="C1150" s="225"/>
      <c r="D1150" s="225"/>
      <c r="E1150" s="232"/>
      <c r="F1150" s="9"/>
      <c r="G1150" s="9"/>
      <c r="H1150" s="109"/>
      <c r="I1150" s="32" t="s">
        <v>349</v>
      </c>
      <c r="J1150" s="8" t="s">
        <v>332</v>
      </c>
      <c r="K1150" s="32" t="s">
        <v>349</v>
      </c>
      <c r="L1150" s="53">
        <v>44390</v>
      </c>
      <c r="M1150" s="8" t="s">
        <v>349</v>
      </c>
      <c r="N1150" s="8" t="s">
        <v>1991</v>
      </c>
      <c r="O1150" s="8" t="s">
        <v>326</v>
      </c>
      <c r="P1150" s="8"/>
      <c r="Q1150" s="8"/>
      <c r="R1150" s="10"/>
      <c r="S1150" s="10"/>
    </row>
    <row r="1151" spans="2:19" ht="14" outlineLevel="1">
      <c r="B1151" s="225"/>
      <c r="C1151" s="225"/>
      <c r="D1151" s="225"/>
      <c r="E1151" s="232"/>
      <c r="F1151" s="9"/>
      <c r="G1151" s="9" t="s">
        <v>1934</v>
      </c>
      <c r="H1151" s="109" t="s">
        <v>1939</v>
      </c>
      <c r="I1151" s="32" t="s">
        <v>349</v>
      </c>
      <c r="J1151" s="8" t="s">
        <v>332</v>
      </c>
      <c r="K1151" s="32" t="s">
        <v>349</v>
      </c>
      <c r="L1151" s="53">
        <v>44379</v>
      </c>
      <c r="M1151" s="8" t="s">
        <v>349</v>
      </c>
      <c r="N1151" s="8" t="s">
        <v>1950</v>
      </c>
      <c r="O1151" s="8" t="s">
        <v>326</v>
      </c>
      <c r="P1151" s="8"/>
      <c r="Q1151" s="8"/>
      <c r="R1151" s="10"/>
      <c r="S1151" s="10"/>
    </row>
    <row r="1152" spans="2:19" ht="14" outlineLevel="1">
      <c r="B1152" s="225"/>
      <c r="C1152" s="225"/>
      <c r="D1152" s="225"/>
      <c r="E1152" s="232"/>
      <c r="F1152" s="9"/>
      <c r="G1152" s="9"/>
      <c r="H1152" s="109"/>
      <c r="I1152" s="32" t="s">
        <v>349</v>
      </c>
      <c r="J1152" s="8" t="s">
        <v>332</v>
      </c>
      <c r="K1152" s="32" t="s">
        <v>349</v>
      </c>
      <c r="L1152" s="53">
        <v>44390</v>
      </c>
      <c r="M1152" s="8" t="s">
        <v>349</v>
      </c>
      <c r="N1152" s="8" t="s">
        <v>1991</v>
      </c>
      <c r="O1152" s="8" t="s">
        <v>326</v>
      </c>
      <c r="P1152" s="8"/>
      <c r="Q1152" s="8"/>
      <c r="R1152" s="10"/>
      <c r="S1152" s="10"/>
    </row>
    <row r="1153" spans="2:19" ht="14" outlineLevel="1">
      <c r="B1153" s="225"/>
      <c r="C1153" s="225"/>
      <c r="D1153" s="225"/>
      <c r="E1153" s="232"/>
      <c r="F1153" s="9"/>
      <c r="G1153" s="9" t="s">
        <v>1935</v>
      </c>
      <c r="H1153" s="109" t="s">
        <v>1940</v>
      </c>
      <c r="I1153" s="32" t="s">
        <v>349</v>
      </c>
      <c r="J1153" s="8" t="s">
        <v>332</v>
      </c>
      <c r="K1153" s="32" t="s">
        <v>349</v>
      </c>
      <c r="L1153" s="53">
        <v>44379</v>
      </c>
      <c r="M1153" s="8" t="s">
        <v>349</v>
      </c>
      <c r="N1153" s="8" t="s">
        <v>1950</v>
      </c>
      <c r="O1153" s="8" t="s">
        <v>326</v>
      </c>
      <c r="P1153" s="8"/>
      <c r="Q1153" s="8"/>
      <c r="R1153" s="10"/>
      <c r="S1153" s="10"/>
    </row>
    <row r="1154" spans="2:19" ht="14" outlineLevel="1">
      <c r="B1154" s="225"/>
      <c r="C1154" s="225"/>
      <c r="D1154" s="225"/>
      <c r="E1154" s="232"/>
      <c r="F1154" s="9"/>
      <c r="G1154" s="9"/>
      <c r="H1154" s="109"/>
      <c r="I1154" s="32" t="s">
        <v>349</v>
      </c>
      <c r="J1154" s="8" t="s">
        <v>332</v>
      </c>
      <c r="K1154" s="32" t="s">
        <v>349</v>
      </c>
      <c r="L1154" s="53">
        <v>44390</v>
      </c>
      <c r="M1154" s="8" t="s">
        <v>349</v>
      </c>
      <c r="N1154" s="8" t="s">
        <v>1991</v>
      </c>
      <c r="O1154" s="8" t="s">
        <v>326</v>
      </c>
      <c r="P1154" s="8"/>
      <c r="Q1154" s="8"/>
      <c r="R1154" s="10"/>
      <c r="S1154" s="10"/>
    </row>
    <row r="1155" spans="2:19" ht="14" outlineLevel="1">
      <c r="B1155" s="225"/>
      <c r="C1155" s="225"/>
      <c r="D1155" s="225"/>
      <c r="E1155" s="232"/>
      <c r="F1155" s="9"/>
      <c r="G1155" s="9" t="s">
        <v>1936</v>
      </c>
      <c r="H1155" s="109" t="s">
        <v>1941</v>
      </c>
      <c r="I1155" s="32" t="s">
        <v>349</v>
      </c>
      <c r="J1155" s="8" t="s">
        <v>332</v>
      </c>
      <c r="K1155" s="32" t="s">
        <v>349</v>
      </c>
      <c r="L1155" s="53">
        <v>44379</v>
      </c>
      <c r="M1155" s="8" t="s">
        <v>349</v>
      </c>
      <c r="N1155" s="8" t="s">
        <v>1950</v>
      </c>
      <c r="O1155" s="8" t="s">
        <v>326</v>
      </c>
      <c r="P1155" s="8"/>
      <c r="Q1155" s="8"/>
      <c r="R1155" s="10"/>
      <c r="S1155" s="10"/>
    </row>
    <row r="1156" spans="2:19" ht="14" outlineLevel="1">
      <c r="B1156" s="225"/>
      <c r="C1156" s="225"/>
      <c r="D1156" s="225"/>
      <c r="E1156" s="232"/>
      <c r="F1156" s="9"/>
      <c r="G1156" s="9" t="s">
        <v>1937</v>
      </c>
      <c r="H1156" s="109" t="s">
        <v>1972</v>
      </c>
      <c r="I1156" s="32" t="s">
        <v>349</v>
      </c>
      <c r="J1156" s="8" t="s">
        <v>332</v>
      </c>
      <c r="K1156" s="32" t="s">
        <v>349</v>
      </c>
      <c r="L1156" s="53">
        <v>44390</v>
      </c>
      <c r="M1156" s="8" t="s">
        <v>349</v>
      </c>
      <c r="N1156" s="8" t="s">
        <v>1991</v>
      </c>
      <c r="O1156" s="8" t="s">
        <v>326</v>
      </c>
      <c r="P1156" s="8"/>
      <c r="Q1156" s="8"/>
      <c r="R1156" s="10"/>
      <c r="S1156" s="10"/>
    </row>
    <row r="1157" spans="2:19" ht="14" outlineLevel="1">
      <c r="B1157" s="225"/>
      <c r="C1157" s="225"/>
      <c r="D1157" s="225"/>
      <c r="E1157" s="232"/>
      <c r="F1157" s="9"/>
      <c r="G1157" s="9" t="s">
        <v>1943</v>
      </c>
      <c r="H1157" s="109" t="s">
        <v>1946</v>
      </c>
      <c r="I1157" s="32" t="s">
        <v>349</v>
      </c>
      <c r="J1157" s="8" t="s">
        <v>332</v>
      </c>
      <c r="K1157" s="32" t="s">
        <v>349</v>
      </c>
      <c r="L1157" s="53">
        <v>44390</v>
      </c>
      <c r="M1157" s="8" t="s">
        <v>349</v>
      </c>
      <c r="N1157" s="8" t="s">
        <v>1991</v>
      </c>
      <c r="O1157" s="8" t="s">
        <v>326</v>
      </c>
      <c r="P1157" s="8"/>
      <c r="Q1157" s="8"/>
      <c r="R1157" s="10"/>
      <c r="S1157" s="10"/>
    </row>
    <row r="1158" spans="2:19" ht="14" outlineLevel="1">
      <c r="B1158" s="225"/>
      <c r="C1158" s="225"/>
      <c r="D1158" s="225"/>
      <c r="E1158" s="232"/>
      <c r="F1158" s="9"/>
      <c r="G1158" s="9" t="s">
        <v>1944</v>
      </c>
      <c r="H1158" s="109" t="s">
        <v>1947</v>
      </c>
      <c r="I1158" s="32" t="s">
        <v>349</v>
      </c>
      <c r="J1158" s="8" t="s">
        <v>332</v>
      </c>
      <c r="K1158" s="32" t="s">
        <v>349</v>
      </c>
      <c r="L1158" s="53">
        <v>44390</v>
      </c>
      <c r="M1158" s="8" t="s">
        <v>349</v>
      </c>
      <c r="N1158" s="8" t="s">
        <v>1991</v>
      </c>
      <c r="O1158" s="8" t="s">
        <v>326</v>
      </c>
      <c r="P1158" s="8"/>
      <c r="Q1158" s="8"/>
      <c r="R1158" s="10"/>
      <c r="S1158" s="10"/>
    </row>
    <row r="1159" spans="2:19" ht="14" outlineLevel="1">
      <c r="B1159" s="225"/>
      <c r="C1159" s="225"/>
      <c r="D1159" s="225"/>
      <c r="E1159" s="232"/>
      <c r="F1159" s="9"/>
      <c r="G1159" s="9" t="s">
        <v>1945</v>
      </c>
      <c r="H1159" s="109" t="s">
        <v>1942</v>
      </c>
      <c r="I1159" s="32" t="s">
        <v>349</v>
      </c>
      <c r="J1159" s="8" t="s">
        <v>332</v>
      </c>
      <c r="K1159" s="32" t="s">
        <v>349</v>
      </c>
      <c r="L1159" s="53">
        <v>44379</v>
      </c>
      <c r="M1159" s="8" t="s">
        <v>349</v>
      </c>
      <c r="N1159" s="8" t="s">
        <v>1950</v>
      </c>
      <c r="O1159" s="8" t="s">
        <v>326</v>
      </c>
      <c r="P1159" s="8"/>
      <c r="Q1159" s="8"/>
      <c r="R1159" s="10"/>
      <c r="S1159" s="10"/>
    </row>
    <row r="1160" spans="2:19" ht="14" outlineLevel="1">
      <c r="B1160" s="225"/>
      <c r="C1160" s="225"/>
      <c r="D1160" s="225"/>
      <c r="E1160" s="232"/>
      <c r="F1160" s="9"/>
      <c r="G1160" s="9" t="s">
        <v>1948</v>
      </c>
      <c r="H1160" s="109" t="s">
        <v>2031</v>
      </c>
      <c r="I1160" s="32" t="s">
        <v>349</v>
      </c>
      <c r="J1160" s="8" t="s">
        <v>332</v>
      </c>
      <c r="K1160" s="32" t="s">
        <v>349</v>
      </c>
      <c r="L1160" s="53">
        <v>44390</v>
      </c>
      <c r="M1160" s="8" t="s">
        <v>349</v>
      </c>
      <c r="N1160" s="8" t="s">
        <v>1991</v>
      </c>
      <c r="O1160" s="8" t="s">
        <v>326</v>
      </c>
      <c r="P1160" s="8"/>
      <c r="Q1160" s="8"/>
      <c r="R1160" s="10"/>
      <c r="S1160" s="10"/>
    </row>
    <row r="1161" spans="2:19" ht="14" outlineLevel="1">
      <c r="B1161" s="225"/>
      <c r="C1161" s="225"/>
      <c r="D1161" s="225"/>
      <c r="E1161" s="232"/>
      <c r="F1161" s="9"/>
      <c r="G1161" s="9" t="s">
        <v>1949</v>
      </c>
      <c r="H1161" s="109" t="s">
        <v>1990</v>
      </c>
      <c r="I1161" s="32" t="s">
        <v>349</v>
      </c>
      <c r="J1161" s="8" t="s">
        <v>332</v>
      </c>
      <c r="K1161" s="32" t="s">
        <v>349</v>
      </c>
      <c r="L1161" s="53">
        <v>44390</v>
      </c>
      <c r="M1161" s="8" t="s">
        <v>349</v>
      </c>
      <c r="N1161" s="8" t="s">
        <v>1991</v>
      </c>
      <c r="O1161" s="8" t="s">
        <v>326</v>
      </c>
      <c r="P1161" s="8"/>
      <c r="Q1161" s="8"/>
      <c r="R1161" s="10"/>
      <c r="S1161" s="10"/>
    </row>
    <row r="1162" spans="2:19" ht="14" outlineLevel="1">
      <c r="B1162" s="225"/>
      <c r="C1162" s="225"/>
      <c r="D1162" s="225"/>
      <c r="E1162" s="232"/>
      <c r="F1162" s="9"/>
      <c r="G1162" s="9" t="s">
        <v>2198</v>
      </c>
      <c r="H1162" s="109" t="s">
        <v>2200</v>
      </c>
      <c r="I1162" s="32" t="s">
        <v>349</v>
      </c>
      <c r="J1162" s="8" t="s">
        <v>332</v>
      </c>
      <c r="K1162" s="32" t="s">
        <v>349</v>
      </c>
      <c r="L1162" s="53">
        <v>44431</v>
      </c>
      <c r="M1162" s="8"/>
      <c r="N1162" s="8" t="s">
        <v>2202</v>
      </c>
      <c r="O1162" s="8" t="s">
        <v>326</v>
      </c>
      <c r="P1162" s="8"/>
      <c r="Q1162" s="8"/>
      <c r="R1162" s="10"/>
      <c r="S1162" s="10"/>
    </row>
    <row r="1163" spans="2:19" ht="14" outlineLevel="1">
      <c r="B1163" s="225"/>
      <c r="C1163" s="225"/>
      <c r="D1163" s="225"/>
      <c r="E1163" s="232"/>
      <c r="F1163" s="9"/>
      <c r="G1163" s="9" t="s">
        <v>2199</v>
      </c>
      <c r="H1163" s="109" t="s">
        <v>2201</v>
      </c>
      <c r="I1163" s="32" t="s">
        <v>349</v>
      </c>
      <c r="J1163" s="8" t="s">
        <v>332</v>
      </c>
      <c r="K1163" s="32" t="s">
        <v>349</v>
      </c>
      <c r="L1163" s="53">
        <v>44431</v>
      </c>
      <c r="M1163" s="8"/>
      <c r="N1163" s="8" t="s">
        <v>2202</v>
      </c>
      <c r="O1163" s="8" t="s">
        <v>326</v>
      </c>
      <c r="P1163" s="8"/>
      <c r="Q1163" s="8"/>
      <c r="R1163" s="10"/>
      <c r="S1163" s="10"/>
    </row>
    <row r="1164" spans="2:19" outlineLevel="1">
      <c r="B1164" s="225"/>
      <c r="C1164" s="225"/>
      <c r="D1164" s="225"/>
      <c r="E1164" s="232"/>
      <c r="F1164" s="9"/>
      <c r="G1164" s="9"/>
      <c r="H1164" s="109"/>
      <c r="I1164" s="32"/>
      <c r="J1164" s="8"/>
      <c r="K1164" s="53"/>
      <c r="L1164" s="53"/>
      <c r="M1164" s="8"/>
      <c r="N1164" s="8"/>
      <c r="O1164" s="8"/>
      <c r="P1164" s="8"/>
      <c r="Q1164" s="8"/>
      <c r="R1164" s="10"/>
      <c r="S1164" s="10"/>
    </row>
    <row r="1165" spans="2:19" ht="14" outlineLevel="1">
      <c r="B1165" s="225"/>
      <c r="C1165" s="225"/>
      <c r="D1165" s="225"/>
      <c r="E1165" s="232"/>
      <c r="F1165" s="9" t="s">
        <v>108</v>
      </c>
      <c r="G1165" s="9"/>
      <c r="H1165" s="33" t="s">
        <v>230</v>
      </c>
      <c r="I1165" s="32"/>
      <c r="J1165" s="8"/>
      <c r="K1165" s="8"/>
      <c r="L1165" s="8"/>
      <c r="M1165" s="8"/>
      <c r="N1165" s="8"/>
      <c r="O1165" s="8"/>
      <c r="P1165" s="8"/>
      <c r="Q1165" s="8"/>
      <c r="R1165" s="10"/>
      <c r="S1165" s="10"/>
    </row>
    <row r="1166" spans="2:19" ht="14" outlineLevel="1">
      <c r="B1166" s="225"/>
      <c r="C1166" s="225"/>
      <c r="D1166" s="225"/>
      <c r="E1166" s="232"/>
      <c r="F1166" s="9"/>
      <c r="G1166" s="9" t="s">
        <v>177</v>
      </c>
      <c r="H1166" s="109" t="s">
        <v>2624</v>
      </c>
      <c r="I1166" s="32"/>
      <c r="J1166" s="8"/>
      <c r="K1166" s="8"/>
      <c r="L1166" s="8"/>
      <c r="M1166" s="8"/>
      <c r="N1166" s="8"/>
      <c r="O1166" s="8"/>
      <c r="P1166" s="8"/>
      <c r="Q1166" s="8"/>
      <c r="R1166" s="10"/>
      <c r="S1166" s="10"/>
    </row>
    <row r="1167" spans="2:19" ht="14" outlineLevel="1">
      <c r="B1167" s="225"/>
      <c r="C1167" s="225"/>
      <c r="D1167" s="225"/>
      <c r="E1167" s="232"/>
      <c r="F1167" s="9"/>
      <c r="G1167" s="152" t="s">
        <v>807</v>
      </c>
      <c r="H1167" s="151" t="s">
        <v>1815</v>
      </c>
      <c r="I1167" s="32" t="s">
        <v>349</v>
      </c>
      <c r="J1167" s="8" t="s">
        <v>332</v>
      </c>
      <c r="K1167" s="32" t="s">
        <v>349</v>
      </c>
      <c r="L1167" s="53">
        <v>44393</v>
      </c>
      <c r="M1167" s="8" t="s">
        <v>349</v>
      </c>
      <c r="N1167" s="8" t="s">
        <v>2030</v>
      </c>
      <c r="O1167" s="8" t="s">
        <v>326</v>
      </c>
      <c r="P1167" s="8"/>
      <c r="Q1167" s="8"/>
      <c r="R1167" s="10"/>
      <c r="S1167" s="10"/>
    </row>
    <row r="1168" spans="2:19" ht="14" outlineLevel="1">
      <c r="B1168" s="225"/>
      <c r="C1168" s="225"/>
      <c r="D1168" s="225"/>
      <c r="E1168" s="232"/>
      <c r="F1168" s="9"/>
      <c r="G1168" s="152" t="s">
        <v>808</v>
      </c>
      <c r="H1168" s="151" t="s">
        <v>1816</v>
      </c>
      <c r="I1168" s="32" t="s">
        <v>349</v>
      </c>
      <c r="J1168" s="8" t="s">
        <v>332</v>
      </c>
      <c r="K1168" s="32" t="s">
        <v>349</v>
      </c>
      <c r="L1168" s="53">
        <v>44403</v>
      </c>
      <c r="M1168" s="8" t="s">
        <v>349</v>
      </c>
      <c r="N1168" s="8" t="s">
        <v>2048</v>
      </c>
      <c r="O1168" s="8" t="s">
        <v>326</v>
      </c>
      <c r="P1168" s="8"/>
      <c r="Q1168" s="8"/>
      <c r="R1168" s="10"/>
      <c r="S1168" s="10"/>
    </row>
    <row r="1169" spans="2:19" ht="14" outlineLevel="1">
      <c r="B1169" s="225"/>
      <c r="C1169" s="225"/>
      <c r="D1169" s="225"/>
      <c r="E1169" s="232"/>
      <c r="F1169" s="9"/>
      <c r="G1169" s="152" t="s">
        <v>809</v>
      </c>
      <c r="H1169" s="151" t="s">
        <v>1871</v>
      </c>
      <c r="I1169" s="32" t="s">
        <v>349</v>
      </c>
      <c r="J1169" s="8" t="s">
        <v>332</v>
      </c>
      <c r="K1169" s="32" t="s">
        <v>349</v>
      </c>
      <c r="L1169" s="53">
        <v>44403</v>
      </c>
      <c r="M1169" s="8" t="s">
        <v>349</v>
      </c>
      <c r="N1169" s="8" t="s">
        <v>2048</v>
      </c>
      <c r="O1169" s="8" t="s">
        <v>326</v>
      </c>
      <c r="P1169" s="8"/>
      <c r="Q1169" s="8"/>
      <c r="R1169" s="10"/>
      <c r="S1169" s="10"/>
    </row>
    <row r="1170" spans="2:19" ht="14" outlineLevel="1">
      <c r="B1170" s="225"/>
      <c r="C1170" s="225"/>
      <c r="D1170" s="225"/>
      <c r="E1170" s="232"/>
      <c r="F1170" s="9"/>
      <c r="G1170" s="152" t="s">
        <v>810</v>
      </c>
      <c r="H1170" s="151" t="s">
        <v>1872</v>
      </c>
      <c r="I1170" s="32" t="s">
        <v>349</v>
      </c>
      <c r="J1170" s="8" t="s">
        <v>332</v>
      </c>
      <c r="K1170" s="32" t="s">
        <v>349</v>
      </c>
      <c r="L1170" s="53">
        <v>44403</v>
      </c>
      <c r="M1170" s="8" t="s">
        <v>349</v>
      </c>
      <c r="N1170" s="8" t="s">
        <v>2048</v>
      </c>
      <c r="O1170" s="8" t="s">
        <v>326</v>
      </c>
      <c r="P1170" s="8"/>
      <c r="Q1170" s="8"/>
      <c r="R1170" s="10"/>
      <c r="S1170" s="10"/>
    </row>
    <row r="1171" spans="2:19" ht="14" outlineLevel="1">
      <c r="B1171" s="225"/>
      <c r="C1171" s="225"/>
      <c r="D1171" s="225"/>
      <c r="E1171" s="232"/>
      <c r="F1171" s="9"/>
      <c r="G1171" s="152" t="s">
        <v>811</v>
      </c>
      <c r="H1171" s="151" t="s">
        <v>1873</v>
      </c>
      <c r="I1171" s="32" t="s">
        <v>349</v>
      </c>
      <c r="J1171" s="8" t="s">
        <v>332</v>
      </c>
      <c r="K1171" s="32" t="s">
        <v>349</v>
      </c>
      <c r="L1171" s="53">
        <v>44403</v>
      </c>
      <c r="M1171" s="8" t="s">
        <v>349</v>
      </c>
      <c r="N1171" s="8" t="s">
        <v>2048</v>
      </c>
      <c r="O1171" s="8" t="s">
        <v>326</v>
      </c>
      <c r="P1171" s="8"/>
      <c r="Q1171" s="8"/>
      <c r="R1171" s="10"/>
      <c r="S1171" s="10"/>
    </row>
    <row r="1172" spans="2:19" ht="14" outlineLevel="1">
      <c r="B1172" s="225"/>
      <c r="C1172" s="225"/>
      <c r="D1172" s="225"/>
      <c r="E1172" s="232"/>
      <c r="F1172" s="9"/>
      <c r="G1172" s="152" t="s">
        <v>1101</v>
      </c>
      <c r="H1172" s="151" t="s">
        <v>1874</v>
      </c>
      <c r="I1172" s="32" t="s">
        <v>349</v>
      </c>
      <c r="J1172" s="8" t="s">
        <v>332</v>
      </c>
      <c r="K1172" s="32" t="s">
        <v>349</v>
      </c>
      <c r="L1172" s="53">
        <v>44403</v>
      </c>
      <c r="M1172" s="8" t="s">
        <v>349</v>
      </c>
      <c r="N1172" s="8" t="s">
        <v>2048</v>
      </c>
      <c r="O1172" s="8" t="s">
        <v>326</v>
      </c>
      <c r="P1172" s="8"/>
      <c r="Q1172" s="8"/>
      <c r="R1172" s="10"/>
      <c r="S1172" s="10"/>
    </row>
    <row r="1173" spans="2:19" ht="14" outlineLevel="1">
      <c r="B1173" s="225"/>
      <c r="C1173" s="225"/>
      <c r="D1173" s="225"/>
      <c r="E1173" s="232"/>
      <c r="F1173" s="9"/>
      <c r="G1173" s="152" t="s">
        <v>1102</v>
      </c>
      <c r="H1173" s="151" t="s">
        <v>1875</v>
      </c>
      <c r="I1173" s="32" t="s">
        <v>349</v>
      </c>
      <c r="J1173" s="8" t="s">
        <v>332</v>
      </c>
      <c r="K1173" s="32" t="s">
        <v>349</v>
      </c>
      <c r="L1173" s="53">
        <v>44403</v>
      </c>
      <c r="M1173" s="8" t="s">
        <v>349</v>
      </c>
      <c r="N1173" s="8" t="s">
        <v>2048</v>
      </c>
      <c r="O1173" s="8" t="s">
        <v>326</v>
      </c>
      <c r="P1173" s="8"/>
      <c r="Q1173" s="8"/>
      <c r="R1173" s="10"/>
      <c r="S1173" s="10"/>
    </row>
    <row r="1174" spans="2:19" ht="14" outlineLevel="1">
      <c r="B1174" s="225"/>
      <c r="C1174" s="225"/>
      <c r="D1174" s="225"/>
      <c r="E1174" s="232"/>
      <c r="F1174" s="9"/>
      <c r="G1174" s="152" t="s">
        <v>1103</v>
      </c>
      <c r="H1174" s="151" t="s">
        <v>1876</v>
      </c>
      <c r="I1174" s="32" t="s">
        <v>349</v>
      </c>
      <c r="J1174" s="8" t="s">
        <v>332</v>
      </c>
      <c r="K1174" s="32" t="s">
        <v>349</v>
      </c>
      <c r="L1174" s="53">
        <v>44403</v>
      </c>
      <c r="M1174" s="8" t="s">
        <v>349</v>
      </c>
      <c r="N1174" s="8" t="s">
        <v>2048</v>
      </c>
      <c r="O1174" s="8" t="s">
        <v>326</v>
      </c>
      <c r="P1174" s="8"/>
      <c r="Q1174" s="8"/>
      <c r="R1174" s="10"/>
      <c r="S1174" s="10"/>
    </row>
    <row r="1175" spans="2:19" ht="14" outlineLevel="1">
      <c r="B1175" s="225"/>
      <c r="C1175" s="225"/>
      <c r="D1175" s="225"/>
      <c r="E1175" s="232"/>
      <c r="F1175" s="9"/>
      <c r="G1175" s="152" t="s">
        <v>1104</v>
      </c>
      <c r="H1175" s="151" t="s">
        <v>1877</v>
      </c>
      <c r="I1175" s="32" t="s">
        <v>349</v>
      </c>
      <c r="J1175" s="8" t="s">
        <v>332</v>
      </c>
      <c r="K1175" s="32" t="s">
        <v>349</v>
      </c>
      <c r="L1175" s="53">
        <v>44403</v>
      </c>
      <c r="M1175" s="8" t="s">
        <v>349</v>
      </c>
      <c r="N1175" s="8" t="s">
        <v>2048</v>
      </c>
      <c r="O1175" s="8" t="s">
        <v>326</v>
      </c>
      <c r="P1175" s="8"/>
      <c r="Q1175" s="8"/>
      <c r="R1175" s="10"/>
      <c r="S1175" s="10"/>
    </row>
    <row r="1176" spans="2:19" ht="14" outlineLevel="1">
      <c r="B1176" s="225"/>
      <c r="C1176" s="225"/>
      <c r="D1176" s="225"/>
      <c r="E1176" s="232"/>
      <c r="F1176" s="9"/>
      <c r="G1176" s="152" t="s">
        <v>1105</v>
      </c>
      <c r="H1176" s="151" t="s">
        <v>1938</v>
      </c>
      <c r="I1176" s="32" t="s">
        <v>349</v>
      </c>
      <c r="J1176" s="8" t="s">
        <v>332</v>
      </c>
      <c r="K1176" s="32" t="s">
        <v>349</v>
      </c>
      <c r="L1176" s="53">
        <v>44405</v>
      </c>
      <c r="M1176" s="8" t="s">
        <v>349</v>
      </c>
      <c r="N1176" s="8" t="s">
        <v>2068</v>
      </c>
      <c r="O1176" s="8" t="s">
        <v>326</v>
      </c>
      <c r="P1176" s="8"/>
      <c r="Q1176" s="8"/>
      <c r="R1176" s="10"/>
      <c r="S1176" s="10"/>
    </row>
    <row r="1177" spans="2:19" ht="14" outlineLevel="1">
      <c r="B1177" s="225"/>
      <c r="C1177" s="225"/>
      <c r="D1177" s="225"/>
      <c r="E1177" s="232"/>
      <c r="F1177" s="9"/>
      <c r="G1177" s="152" t="s">
        <v>1106</v>
      </c>
      <c r="H1177" s="151" t="s">
        <v>1939</v>
      </c>
      <c r="I1177" s="32" t="s">
        <v>349</v>
      </c>
      <c r="J1177" s="8" t="s">
        <v>332</v>
      </c>
      <c r="K1177" s="32" t="s">
        <v>349</v>
      </c>
      <c r="L1177" s="53">
        <v>44405</v>
      </c>
      <c r="M1177" s="8" t="s">
        <v>349</v>
      </c>
      <c r="N1177" s="8" t="s">
        <v>2068</v>
      </c>
      <c r="O1177" s="8" t="s">
        <v>326</v>
      </c>
      <c r="P1177" s="8"/>
      <c r="Q1177" s="8"/>
      <c r="R1177" s="10"/>
      <c r="S1177" s="10"/>
    </row>
    <row r="1178" spans="2:19" ht="14" outlineLevel="1">
      <c r="B1178" s="225"/>
      <c r="C1178" s="225"/>
      <c r="D1178" s="225"/>
      <c r="E1178" s="232"/>
      <c r="F1178" s="9"/>
      <c r="G1178" s="152" t="s">
        <v>1107</v>
      </c>
      <c r="H1178" s="151" t="s">
        <v>1940</v>
      </c>
      <c r="I1178" s="32" t="s">
        <v>349</v>
      </c>
      <c r="J1178" s="8" t="s">
        <v>332</v>
      </c>
      <c r="K1178" s="32" t="s">
        <v>349</v>
      </c>
      <c r="L1178" s="53">
        <v>44405</v>
      </c>
      <c r="M1178" s="8" t="s">
        <v>349</v>
      </c>
      <c r="N1178" s="8" t="s">
        <v>2068</v>
      </c>
      <c r="O1178" s="8" t="s">
        <v>326</v>
      </c>
      <c r="P1178" s="8"/>
      <c r="Q1178" s="8"/>
      <c r="R1178" s="10"/>
      <c r="S1178" s="10"/>
    </row>
    <row r="1179" spans="2:19" ht="14" outlineLevel="1">
      <c r="B1179" s="225"/>
      <c r="C1179" s="225"/>
      <c r="D1179" s="225"/>
      <c r="E1179" s="232"/>
      <c r="F1179" s="9"/>
      <c r="G1179" s="152" t="s">
        <v>1965</v>
      </c>
      <c r="H1179" s="151" t="s">
        <v>2147</v>
      </c>
      <c r="I1179" s="32" t="s">
        <v>349</v>
      </c>
      <c r="J1179" s="8" t="s">
        <v>332</v>
      </c>
      <c r="K1179" s="32" t="s">
        <v>349</v>
      </c>
      <c r="L1179" s="53">
        <v>44421</v>
      </c>
      <c r="M1179" s="8" t="s">
        <v>349</v>
      </c>
      <c r="N1179" s="8" t="s">
        <v>2146</v>
      </c>
      <c r="O1179" s="8" t="s">
        <v>326</v>
      </c>
      <c r="P1179" s="8"/>
      <c r="Q1179" s="8"/>
      <c r="R1179" s="10"/>
      <c r="S1179" s="10"/>
    </row>
    <row r="1180" spans="2:19" ht="14" outlineLevel="1">
      <c r="B1180" s="225"/>
      <c r="C1180" s="225"/>
      <c r="D1180" s="225"/>
      <c r="E1180" s="232"/>
      <c r="F1180" s="9"/>
      <c r="G1180" s="152" t="s">
        <v>1966</v>
      </c>
      <c r="H1180" s="151" t="s">
        <v>1972</v>
      </c>
      <c r="I1180" s="32" t="s">
        <v>349</v>
      </c>
      <c r="J1180" s="8" t="s">
        <v>332</v>
      </c>
      <c r="K1180" s="32" t="s">
        <v>349</v>
      </c>
      <c r="L1180" s="53">
        <v>44390</v>
      </c>
      <c r="M1180" s="8" t="s">
        <v>349</v>
      </c>
      <c r="N1180" s="8" t="s">
        <v>1973</v>
      </c>
      <c r="O1180" s="8" t="s">
        <v>326</v>
      </c>
      <c r="P1180" s="8"/>
      <c r="Q1180" s="8"/>
      <c r="R1180" s="10"/>
      <c r="S1180" s="10"/>
    </row>
    <row r="1181" spans="2:19" ht="14" outlineLevel="1">
      <c r="B1181" s="225"/>
      <c r="C1181" s="225"/>
      <c r="D1181" s="225"/>
      <c r="E1181" s="232"/>
      <c r="F1181" s="9"/>
      <c r="G1181" s="152" t="s">
        <v>1967</v>
      </c>
      <c r="H1181" s="151" t="s">
        <v>2050</v>
      </c>
      <c r="I1181" s="32" t="s">
        <v>349</v>
      </c>
      <c r="J1181" s="8" t="s">
        <v>332</v>
      </c>
      <c r="K1181" s="32" t="s">
        <v>349</v>
      </c>
      <c r="L1181" s="53">
        <v>44403</v>
      </c>
      <c r="M1181" s="8" t="s">
        <v>349</v>
      </c>
      <c r="N1181" s="8" t="s">
        <v>2048</v>
      </c>
      <c r="O1181" s="8" t="s">
        <v>326</v>
      </c>
      <c r="P1181" s="8"/>
      <c r="Q1181" s="8"/>
      <c r="R1181" s="10"/>
      <c r="S1181" s="10"/>
    </row>
    <row r="1182" spans="2:19" ht="14" outlineLevel="1">
      <c r="B1182" s="225"/>
      <c r="C1182" s="225"/>
      <c r="D1182" s="225"/>
      <c r="E1182" s="232"/>
      <c r="F1182" s="9"/>
      <c r="G1182" s="152" t="s">
        <v>1968</v>
      </c>
      <c r="H1182" s="151" t="s">
        <v>2067</v>
      </c>
      <c r="I1182" s="32" t="s">
        <v>349</v>
      </c>
      <c r="J1182" s="8" t="s">
        <v>332</v>
      </c>
      <c r="K1182" s="32" t="s">
        <v>349</v>
      </c>
      <c r="L1182" s="53">
        <v>44405</v>
      </c>
      <c r="M1182" s="8" t="s">
        <v>349</v>
      </c>
      <c r="N1182" s="8" t="s">
        <v>2068</v>
      </c>
      <c r="O1182" s="8" t="s">
        <v>326</v>
      </c>
      <c r="P1182" s="8"/>
      <c r="Q1182" s="8"/>
      <c r="R1182" s="10"/>
      <c r="S1182" s="10"/>
    </row>
    <row r="1183" spans="2:19" ht="14" outlineLevel="1">
      <c r="B1183" s="225"/>
      <c r="C1183" s="225"/>
      <c r="D1183" s="225"/>
      <c r="E1183" s="232"/>
      <c r="F1183" s="9"/>
      <c r="G1183" s="152" t="s">
        <v>1969</v>
      </c>
      <c r="H1183" s="151" t="s">
        <v>2148</v>
      </c>
      <c r="I1183" s="32" t="s">
        <v>349</v>
      </c>
      <c r="J1183" s="8" t="s">
        <v>332</v>
      </c>
      <c r="K1183" s="32" t="s">
        <v>349</v>
      </c>
      <c r="L1183" s="53">
        <v>44421</v>
      </c>
      <c r="M1183" s="8" t="s">
        <v>349</v>
      </c>
      <c r="N1183" s="8" t="s">
        <v>2146</v>
      </c>
      <c r="O1183" s="8" t="s">
        <v>326</v>
      </c>
      <c r="P1183" s="8"/>
      <c r="Q1183" s="8"/>
      <c r="R1183" s="10"/>
      <c r="S1183" s="10"/>
    </row>
    <row r="1184" spans="2:19" ht="14" outlineLevel="1">
      <c r="B1184" s="225"/>
      <c r="C1184" s="225"/>
      <c r="D1184" s="225"/>
      <c r="E1184" s="232"/>
      <c r="F1184" s="9"/>
      <c r="G1184" s="152" t="s">
        <v>1970</v>
      </c>
      <c r="H1184" s="151" t="s">
        <v>2031</v>
      </c>
      <c r="I1184" s="32" t="s">
        <v>349</v>
      </c>
      <c r="J1184" s="8" t="s">
        <v>332</v>
      </c>
      <c r="K1184" s="32" t="s">
        <v>349</v>
      </c>
      <c r="L1184" s="53">
        <v>44393</v>
      </c>
      <c r="M1184" s="8" t="s">
        <v>349</v>
      </c>
      <c r="N1184" s="8" t="s">
        <v>2030</v>
      </c>
      <c r="O1184" s="8" t="s">
        <v>326</v>
      </c>
      <c r="P1184" s="8"/>
      <c r="Q1184" s="8"/>
      <c r="R1184" s="10"/>
      <c r="S1184" s="10"/>
    </row>
    <row r="1185" spans="2:19" ht="14" outlineLevel="1">
      <c r="B1185" s="225"/>
      <c r="C1185" s="225"/>
      <c r="D1185" s="225"/>
      <c r="E1185" s="232"/>
      <c r="F1185" s="9"/>
      <c r="G1185" s="152" t="s">
        <v>1971</v>
      </c>
      <c r="H1185" s="151" t="s">
        <v>2049</v>
      </c>
      <c r="I1185" s="32" t="s">
        <v>349</v>
      </c>
      <c r="J1185" s="8" t="s">
        <v>332</v>
      </c>
      <c r="K1185" s="32" t="s">
        <v>349</v>
      </c>
      <c r="L1185" s="53">
        <v>44403</v>
      </c>
      <c r="M1185" s="8" t="s">
        <v>349</v>
      </c>
      <c r="N1185" s="8" t="s">
        <v>2048</v>
      </c>
      <c r="O1185" s="8" t="s">
        <v>326</v>
      </c>
      <c r="P1185" s="8"/>
      <c r="Q1185" s="8"/>
      <c r="R1185" s="10"/>
      <c r="S1185" s="10"/>
    </row>
    <row r="1186" spans="2:19" ht="14" outlineLevel="1">
      <c r="B1186" s="225"/>
      <c r="C1186" s="225"/>
      <c r="D1186" s="225"/>
      <c r="E1186" s="232"/>
      <c r="F1186" s="9"/>
      <c r="G1186" s="152" t="s">
        <v>3526</v>
      </c>
      <c r="H1186" s="151" t="s">
        <v>3527</v>
      </c>
      <c r="I1186" s="32" t="s">
        <v>349</v>
      </c>
      <c r="J1186" s="8" t="s">
        <v>332</v>
      </c>
      <c r="K1186" s="32" t="s">
        <v>349</v>
      </c>
      <c r="L1186" s="53">
        <v>44972</v>
      </c>
      <c r="M1186" s="8" t="s">
        <v>349</v>
      </c>
      <c r="N1186" s="8" t="s">
        <v>3528</v>
      </c>
      <c r="O1186" s="8" t="s">
        <v>326</v>
      </c>
      <c r="P1186" s="8"/>
      <c r="Q1186" s="8"/>
      <c r="R1186" s="10"/>
      <c r="S1186" s="10"/>
    </row>
    <row r="1187" spans="2:19" outlineLevel="1">
      <c r="B1187" s="225"/>
      <c r="C1187" s="225"/>
      <c r="D1187" s="225"/>
      <c r="E1187" s="232"/>
      <c r="F1187" s="9"/>
      <c r="G1187" s="9"/>
      <c r="H1187" s="33"/>
      <c r="I1187" s="32"/>
      <c r="J1187" s="8"/>
      <c r="K1187" s="8"/>
      <c r="L1187" s="8"/>
      <c r="M1187" s="8"/>
      <c r="N1187" s="8"/>
      <c r="O1187" s="8"/>
      <c r="P1187" s="8"/>
      <c r="Q1187" s="8"/>
      <c r="R1187" s="10"/>
      <c r="S1187" s="10"/>
    </row>
    <row r="1188" spans="2:19" ht="14" outlineLevel="1">
      <c r="B1188" s="225"/>
      <c r="C1188" s="225"/>
      <c r="D1188" s="225"/>
      <c r="E1188" s="232"/>
      <c r="F1188" s="9"/>
      <c r="G1188" s="9" t="s">
        <v>181</v>
      </c>
      <c r="H1188" s="109" t="s">
        <v>2625</v>
      </c>
      <c r="I1188" s="32"/>
      <c r="J1188" s="8"/>
      <c r="K1188" s="8"/>
      <c r="L1188" s="8"/>
      <c r="M1188" s="8"/>
      <c r="N1188" s="8"/>
      <c r="O1188" s="8"/>
      <c r="P1188" s="8"/>
      <c r="Q1188" s="8"/>
      <c r="R1188" s="10"/>
      <c r="S1188" s="10"/>
    </row>
    <row r="1189" spans="2:19" ht="14" outlineLevel="1">
      <c r="B1189" s="225"/>
      <c r="C1189" s="225"/>
      <c r="D1189" s="225"/>
      <c r="E1189" s="232"/>
      <c r="F1189" s="9"/>
      <c r="G1189" s="152" t="s">
        <v>807</v>
      </c>
      <c r="H1189" s="151" t="s">
        <v>1815</v>
      </c>
      <c r="I1189" s="32" t="s">
        <v>349</v>
      </c>
      <c r="J1189" s="8" t="s">
        <v>332</v>
      </c>
      <c r="K1189" s="32" t="s">
        <v>349</v>
      </c>
      <c r="L1189" s="53">
        <v>44568</v>
      </c>
      <c r="M1189" s="8" t="s">
        <v>349</v>
      </c>
      <c r="N1189" s="8" t="s">
        <v>2610</v>
      </c>
      <c r="O1189" s="8" t="s">
        <v>326</v>
      </c>
      <c r="P1189" s="8"/>
      <c r="Q1189" s="8"/>
      <c r="R1189" s="10"/>
      <c r="S1189" s="10"/>
    </row>
    <row r="1190" spans="2:19" ht="14" outlineLevel="1">
      <c r="B1190" s="225"/>
      <c r="C1190" s="225"/>
      <c r="D1190" s="225"/>
      <c r="E1190" s="232"/>
      <c r="F1190" s="9"/>
      <c r="G1190" s="152" t="s">
        <v>808</v>
      </c>
      <c r="H1190" s="151" t="s">
        <v>1816</v>
      </c>
      <c r="I1190" s="32" t="s">
        <v>349</v>
      </c>
      <c r="J1190" s="8" t="s">
        <v>332</v>
      </c>
      <c r="K1190" s="32" t="s">
        <v>349</v>
      </c>
      <c r="L1190" s="53">
        <v>44568</v>
      </c>
      <c r="M1190" s="8" t="s">
        <v>349</v>
      </c>
      <c r="N1190" s="8" t="s">
        <v>2610</v>
      </c>
      <c r="O1190" s="8" t="s">
        <v>326</v>
      </c>
      <c r="P1190" s="8"/>
      <c r="Q1190" s="8"/>
      <c r="R1190" s="10"/>
      <c r="S1190" s="10"/>
    </row>
    <row r="1191" spans="2:19" ht="14" outlineLevel="1">
      <c r="B1191" s="225"/>
      <c r="C1191" s="225"/>
      <c r="D1191" s="225"/>
      <c r="E1191" s="232"/>
      <c r="F1191" s="9"/>
      <c r="G1191" s="152" t="s">
        <v>809</v>
      </c>
      <c r="H1191" s="151" t="s">
        <v>1871</v>
      </c>
      <c r="I1191" s="32" t="s">
        <v>349</v>
      </c>
      <c r="J1191" s="8" t="s">
        <v>332</v>
      </c>
      <c r="K1191" s="32" t="s">
        <v>349</v>
      </c>
      <c r="L1191" s="53">
        <v>44550</v>
      </c>
      <c r="M1191" s="8" t="s">
        <v>349</v>
      </c>
      <c r="N1191" s="8" t="s">
        <v>2594</v>
      </c>
      <c r="O1191" s="8" t="s">
        <v>326</v>
      </c>
      <c r="P1191" s="8"/>
      <c r="Q1191" s="8"/>
      <c r="R1191" s="10"/>
      <c r="S1191" s="10"/>
    </row>
    <row r="1192" spans="2:19" ht="14" outlineLevel="1">
      <c r="B1192" s="225"/>
      <c r="C1192" s="225"/>
      <c r="D1192" s="225"/>
      <c r="E1192" s="232"/>
      <c r="F1192" s="9"/>
      <c r="G1192" s="152" t="s">
        <v>810</v>
      </c>
      <c r="H1192" s="151" t="s">
        <v>1872</v>
      </c>
      <c r="I1192" s="32" t="s">
        <v>349</v>
      </c>
      <c r="J1192" s="8" t="s">
        <v>332</v>
      </c>
      <c r="K1192" s="32" t="s">
        <v>349</v>
      </c>
      <c r="L1192" s="53">
        <v>44550</v>
      </c>
      <c r="M1192" s="8" t="s">
        <v>349</v>
      </c>
      <c r="N1192" s="8" t="s">
        <v>2594</v>
      </c>
      <c r="O1192" s="8" t="s">
        <v>326</v>
      </c>
      <c r="P1192" s="8"/>
      <c r="Q1192" s="8"/>
      <c r="R1192" s="10"/>
      <c r="S1192" s="10"/>
    </row>
    <row r="1193" spans="2:19" ht="14" outlineLevel="1">
      <c r="B1193" s="225"/>
      <c r="C1193" s="225"/>
      <c r="D1193" s="225"/>
      <c r="E1193" s="232"/>
      <c r="F1193" s="9"/>
      <c r="G1193" s="152" t="s">
        <v>811</v>
      </c>
      <c r="H1193" s="151" t="s">
        <v>1873</v>
      </c>
      <c r="I1193" s="32" t="s">
        <v>349</v>
      </c>
      <c r="J1193" s="8" t="s">
        <v>332</v>
      </c>
      <c r="K1193" s="32" t="s">
        <v>349</v>
      </c>
      <c r="L1193" s="53">
        <v>44550</v>
      </c>
      <c r="M1193" s="8" t="s">
        <v>349</v>
      </c>
      <c r="N1193" s="8" t="s">
        <v>2594</v>
      </c>
      <c r="O1193" s="8" t="s">
        <v>326</v>
      </c>
      <c r="P1193" s="8"/>
      <c r="Q1193" s="8"/>
      <c r="R1193" s="10"/>
      <c r="S1193" s="10"/>
    </row>
    <row r="1194" spans="2:19" ht="14" outlineLevel="1">
      <c r="B1194" s="225"/>
      <c r="C1194" s="225"/>
      <c r="D1194" s="225"/>
      <c r="E1194" s="232"/>
      <c r="F1194" s="9"/>
      <c r="G1194" s="152" t="s">
        <v>1101</v>
      </c>
      <c r="H1194" s="151" t="s">
        <v>1874</v>
      </c>
      <c r="I1194" s="32" t="s">
        <v>349</v>
      </c>
      <c r="J1194" s="8" t="s">
        <v>332</v>
      </c>
      <c r="K1194" s="32" t="s">
        <v>349</v>
      </c>
      <c r="L1194" s="53">
        <v>44550</v>
      </c>
      <c r="M1194" s="8" t="s">
        <v>349</v>
      </c>
      <c r="N1194" s="8" t="s">
        <v>2594</v>
      </c>
      <c r="O1194" s="8" t="s">
        <v>326</v>
      </c>
      <c r="P1194" s="8"/>
      <c r="Q1194" s="8"/>
      <c r="R1194" s="10"/>
      <c r="S1194" s="10"/>
    </row>
    <row r="1195" spans="2:19" ht="14" outlineLevel="1">
      <c r="B1195" s="225"/>
      <c r="C1195" s="225"/>
      <c r="D1195" s="225"/>
      <c r="E1195" s="232"/>
      <c r="F1195" s="9"/>
      <c r="G1195" s="152" t="s">
        <v>1102</v>
      </c>
      <c r="H1195" s="151" t="s">
        <v>1875</v>
      </c>
      <c r="I1195" s="32" t="s">
        <v>349</v>
      </c>
      <c r="J1195" s="8" t="s">
        <v>332</v>
      </c>
      <c r="K1195" s="32" t="s">
        <v>349</v>
      </c>
      <c r="L1195" s="53">
        <v>44550</v>
      </c>
      <c r="M1195" s="8" t="s">
        <v>349</v>
      </c>
      <c r="N1195" s="8" t="s">
        <v>2594</v>
      </c>
      <c r="O1195" s="8" t="s">
        <v>326</v>
      </c>
      <c r="P1195" s="8"/>
      <c r="Q1195" s="8"/>
      <c r="R1195" s="10"/>
      <c r="S1195" s="10"/>
    </row>
    <row r="1196" spans="2:19" ht="14" outlineLevel="1">
      <c r="B1196" s="225"/>
      <c r="C1196" s="225"/>
      <c r="D1196" s="225"/>
      <c r="E1196" s="232"/>
      <c r="F1196" s="9"/>
      <c r="G1196" s="152" t="s">
        <v>1103</v>
      </c>
      <c r="H1196" s="151" t="s">
        <v>1876</v>
      </c>
      <c r="I1196" s="32" t="s">
        <v>349</v>
      </c>
      <c r="J1196" s="8" t="s">
        <v>332</v>
      </c>
      <c r="K1196" s="32" t="s">
        <v>349</v>
      </c>
      <c r="L1196" s="53">
        <v>44550</v>
      </c>
      <c r="M1196" s="8" t="s">
        <v>349</v>
      </c>
      <c r="N1196" s="8" t="s">
        <v>2594</v>
      </c>
      <c r="O1196" s="8" t="s">
        <v>326</v>
      </c>
      <c r="P1196" s="8"/>
      <c r="Q1196" s="8"/>
      <c r="R1196" s="10"/>
      <c r="S1196" s="10"/>
    </row>
    <row r="1197" spans="2:19" ht="14" outlineLevel="1">
      <c r="B1197" s="225"/>
      <c r="C1197" s="225"/>
      <c r="D1197" s="225"/>
      <c r="E1197" s="232"/>
      <c r="F1197" s="9"/>
      <c r="G1197" s="152" t="s">
        <v>1104</v>
      </c>
      <c r="H1197" s="151" t="s">
        <v>1877</v>
      </c>
      <c r="I1197" s="32" t="s">
        <v>349</v>
      </c>
      <c r="J1197" s="8" t="s">
        <v>332</v>
      </c>
      <c r="K1197" s="32" t="s">
        <v>349</v>
      </c>
      <c r="L1197" s="53">
        <v>44550</v>
      </c>
      <c r="M1197" s="8" t="s">
        <v>349</v>
      </c>
      <c r="N1197" s="8" t="s">
        <v>2594</v>
      </c>
      <c r="O1197" s="8" t="s">
        <v>326</v>
      </c>
      <c r="P1197" s="8"/>
      <c r="Q1197" s="8"/>
      <c r="R1197" s="10"/>
      <c r="S1197" s="10"/>
    </row>
    <row r="1198" spans="2:19" ht="14" outlineLevel="1">
      <c r="B1198" s="225"/>
      <c r="C1198" s="225"/>
      <c r="D1198" s="225"/>
      <c r="E1198" s="232"/>
      <c r="F1198" s="9"/>
      <c r="G1198" s="152" t="s">
        <v>1105</v>
      </c>
      <c r="H1198" s="151" t="s">
        <v>1938</v>
      </c>
      <c r="I1198" s="32" t="s">
        <v>349</v>
      </c>
      <c r="J1198" s="8" t="s">
        <v>332</v>
      </c>
      <c r="K1198" s="32" t="s">
        <v>349</v>
      </c>
      <c r="L1198" s="53">
        <v>44644</v>
      </c>
      <c r="M1198" s="8" t="s">
        <v>349</v>
      </c>
      <c r="N1198" s="8" t="s">
        <v>2786</v>
      </c>
      <c r="O1198" s="8" t="s">
        <v>326</v>
      </c>
      <c r="P1198" s="8"/>
      <c r="Q1198" s="8"/>
      <c r="R1198" s="10"/>
      <c r="S1198" s="10"/>
    </row>
    <row r="1199" spans="2:19" ht="14" outlineLevel="1">
      <c r="B1199" s="225"/>
      <c r="C1199" s="225"/>
      <c r="D1199" s="225"/>
      <c r="E1199" s="232"/>
      <c r="F1199" s="9"/>
      <c r="G1199" s="152" t="s">
        <v>1106</v>
      </c>
      <c r="H1199" s="151" t="s">
        <v>1939</v>
      </c>
      <c r="I1199" s="32" t="s">
        <v>349</v>
      </c>
      <c r="J1199" s="8" t="s">
        <v>332</v>
      </c>
      <c r="K1199" s="32" t="s">
        <v>349</v>
      </c>
      <c r="L1199" s="53">
        <v>44677</v>
      </c>
      <c r="M1199" s="8" t="s">
        <v>349</v>
      </c>
      <c r="N1199" s="8" t="s">
        <v>2892</v>
      </c>
      <c r="O1199" s="8" t="s">
        <v>326</v>
      </c>
      <c r="P1199" s="8"/>
      <c r="Q1199" s="8"/>
      <c r="R1199" s="10"/>
      <c r="S1199" s="10"/>
    </row>
    <row r="1200" spans="2:19" ht="14" outlineLevel="1">
      <c r="B1200" s="225"/>
      <c r="C1200" s="225"/>
      <c r="D1200" s="225"/>
      <c r="E1200" s="232"/>
      <c r="F1200" s="9"/>
      <c r="G1200" s="152" t="s">
        <v>1107</v>
      </c>
      <c r="H1200" s="151" t="s">
        <v>1940</v>
      </c>
      <c r="I1200" s="32" t="s">
        <v>349</v>
      </c>
      <c r="J1200" s="8" t="s">
        <v>332</v>
      </c>
      <c r="K1200" s="32" t="s">
        <v>349</v>
      </c>
      <c r="L1200" s="53">
        <v>44644</v>
      </c>
      <c r="M1200" s="8" t="s">
        <v>349</v>
      </c>
      <c r="N1200" s="8" t="s">
        <v>2786</v>
      </c>
      <c r="O1200" s="8" t="s">
        <v>326</v>
      </c>
      <c r="P1200" s="8"/>
      <c r="Q1200" s="8"/>
      <c r="R1200" s="10"/>
      <c r="S1200" s="10"/>
    </row>
    <row r="1201" spans="2:19" ht="14" outlineLevel="1">
      <c r="B1201" s="225"/>
      <c r="C1201" s="225"/>
      <c r="D1201" s="225"/>
      <c r="E1201" s="232"/>
      <c r="F1201" s="9"/>
      <c r="G1201" s="152" t="s">
        <v>1965</v>
      </c>
      <c r="H1201" s="151" t="s">
        <v>2147</v>
      </c>
      <c r="I1201" s="32" t="s">
        <v>349</v>
      </c>
      <c r="J1201" s="8" t="s">
        <v>332</v>
      </c>
      <c r="K1201" s="32" t="s">
        <v>349</v>
      </c>
      <c r="L1201" s="53">
        <v>44568</v>
      </c>
      <c r="M1201" s="8" t="s">
        <v>349</v>
      </c>
      <c r="N1201" s="8" t="s">
        <v>2610</v>
      </c>
      <c r="O1201" s="8" t="s">
        <v>326</v>
      </c>
      <c r="P1201" s="8"/>
      <c r="Q1201" s="8"/>
      <c r="R1201" s="10"/>
      <c r="S1201" s="10"/>
    </row>
    <row r="1202" spans="2:19" ht="14" outlineLevel="1">
      <c r="B1202" s="225"/>
      <c r="C1202" s="225"/>
      <c r="D1202" s="225"/>
      <c r="E1202" s="232"/>
      <c r="F1202" s="9"/>
      <c r="G1202" s="152" t="s">
        <v>1966</v>
      </c>
      <c r="H1202" s="151" t="s">
        <v>1972</v>
      </c>
      <c r="I1202" s="32" t="s">
        <v>349</v>
      </c>
      <c r="J1202" s="8" t="s">
        <v>332</v>
      </c>
      <c r="K1202" s="32" t="s">
        <v>349</v>
      </c>
      <c r="L1202" s="53">
        <v>44631</v>
      </c>
      <c r="M1202" s="8" t="s">
        <v>349</v>
      </c>
      <c r="N1202" s="8" t="s">
        <v>2761</v>
      </c>
      <c r="O1202" s="8" t="s">
        <v>326</v>
      </c>
      <c r="P1202" s="8"/>
      <c r="Q1202" s="8"/>
      <c r="R1202" s="10"/>
      <c r="S1202" s="10"/>
    </row>
    <row r="1203" spans="2:19" ht="14" outlineLevel="1">
      <c r="B1203" s="225"/>
      <c r="C1203" s="225"/>
      <c r="D1203" s="225"/>
      <c r="E1203" s="232"/>
      <c r="F1203" s="9"/>
      <c r="G1203" s="152" t="s">
        <v>1967</v>
      </c>
      <c r="H1203" s="151" t="s">
        <v>2050</v>
      </c>
      <c r="I1203" s="32" t="s">
        <v>349</v>
      </c>
      <c r="J1203" s="8" t="s">
        <v>332</v>
      </c>
      <c r="K1203" s="32" t="s">
        <v>349</v>
      </c>
      <c r="L1203" s="53">
        <v>44568</v>
      </c>
      <c r="M1203" s="8" t="s">
        <v>349</v>
      </c>
      <c r="N1203" s="8" t="s">
        <v>2610</v>
      </c>
      <c r="O1203" s="8" t="s">
        <v>326</v>
      </c>
      <c r="P1203" s="8"/>
      <c r="Q1203" s="8"/>
      <c r="R1203" s="10"/>
      <c r="S1203" s="10"/>
    </row>
    <row r="1204" spans="2:19" ht="14" outlineLevel="1">
      <c r="B1204" s="225"/>
      <c r="C1204" s="225"/>
      <c r="D1204" s="225"/>
      <c r="E1204" s="232"/>
      <c r="F1204" s="9"/>
      <c r="G1204" s="152" t="s">
        <v>1968</v>
      </c>
      <c r="H1204" s="151" t="s">
        <v>2067</v>
      </c>
      <c r="I1204" s="32" t="s">
        <v>349</v>
      </c>
      <c r="J1204" s="8" t="s">
        <v>332</v>
      </c>
      <c r="K1204" s="32" t="s">
        <v>349</v>
      </c>
      <c r="L1204" s="53">
        <v>44497</v>
      </c>
      <c r="M1204" s="8" t="s">
        <v>349</v>
      </c>
      <c r="N1204" s="8" t="s">
        <v>2375</v>
      </c>
      <c r="O1204" s="8" t="s">
        <v>326</v>
      </c>
      <c r="P1204" s="8"/>
      <c r="Q1204" s="8"/>
      <c r="R1204" s="10"/>
      <c r="S1204" s="10"/>
    </row>
    <row r="1205" spans="2:19" ht="14" outlineLevel="1">
      <c r="B1205" s="225"/>
      <c r="C1205" s="225"/>
      <c r="D1205" s="225"/>
      <c r="E1205" s="232"/>
      <c r="F1205" s="9"/>
      <c r="G1205" s="152" t="s">
        <v>1969</v>
      </c>
      <c r="H1205" s="151" t="s">
        <v>2148</v>
      </c>
      <c r="I1205" s="32" t="s">
        <v>349</v>
      </c>
      <c r="J1205" s="8" t="s">
        <v>332</v>
      </c>
      <c r="K1205" s="32" t="s">
        <v>349</v>
      </c>
      <c r="L1205" s="53">
        <v>44631</v>
      </c>
      <c r="M1205" s="8" t="s">
        <v>349</v>
      </c>
      <c r="N1205" s="8" t="s">
        <v>2761</v>
      </c>
      <c r="O1205" s="8" t="s">
        <v>326</v>
      </c>
      <c r="P1205" s="8"/>
      <c r="Q1205" s="8"/>
      <c r="R1205" s="10"/>
      <c r="S1205" s="10"/>
    </row>
    <row r="1206" spans="2:19" ht="14" outlineLevel="1">
      <c r="B1206" s="225"/>
      <c r="C1206" s="225"/>
      <c r="D1206" s="225"/>
      <c r="E1206" s="232"/>
      <c r="F1206" s="9"/>
      <c r="G1206" s="152" t="s">
        <v>1970</v>
      </c>
      <c r="H1206" s="151" t="s">
        <v>2031</v>
      </c>
      <c r="I1206" s="32" t="s">
        <v>349</v>
      </c>
      <c r="J1206" s="8" t="s">
        <v>332</v>
      </c>
      <c r="K1206" s="32" t="s">
        <v>349</v>
      </c>
      <c r="L1206" s="53">
        <v>44644</v>
      </c>
      <c r="M1206" s="8" t="s">
        <v>349</v>
      </c>
      <c r="N1206" s="8" t="s">
        <v>2786</v>
      </c>
      <c r="O1206" s="8" t="s">
        <v>326</v>
      </c>
      <c r="P1206" s="8"/>
      <c r="Q1206" s="8"/>
      <c r="R1206" s="10"/>
      <c r="S1206" s="10"/>
    </row>
    <row r="1207" spans="2:19" ht="14" outlineLevel="1">
      <c r="B1207" s="225"/>
      <c r="C1207" s="225"/>
      <c r="D1207" s="225"/>
      <c r="E1207" s="232"/>
      <c r="F1207" s="9"/>
      <c r="G1207" s="152" t="s">
        <v>1971</v>
      </c>
      <c r="H1207" s="151" t="s">
        <v>2049</v>
      </c>
      <c r="I1207" s="32" t="s">
        <v>349</v>
      </c>
      <c r="J1207" s="8" t="s">
        <v>332</v>
      </c>
      <c r="K1207" s="32" t="s">
        <v>349</v>
      </c>
      <c r="L1207" s="53">
        <v>44644</v>
      </c>
      <c r="M1207" s="8" t="s">
        <v>349</v>
      </c>
      <c r="N1207" s="8" t="s">
        <v>2786</v>
      </c>
      <c r="O1207" s="8" t="s">
        <v>326</v>
      </c>
      <c r="P1207" s="8"/>
      <c r="Q1207" s="8"/>
      <c r="R1207" s="10"/>
      <c r="S1207" s="10"/>
    </row>
    <row r="1208" spans="2:19" ht="14" outlineLevel="1">
      <c r="B1208" s="225"/>
      <c r="C1208" s="225"/>
      <c r="D1208" s="225"/>
      <c r="E1208" s="232"/>
      <c r="F1208" s="9"/>
      <c r="G1208" s="152" t="s">
        <v>3526</v>
      </c>
      <c r="H1208" s="151" t="s">
        <v>3527</v>
      </c>
      <c r="I1208" s="32" t="s">
        <v>349</v>
      </c>
      <c r="J1208" s="8" t="s">
        <v>332</v>
      </c>
      <c r="K1208" s="32" t="s">
        <v>349</v>
      </c>
      <c r="L1208" s="53">
        <v>44972</v>
      </c>
      <c r="M1208" s="8" t="s">
        <v>349</v>
      </c>
      <c r="N1208" s="8" t="s">
        <v>3528</v>
      </c>
      <c r="O1208" s="8" t="s">
        <v>326</v>
      </c>
      <c r="P1208" s="8"/>
      <c r="Q1208" s="8"/>
      <c r="R1208" s="10"/>
      <c r="S1208" s="10"/>
    </row>
    <row r="1209" spans="2:19" outlineLevel="1">
      <c r="B1209" s="225"/>
      <c r="C1209" s="225"/>
      <c r="D1209" s="225"/>
      <c r="E1209" s="232"/>
      <c r="F1209" s="9"/>
      <c r="G1209" s="9"/>
      <c r="H1209" s="33"/>
      <c r="I1209" s="32"/>
      <c r="J1209" s="8"/>
      <c r="K1209" s="8"/>
      <c r="L1209" s="8"/>
      <c r="M1209" s="8"/>
      <c r="N1209" s="8"/>
      <c r="O1209" s="8"/>
      <c r="P1209" s="8"/>
      <c r="Q1209" s="8"/>
      <c r="R1209" s="10"/>
      <c r="S1209" s="10"/>
    </row>
    <row r="1210" spans="2:19" ht="14" outlineLevel="1">
      <c r="B1210" s="225"/>
      <c r="C1210" s="225"/>
      <c r="D1210" s="225"/>
      <c r="E1210" s="232"/>
      <c r="F1210" s="9"/>
      <c r="G1210" s="9" t="s">
        <v>183</v>
      </c>
      <c r="H1210" s="109" t="s">
        <v>2626</v>
      </c>
      <c r="I1210" s="32"/>
      <c r="J1210" s="8"/>
      <c r="K1210" s="8"/>
      <c r="L1210" s="8"/>
      <c r="M1210" s="8"/>
      <c r="N1210" s="8"/>
      <c r="O1210" s="8"/>
      <c r="P1210" s="8"/>
      <c r="Q1210" s="8"/>
      <c r="R1210" s="10"/>
      <c r="S1210" s="10"/>
    </row>
    <row r="1211" spans="2:19" ht="14" outlineLevel="1">
      <c r="B1211" s="225"/>
      <c r="C1211" s="225"/>
      <c r="D1211" s="225"/>
      <c r="E1211" s="232"/>
      <c r="F1211" s="9"/>
      <c r="G1211" s="152" t="s">
        <v>807</v>
      </c>
      <c r="H1211" s="151" t="s">
        <v>1815</v>
      </c>
      <c r="I1211" s="32" t="s">
        <v>349</v>
      </c>
      <c r="J1211" s="8" t="s">
        <v>332</v>
      </c>
      <c r="K1211" s="32" t="s">
        <v>349</v>
      </c>
      <c r="L1211" s="53">
        <v>44838</v>
      </c>
      <c r="M1211" s="8" t="s">
        <v>349</v>
      </c>
      <c r="N1211" s="8" t="s">
        <v>3267</v>
      </c>
      <c r="O1211" s="8" t="s">
        <v>326</v>
      </c>
      <c r="P1211" s="8"/>
      <c r="Q1211" s="8"/>
      <c r="R1211" s="10"/>
      <c r="S1211" s="10"/>
    </row>
    <row r="1212" spans="2:19" ht="14" outlineLevel="1">
      <c r="B1212" s="225"/>
      <c r="C1212" s="225"/>
      <c r="D1212" s="225"/>
      <c r="E1212" s="232"/>
      <c r="F1212" s="9"/>
      <c r="G1212" s="152" t="s">
        <v>808</v>
      </c>
      <c r="H1212" s="151" t="s">
        <v>1816</v>
      </c>
      <c r="I1212" s="32" t="s">
        <v>349</v>
      </c>
      <c r="J1212" s="8" t="s">
        <v>332</v>
      </c>
      <c r="K1212" s="32" t="s">
        <v>349</v>
      </c>
      <c r="L1212" s="53">
        <v>44946</v>
      </c>
      <c r="M1212" s="8" t="s">
        <v>349</v>
      </c>
      <c r="N1212" s="8" t="s">
        <v>3394</v>
      </c>
      <c r="O1212" s="8" t="s">
        <v>326</v>
      </c>
      <c r="P1212" s="8"/>
      <c r="Q1212" s="8"/>
      <c r="R1212" s="10"/>
      <c r="S1212" s="10"/>
    </row>
    <row r="1213" spans="2:19" ht="14" outlineLevel="1">
      <c r="B1213" s="225"/>
      <c r="C1213" s="225"/>
      <c r="D1213" s="225"/>
      <c r="E1213" s="232"/>
      <c r="F1213" s="9"/>
      <c r="G1213" s="152" t="s">
        <v>809</v>
      </c>
      <c r="H1213" s="151" t="s">
        <v>1871</v>
      </c>
      <c r="I1213" s="32" t="s">
        <v>349</v>
      </c>
      <c r="J1213" s="8" t="s">
        <v>332</v>
      </c>
      <c r="K1213" s="32" t="s">
        <v>349</v>
      </c>
      <c r="L1213" s="53">
        <v>44946</v>
      </c>
      <c r="M1213" s="8" t="s">
        <v>349</v>
      </c>
      <c r="N1213" s="8" t="s">
        <v>3394</v>
      </c>
      <c r="O1213" s="8" t="s">
        <v>326</v>
      </c>
      <c r="P1213" s="8"/>
      <c r="Q1213" s="8"/>
      <c r="R1213" s="10"/>
      <c r="S1213" s="10"/>
    </row>
    <row r="1214" spans="2:19" ht="14" outlineLevel="1">
      <c r="B1214" s="225"/>
      <c r="C1214" s="225"/>
      <c r="D1214" s="225"/>
      <c r="E1214" s="232"/>
      <c r="F1214" s="9"/>
      <c r="G1214" s="152" t="s">
        <v>810</v>
      </c>
      <c r="H1214" s="151" t="s">
        <v>1872</v>
      </c>
      <c r="I1214" s="32" t="s">
        <v>349</v>
      </c>
      <c r="J1214" s="8" t="s">
        <v>332</v>
      </c>
      <c r="K1214" s="32" t="s">
        <v>349</v>
      </c>
      <c r="L1214" s="53">
        <v>44946</v>
      </c>
      <c r="M1214" s="8" t="s">
        <v>349</v>
      </c>
      <c r="N1214" s="8" t="s">
        <v>3394</v>
      </c>
      <c r="O1214" s="8" t="s">
        <v>326</v>
      </c>
      <c r="P1214" s="8"/>
      <c r="Q1214" s="8"/>
      <c r="R1214" s="10"/>
      <c r="S1214" s="10"/>
    </row>
    <row r="1215" spans="2:19" ht="14" outlineLevel="1">
      <c r="B1215" s="225"/>
      <c r="C1215" s="225"/>
      <c r="D1215" s="225"/>
      <c r="E1215" s="232"/>
      <c r="F1215" s="9"/>
      <c r="G1215" s="152" t="s">
        <v>811</v>
      </c>
      <c r="H1215" s="151" t="s">
        <v>1873</v>
      </c>
      <c r="I1215" s="32" t="s">
        <v>349</v>
      </c>
      <c r="J1215" s="8" t="s">
        <v>332</v>
      </c>
      <c r="K1215" s="32" t="s">
        <v>349</v>
      </c>
      <c r="L1215" s="53">
        <v>44946</v>
      </c>
      <c r="M1215" s="8" t="s">
        <v>349</v>
      </c>
      <c r="N1215" s="8" t="s">
        <v>3394</v>
      </c>
      <c r="O1215" s="8" t="s">
        <v>326</v>
      </c>
      <c r="P1215" s="8"/>
      <c r="Q1215" s="8"/>
      <c r="R1215" s="10"/>
      <c r="S1215" s="10"/>
    </row>
    <row r="1216" spans="2:19" ht="14" outlineLevel="1">
      <c r="B1216" s="225"/>
      <c r="C1216" s="225"/>
      <c r="D1216" s="225"/>
      <c r="E1216" s="232"/>
      <c r="F1216" s="9"/>
      <c r="G1216" s="152" t="s">
        <v>1101</v>
      </c>
      <c r="H1216" s="151" t="s">
        <v>1874</v>
      </c>
      <c r="I1216" s="32" t="s">
        <v>349</v>
      </c>
      <c r="J1216" s="8" t="s">
        <v>332</v>
      </c>
      <c r="K1216" s="32" t="s">
        <v>349</v>
      </c>
      <c r="L1216" s="53">
        <v>44946</v>
      </c>
      <c r="M1216" s="8" t="s">
        <v>349</v>
      </c>
      <c r="N1216" s="8" t="s">
        <v>3394</v>
      </c>
      <c r="O1216" s="8" t="s">
        <v>326</v>
      </c>
      <c r="P1216" s="8"/>
      <c r="Q1216" s="8"/>
      <c r="R1216" s="10"/>
      <c r="S1216" s="10"/>
    </row>
    <row r="1217" spans="2:19" ht="14" outlineLevel="1">
      <c r="B1217" s="225"/>
      <c r="C1217" s="225"/>
      <c r="D1217" s="225"/>
      <c r="E1217" s="232"/>
      <c r="F1217" s="9"/>
      <c r="G1217" s="152" t="s">
        <v>1102</v>
      </c>
      <c r="H1217" s="151" t="s">
        <v>1875</v>
      </c>
      <c r="I1217" s="32" t="s">
        <v>349</v>
      </c>
      <c r="J1217" s="8" t="s">
        <v>332</v>
      </c>
      <c r="K1217" s="32" t="s">
        <v>349</v>
      </c>
      <c r="L1217" s="53">
        <v>44946</v>
      </c>
      <c r="M1217" s="8" t="s">
        <v>349</v>
      </c>
      <c r="N1217" s="8" t="s">
        <v>3394</v>
      </c>
      <c r="O1217" s="8" t="s">
        <v>326</v>
      </c>
      <c r="P1217" s="8"/>
      <c r="Q1217" s="8"/>
      <c r="R1217" s="10"/>
      <c r="S1217" s="10"/>
    </row>
    <row r="1218" spans="2:19" ht="14" outlineLevel="1">
      <c r="B1218" s="225"/>
      <c r="C1218" s="225"/>
      <c r="D1218" s="225"/>
      <c r="E1218" s="232"/>
      <c r="F1218" s="9"/>
      <c r="G1218" s="152" t="s">
        <v>1103</v>
      </c>
      <c r="H1218" s="151" t="s">
        <v>1876</v>
      </c>
      <c r="I1218" s="32" t="s">
        <v>349</v>
      </c>
      <c r="J1218" s="8" t="s">
        <v>332</v>
      </c>
      <c r="K1218" s="32" t="s">
        <v>349</v>
      </c>
      <c r="L1218" s="53">
        <v>44946</v>
      </c>
      <c r="M1218" s="8" t="s">
        <v>349</v>
      </c>
      <c r="N1218" s="8" t="s">
        <v>3394</v>
      </c>
      <c r="O1218" s="8" t="s">
        <v>326</v>
      </c>
      <c r="P1218" s="8"/>
      <c r="Q1218" s="8"/>
      <c r="R1218" s="10"/>
      <c r="S1218" s="10"/>
    </row>
    <row r="1219" spans="2:19" ht="14" outlineLevel="1">
      <c r="B1219" s="225"/>
      <c r="C1219" s="225"/>
      <c r="D1219" s="225"/>
      <c r="E1219" s="232"/>
      <c r="F1219" s="9"/>
      <c r="G1219" s="152" t="s">
        <v>1104</v>
      </c>
      <c r="H1219" s="151" t="s">
        <v>1877</v>
      </c>
      <c r="I1219" s="32" t="s">
        <v>349</v>
      </c>
      <c r="J1219" s="8" t="s">
        <v>332</v>
      </c>
      <c r="K1219" s="32" t="s">
        <v>349</v>
      </c>
      <c r="L1219" s="53">
        <v>44946</v>
      </c>
      <c r="M1219" s="8" t="s">
        <v>349</v>
      </c>
      <c r="N1219" s="8" t="s">
        <v>3394</v>
      </c>
      <c r="O1219" s="8" t="s">
        <v>326</v>
      </c>
      <c r="P1219" s="8"/>
      <c r="Q1219" s="8"/>
      <c r="R1219" s="10"/>
      <c r="S1219" s="10"/>
    </row>
    <row r="1220" spans="2:19" ht="14" outlineLevel="1">
      <c r="B1220" s="225"/>
      <c r="C1220" s="225"/>
      <c r="D1220" s="225"/>
      <c r="E1220" s="232"/>
      <c r="F1220" s="9"/>
      <c r="G1220" s="152" t="s">
        <v>1105</v>
      </c>
      <c r="H1220" s="151" t="s">
        <v>1938</v>
      </c>
      <c r="I1220" s="32" t="s">
        <v>349</v>
      </c>
      <c r="J1220" s="8" t="s">
        <v>332</v>
      </c>
      <c r="K1220" s="32" t="s">
        <v>349</v>
      </c>
      <c r="L1220" s="53">
        <v>44946</v>
      </c>
      <c r="M1220" s="8" t="s">
        <v>349</v>
      </c>
      <c r="N1220" s="8" t="s">
        <v>3394</v>
      </c>
      <c r="O1220" s="8" t="s">
        <v>326</v>
      </c>
      <c r="P1220" s="8"/>
      <c r="Q1220" s="8"/>
      <c r="R1220" s="10"/>
      <c r="S1220" s="10"/>
    </row>
    <row r="1221" spans="2:19" ht="14" outlineLevel="1">
      <c r="B1221" s="225"/>
      <c r="C1221" s="225"/>
      <c r="D1221" s="225"/>
      <c r="E1221" s="232"/>
      <c r="F1221" s="9"/>
      <c r="G1221" s="152" t="s">
        <v>1106</v>
      </c>
      <c r="H1221" s="151" t="s">
        <v>1939</v>
      </c>
      <c r="I1221" s="32" t="s">
        <v>349</v>
      </c>
      <c r="J1221" s="8" t="s">
        <v>332</v>
      </c>
      <c r="K1221" s="32" t="s">
        <v>349</v>
      </c>
      <c r="L1221" s="53">
        <v>44946</v>
      </c>
      <c r="M1221" s="8" t="s">
        <v>349</v>
      </c>
      <c r="N1221" s="8" t="s">
        <v>3394</v>
      </c>
      <c r="O1221" s="8" t="s">
        <v>326</v>
      </c>
      <c r="P1221" s="8"/>
      <c r="Q1221" s="8"/>
      <c r="R1221" s="10"/>
      <c r="S1221" s="10"/>
    </row>
    <row r="1222" spans="2:19" ht="14" outlineLevel="1">
      <c r="B1222" s="225"/>
      <c r="C1222" s="225"/>
      <c r="D1222" s="225"/>
      <c r="E1222" s="232"/>
      <c r="F1222" s="9"/>
      <c r="G1222" s="152" t="s">
        <v>1107</v>
      </c>
      <c r="H1222" s="151" t="s">
        <v>1940</v>
      </c>
      <c r="I1222" s="32" t="s">
        <v>349</v>
      </c>
      <c r="J1222" s="8" t="s">
        <v>332</v>
      </c>
      <c r="K1222" s="32" t="s">
        <v>349</v>
      </c>
      <c r="L1222" s="53">
        <v>44946</v>
      </c>
      <c r="M1222" s="8" t="s">
        <v>349</v>
      </c>
      <c r="N1222" s="8" t="s">
        <v>3394</v>
      </c>
      <c r="O1222" s="8" t="s">
        <v>326</v>
      </c>
      <c r="P1222" s="8"/>
      <c r="Q1222" s="8"/>
      <c r="R1222" s="10"/>
      <c r="S1222" s="10"/>
    </row>
    <row r="1223" spans="2:19" ht="14" outlineLevel="1">
      <c r="B1223" s="225"/>
      <c r="C1223" s="225"/>
      <c r="D1223" s="225"/>
      <c r="E1223" s="232"/>
      <c r="F1223" s="9"/>
      <c r="G1223" s="152" t="s">
        <v>1965</v>
      </c>
      <c r="H1223" s="151" t="s">
        <v>2147</v>
      </c>
      <c r="I1223" s="32" t="s">
        <v>349</v>
      </c>
      <c r="J1223" s="8" t="s">
        <v>332</v>
      </c>
      <c r="K1223" s="32" t="s">
        <v>349</v>
      </c>
      <c r="L1223" s="53">
        <v>44838</v>
      </c>
      <c r="M1223" s="8" t="s">
        <v>349</v>
      </c>
      <c r="N1223" s="8" t="s">
        <v>3267</v>
      </c>
      <c r="O1223" s="8" t="s">
        <v>326</v>
      </c>
      <c r="P1223" s="8"/>
      <c r="Q1223" s="8"/>
      <c r="R1223" s="10"/>
      <c r="S1223" s="10"/>
    </row>
    <row r="1224" spans="2:19" ht="14" outlineLevel="1">
      <c r="B1224" s="225"/>
      <c r="C1224" s="225"/>
      <c r="D1224" s="225"/>
      <c r="E1224" s="232"/>
      <c r="F1224" s="9"/>
      <c r="G1224" s="152" t="s">
        <v>1966</v>
      </c>
      <c r="H1224" s="151" t="s">
        <v>1972</v>
      </c>
      <c r="I1224" s="32" t="s">
        <v>349</v>
      </c>
      <c r="J1224" s="8" t="s">
        <v>332</v>
      </c>
      <c r="K1224" s="32" t="s">
        <v>349</v>
      </c>
      <c r="L1224" s="53">
        <v>44838</v>
      </c>
      <c r="M1224" s="8" t="s">
        <v>349</v>
      </c>
      <c r="N1224" s="8" t="s">
        <v>3267</v>
      </c>
      <c r="O1224" s="8" t="s">
        <v>326</v>
      </c>
      <c r="P1224" s="8"/>
      <c r="Q1224" s="8"/>
      <c r="R1224" s="10"/>
      <c r="S1224" s="10"/>
    </row>
    <row r="1225" spans="2:19" ht="14" outlineLevel="1">
      <c r="B1225" s="225"/>
      <c r="C1225" s="225"/>
      <c r="D1225" s="225"/>
      <c r="E1225" s="232"/>
      <c r="F1225" s="9"/>
      <c r="G1225" s="152" t="s">
        <v>1967</v>
      </c>
      <c r="H1225" s="151" t="s">
        <v>2050</v>
      </c>
      <c r="I1225" s="32" t="s">
        <v>349</v>
      </c>
      <c r="J1225" s="8" t="s">
        <v>332</v>
      </c>
      <c r="K1225" s="32" t="s">
        <v>349</v>
      </c>
      <c r="L1225" s="53">
        <v>44838</v>
      </c>
      <c r="M1225" s="8" t="s">
        <v>349</v>
      </c>
      <c r="N1225" s="8" t="s">
        <v>3267</v>
      </c>
      <c r="O1225" s="8" t="s">
        <v>326</v>
      </c>
      <c r="P1225" s="8"/>
      <c r="Q1225" s="8"/>
      <c r="R1225" s="10"/>
      <c r="S1225" s="10"/>
    </row>
    <row r="1226" spans="2:19" ht="14" outlineLevel="1">
      <c r="B1226" s="225"/>
      <c r="C1226" s="225"/>
      <c r="D1226" s="225"/>
      <c r="E1226" s="232"/>
      <c r="F1226" s="9"/>
      <c r="G1226" s="152" t="s">
        <v>1968</v>
      </c>
      <c r="H1226" s="151" t="s">
        <v>2067</v>
      </c>
      <c r="I1226" s="32" t="s">
        <v>349</v>
      </c>
      <c r="J1226" s="8" t="s">
        <v>332</v>
      </c>
      <c r="K1226" s="32" t="s">
        <v>349</v>
      </c>
      <c r="L1226" s="53">
        <v>44838</v>
      </c>
      <c r="M1226" s="8" t="s">
        <v>349</v>
      </c>
      <c r="N1226" s="8" t="s">
        <v>3267</v>
      </c>
      <c r="O1226" s="8" t="s">
        <v>326</v>
      </c>
      <c r="P1226" s="8"/>
      <c r="Q1226" s="8"/>
      <c r="R1226" s="10"/>
      <c r="S1226" s="10"/>
    </row>
    <row r="1227" spans="2:19" ht="14" outlineLevel="1">
      <c r="B1227" s="225"/>
      <c r="C1227" s="225"/>
      <c r="D1227" s="225"/>
      <c r="E1227" s="232"/>
      <c r="F1227" s="9"/>
      <c r="G1227" s="152" t="s">
        <v>1969</v>
      </c>
      <c r="H1227" s="151" t="s">
        <v>2148</v>
      </c>
      <c r="I1227" s="32" t="s">
        <v>349</v>
      </c>
      <c r="J1227" s="8" t="s">
        <v>332</v>
      </c>
      <c r="K1227" s="32" t="s">
        <v>349</v>
      </c>
      <c r="L1227" s="53">
        <v>44946</v>
      </c>
      <c r="M1227" s="8" t="s">
        <v>349</v>
      </c>
      <c r="N1227" s="8" t="s">
        <v>3394</v>
      </c>
      <c r="O1227" s="8" t="s">
        <v>326</v>
      </c>
      <c r="P1227" s="8"/>
      <c r="Q1227" s="8"/>
      <c r="R1227" s="10"/>
      <c r="S1227" s="10"/>
    </row>
    <row r="1228" spans="2:19" ht="14" outlineLevel="1">
      <c r="B1228" s="225"/>
      <c r="C1228" s="225"/>
      <c r="D1228" s="225"/>
      <c r="E1228" s="232"/>
      <c r="F1228" s="9"/>
      <c r="G1228" s="152" t="s">
        <v>1970</v>
      </c>
      <c r="H1228" s="151" t="s">
        <v>2031</v>
      </c>
      <c r="I1228" s="32" t="s">
        <v>349</v>
      </c>
      <c r="J1228" s="8" t="s">
        <v>332</v>
      </c>
      <c r="K1228" s="32" t="s">
        <v>349</v>
      </c>
      <c r="L1228" s="53">
        <v>44946</v>
      </c>
      <c r="M1228" s="8" t="s">
        <v>349</v>
      </c>
      <c r="N1228" s="8" t="s">
        <v>3394</v>
      </c>
      <c r="O1228" s="8" t="s">
        <v>326</v>
      </c>
      <c r="P1228" s="8"/>
      <c r="Q1228" s="8"/>
      <c r="R1228" s="10"/>
      <c r="S1228" s="10"/>
    </row>
    <row r="1229" spans="2:19" ht="14" outlineLevel="1">
      <c r="B1229" s="225"/>
      <c r="C1229" s="225"/>
      <c r="D1229" s="225"/>
      <c r="E1229" s="232"/>
      <c r="F1229" s="9"/>
      <c r="G1229" s="152" t="s">
        <v>1971</v>
      </c>
      <c r="H1229" s="151" t="s">
        <v>2049</v>
      </c>
      <c r="I1229" s="32" t="s">
        <v>349</v>
      </c>
      <c r="J1229" s="8" t="s">
        <v>332</v>
      </c>
      <c r="K1229" s="32" t="s">
        <v>349</v>
      </c>
      <c r="L1229" s="53">
        <v>44946</v>
      </c>
      <c r="M1229" s="8" t="s">
        <v>349</v>
      </c>
      <c r="N1229" s="8" t="s">
        <v>3394</v>
      </c>
      <c r="O1229" s="8" t="s">
        <v>326</v>
      </c>
      <c r="P1229" s="8"/>
      <c r="Q1229" s="8"/>
      <c r="R1229" s="10"/>
      <c r="S1229" s="10"/>
    </row>
    <row r="1230" spans="2:19" ht="14" outlineLevel="1">
      <c r="B1230" s="225"/>
      <c r="C1230" s="225"/>
      <c r="D1230" s="225"/>
      <c r="E1230" s="232"/>
      <c r="F1230" s="9"/>
      <c r="G1230" s="152" t="s">
        <v>3526</v>
      </c>
      <c r="H1230" s="151" t="s">
        <v>3527</v>
      </c>
      <c r="I1230" s="32" t="s">
        <v>349</v>
      </c>
      <c r="J1230" s="8" t="s">
        <v>332</v>
      </c>
      <c r="K1230" s="32" t="s">
        <v>349</v>
      </c>
      <c r="L1230" s="53">
        <v>44972</v>
      </c>
      <c r="M1230" s="8" t="s">
        <v>349</v>
      </c>
      <c r="N1230" s="8" t="s">
        <v>3528</v>
      </c>
      <c r="O1230" s="8" t="s">
        <v>326</v>
      </c>
      <c r="P1230" s="8"/>
      <c r="Q1230" s="8"/>
      <c r="R1230" s="10"/>
      <c r="S1230" s="10"/>
    </row>
    <row r="1231" spans="2:19" outlineLevel="1">
      <c r="B1231" s="225"/>
      <c r="C1231" s="225"/>
      <c r="D1231" s="225"/>
      <c r="E1231" s="232"/>
      <c r="F1231" s="9"/>
      <c r="G1231" s="9"/>
      <c r="H1231" s="33"/>
      <c r="I1231" s="32"/>
      <c r="J1231" s="8"/>
      <c r="K1231" s="8"/>
      <c r="L1231" s="8"/>
      <c r="M1231" s="8"/>
      <c r="N1231" s="8"/>
      <c r="O1231" s="8"/>
      <c r="P1231" s="8"/>
      <c r="Q1231" s="8"/>
      <c r="R1231" s="10"/>
      <c r="S1231" s="10"/>
    </row>
    <row r="1232" spans="2:19" ht="14" outlineLevel="1">
      <c r="B1232" s="225"/>
      <c r="C1232" s="225"/>
      <c r="D1232" s="225"/>
      <c r="E1232" s="232"/>
      <c r="F1232" s="9"/>
      <c r="G1232" s="9" t="s">
        <v>184</v>
      </c>
      <c r="H1232" s="109" t="s">
        <v>2627</v>
      </c>
      <c r="I1232" s="32"/>
      <c r="J1232" s="8"/>
      <c r="K1232" s="8"/>
      <c r="L1232" s="8"/>
      <c r="M1232" s="8"/>
      <c r="N1232" s="8"/>
      <c r="O1232" s="8"/>
      <c r="P1232" s="8"/>
      <c r="Q1232" s="8"/>
      <c r="R1232" s="10"/>
      <c r="S1232" s="10"/>
    </row>
    <row r="1233" spans="2:19" ht="14" outlineLevel="1">
      <c r="B1233" s="225"/>
      <c r="C1233" s="225"/>
      <c r="D1233" s="225"/>
      <c r="E1233" s="232"/>
      <c r="F1233" s="9"/>
      <c r="G1233" s="152" t="s">
        <v>807</v>
      </c>
      <c r="H1233" s="151" t="s">
        <v>1815</v>
      </c>
      <c r="I1233" s="32" t="s">
        <v>349</v>
      </c>
      <c r="J1233" s="8" t="s">
        <v>332</v>
      </c>
      <c r="K1233" s="32" t="s">
        <v>349</v>
      </c>
      <c r="L1233" s="53">
        <v>45051</v>
      </c>
      <c r="M1233" s="8" t="s">
        <v>349</v>
      </c>
      <c r="N1233" s="8" t="s">
        <v>3741</v>
      </c>
      <c r="O1233" s="8" t="s">
        <v>326</v>
      </c>
      <c r="P1233" s="8"/>
      <c r="Q1233" s="8"/>
      <c r="R1233" s="10"/>
      <c r="S1233" s="10"/>
    </row>
    <row r="1234" spans="2:19" ht="14" outlineLevel="1">
      <c r="B1234" s="225"/>
      <c r="C1234" s="225"/>
      <c r="D1234" s="225"/>
      <c r="E1234" s="232"/>
      <c r="F1234" s="9"/>
      <c r="G1234" s="152" t="s">
        <v>808</v>
      </c>
      <c r="H1234" s="151" t="s">
        <v>1816</v>
      </c>
      <c r="I1234" s="32" t="s">
        <v>349</v>
      </c>
      <c r="J1234" s="8" t="s">
        <v>332</v>
      </c>
      <c r="K1234" s="32" t="s">
        <v>349</v>
      </c>
      <c r="L1234" s="53">
        <v>45016</v>
      </c>
      <c r="M1234" s="8" t="s">
        <v>349</v>
      </c>
      <c r="N1234" s="8" t="s">
        <v>3656</v>
      </c>
      <c r="O1234" s="8" t="s">
        <v>326</v>
      </c>
      <c r="P1234" s="8"/>
      <c r="Q1234" s="8"/>
      <c r="R1234" s="10"/>
      <c r="S1234" s="10"/>
    </row>
    <row r="1235" spans="2:19" ht="14" outlineLevel="1">
      <c r="B1235" s="225"/>
      <c r="C1235" s="225"/>
      <c r="D1235" s="225"/>
      <c r="E1235" s="232"/>
      <c r="F1235" s="9"/>
      <c r="G1235" s="152" t="s">
        <v>809</v>
      </c>
      <c r="H1235" s="151" t="s">
        <v>1871</v>
      </c>
      <c r="I1235" s="32" t="s">
        <v>349</v>
      </c>
      <c r="J1235" s="8" t="s">
        <v>332</v>
      </c>
      <c r="K1235" s="32" t="s">
        <v>349</v>
      </c>
      <c r="L1235" s="53">
        <v>45016</v>
      </c>
      <c r="M1235" s="8" t="s">
        <v>349</v>
      </c>
      <c r="N1235" s="8" t="s">
        <v>3656</v>
      </c>
      <c r="O1235" s="8" t="s">
        <v>326</v>
      </c>
      <c r="P1235" s="8"/>
      <c r="Q1235" s="8"/>
      <c r="R1235" s="10"/>
      <c r="S1235" s="10"/>
    </row>
    <row r="1236" spans="2:19" ht="14" outlineLevel="1">
      <c r="B1236" s="225"/>
      <c r="C1236" s="225"/>
      <c r="D1236" s="225"/>
      <c r="E1236" s="232"/>
      <c r="F1236" s="9"/>
      <c r="G1236" s="152" t="s">
        <v>810</v>
      </c>
      <c r="H1236" s="151" t="s">
        <v>1872</v>
      </c>
      <c r="I1236" s="32" t="s">
        <v>349</v>
      </c>
      <c r="J1236" s="8" t="s">
        <v>332</v>
      </c>
      <c r="K1236" s="32" t="s">
        <v>349</v>
      </c>
      <c r="L1236" s="53">
        <v>45016</v>
      </c>
      <c r="M1236" s="8" t="s">
        <v>349</v>
      </c>
      <c r="N1236" s="8" t="s">
        <v>3656</v>
      </c>
      <c r="O1236" s="8" t="s">
        <v>326</v>
      </c>
      <c r="P1236" s="8"/>
      <c r="Q1236" s="8"/>
      <c r="R1236" s="10"/>
      <c r="S1236" s="10"/>
    </row>
    <row r="1237" spans="2:19" ht="14" outlineLevel="1">
      <c r="B1237" s="225"/>
      <c r="C1237" s="225"/>
      <c r="D1237" s="225"/>
      <c r="E1237" s="232"/>
      <c r="F1237" s="9"/>
      <c r="G1237" s="152" t="s">
        <v>811</v>
      </c>
      <c r="H1237" s="151" t="s">
        <v>1873</v>
      </c>
      <c r="I1237" s="32" t="s">
        <v>349</v>
      </c>
      <c r="J1237" s="8" t="s">
        <v>332</v>
      </c>
      <c r="K1237" s="32" t="s">
        <v>349</v>
      </c>
      <c r="L1237" s="53">
        <v>45016</v>
      </c>
      <c r="M1237" s="8" t="s">
        <v>349</v>
      </c>
      <c r="N1237" s="8" t="s">
        <v>3656</v>
      </c>
      <c r="O1237" s="8" t="s">
        <v>326</v>
      </c>
      <c r="P1237" s="8"/>
      <c r="Q1237" s="8"/>
      <c r="R1237" s="10"/>
      <c r="S1237" s="10"/>
    </row>
    <row r="1238" spans="2:19" ht="14" outlineLevel="1">
      <c r="B1238" s="225"/>
      <c r="C1238" s="225"/>
      <c r="D1238" s="225"/>
      <c r="E1238" s="232"/>
      <c r="F1238" s="9"/>
      <c r="G1238" s="152" t="s">
        <v>1101</v>
      </c>
      <c r="H1238" s="151" t="s">
        <v>1874</v>
      </c>
      <c r="I1238" s="32" t="s">
        <v>349</v>
      </c>
      <c r="J1238" s="8" t="s">
        <v>332</v>
      </c>
      <c r="K1238" s="32" t="s">
        <v>349</v>
      </c>
      <c r="L1238" s="53">
        <v>45016</v>
      </c>
      <c r="M1238" s="8" t="s">
        <v>349</v>
      </c>
      <c r="N1238" s="8" t="s">
        <v>3656</v>
      </c>
      <c r="O1238" s="8" t="s">
        <v>326</v>
      </c>
      <c r="P1238" s="8"/>
      <c r="Q1238" s="8"/>
      <c r="R1238" s="10"/>
      <c r="S1238" s="10"/>
    </row>
    <row r="1239" spans="2:19" ht="14" outlineLevel="1">
      <c r="B1239" s="225"/>
      <c r="C1239" s="225"/>
      <c r="D1239" s="225"/>
      <c r="E1239" s="232"/>
      <c r="F1239" s="9"/>
      <c r="G1239" s="152" t="s">
        <v>1102</v>
      </c>
      <c r="H1239" s="151" t="s">
        <v>1875</v>
      </c>
      <c r="I1239" s="32" t="s">
        <v>349</v>
      </c>
      <c r="J1239" s="8" t="s">
        <v>332</v>
      </c>
      <c r="K1239" s="32" t="s">
        <v>349</v>
      </c>
      <c r="L1239" s="53">
        <v>45016</v>
      </c>
      <c r="M1239" s="8" t="s">
        <v>349</v>
      </c>
      <c r="N1239" s="8" t="s">
        <v>3656</v>
      </c>
      <c r="O1239" s="8" t="s">
        <v>326</v>
      </c>
      <c r="P1239" s="8"/>
      <c r="Q1239" s="8"/>
      <c r="R1239" s="10"/>
      <c r="S1239" s="10"/>
    </row>
    <row r="1240" spans="2:19" ht="14" outlineLevel="1">
      <c r="B1240" s="225"/>
      <c r="C1240" s="225"/>
      <c r="D1240" s="225"/>
      <c r="E1240" s="232"/>
      <c r="F1240" s="9"/>
      <c r="G1240" s="152" t="s">
        <v>1103</v>
      </c>
      <c r="H1240" s="151" t="s">
        <v>1876</v>
      </c>
      <c r="I1240" s="32" t="s">
        <v>349</v>
      </c>
      <c r="J1240" s="8" t="s">
        <v>332</v>
      </c>
      <c r="K1240" s="32" t="s">
        <v>349</v>
      </c>
      <c r="L1240" s="53">
        <v>45016</v>
      </c>
      <c r="M1240" s="8" t="s">
        <v>349</v>
      </c>
      <c r="N1240" s="8" t="s">
        <v>3656</v>
      </c>
      <c r="O1240" s="8" t="s">
        <v>326</v>
      </c>
      <c r="P1240" s="8"/>
      <c r="Q1240" s="8"/>
      <c r="R1240" s="10"/>
      <c r="S1240" s="10"/>
    </row>
    <row r="1241" spans="2:19" ht="14" outlineLevel="1">
      <c r="B1241" s="225"/>
      <c r="C1241" s="225"/>
      <c r="D1241" s="225"/>
      <c r="E1241" s="232"/>
      <c r="F1241" s="9"/>
      <c r="G1241" s="152" t="s">
        <v>1104</v>
      </c>
      <c r="H1241" s="151" t="s">
        <v>1877</v>
      </c>
      <c r="I1241" s="32" t="s">
        <v>349</v>
      </c>
      <c r="J1241" s="8" t="s">
        <v>332</v>
      </c>
      <c r="K1241" s="32" t="s">
        <v>349</v>
      </c>
      <c r="L1241" s="53">
        <v>45016</v>
      </c>
      <c r="M1241" s="8" t="s">
        <v>349</v>
      </c>
      <c r="N1241" s="8" t="s">
        <v>3656</v>
      </c>
      <c r="O1241" s="8" t="s">
        <v>326</v>
      </c>
      <c r="P1241" s="8"/>
      <c r="Q1241" s="8"/>
      <c r="R1241" s="10"/>
      <c r="S1241" s="10"/>
    </row>
    <row r="1242" spans="2:19" ht="14" outlineLevel="1">
      <c r="B1242" s="225"/>
      <c r="C1242" s="225"/>
      <c r="D1242" s="225"/>
      <c r="E1242" s="232"/>
      <c r="F1242" s="9"/>
      <c r="G1242" s="152" t="s">
        <v>1105</v>
      </c>
      <c r="H1242" s="151" t="s">
        <v>1938</v>
      </c>
      <c r="I1242" s="32" t="s">
        <v>349</v>
      </c>
      <c r="J1242" s="8" t="s">
        <v>332</v>
      </c>
      <c r="K1242" s="32" t="s">
        <v>349</v>
      </c>
      <c r="L1242" s="53">
        <v>45016</v>
      </c>
      <c r="M1242" s="8" t="s">
        <v>349</v>
      </c>
      <c r="N1242" s="8" t="s">
        <v>3656</v>
      </c>
      <c r="O1242" s="8" t="s">
        <v>326</v>
      </c>
      <c r="P1242" s="8"/>
      <c r="Q1242" s="8"/>
      <c r="R1242" s="10"/>
      <c r="S1242" s="10"/>
    </row>
    <row r="1243" spans="2:19" ht="14" outlineLevel="1">
      <c r="B1243" s="225"/>
      <c r="C1243" s="225"/>
      <c r="D1243" s="225"/>
      <c r="E1243" s="232"/>
      <c r="F1243" s="9"/>
      <c r="G1243" s="152" t="s">
        <v>1106</v>
      </c>
      <c r="H1243" s="151" t="s">
        <v>1939</v>
      </c>
      <c r="I1243" s="32" t="s">
        <v>349</v>
      </c>
      <c r="J1243" s="8" t="s">
        <v>332</v>
      </c>
      <c r="K1243" s="32" t="s">
        <v>349</v>
      </c>
      <c r="L1243" s="53">
        <v>45016</v>
      </c>
      <c r="M1243" s="8" t="s">
        <v>349</v>
      </c>
      <c r="N1243" s="8" t="s">
        <v>3656</v>
      </c>
      <c r="O1243" s="8" t="s">
        <v>326</v>
      </c>
      <c r="P1243" s="8"/>
      <c r="Q1243" s="8"/>
      <c r="R1243" s="10"/>
      <c r="S1243" s="10"/>
    </row>
    <row r="1244" spans="2:19" ht="14" outlineLevel="1">
      <c r="B1244" s="225"/>
      <c r="C1244" s="225"/>
      <c r="D1244" s="225"/>
      <c r="E1244" s="232"/>
      <c r="F1244" s="9"/>
      <c r="G1244" s="152" t="s">
        <v>1107</v>
      </c>
      <c r="H1244" s="151" t="s">
        <v>1940</v>
      </c>
      <c r="I1244" s="32" t="s">
        <v>349</v>
      </c>
      <c r="J1244" s="8" t="s">
        <v>332</v>
      </c>
      <c r="K1244" s="32" t="s">
        <v>349</v>
      </c>
      <c r="L1244" s="53">
        <v>45051</v>
      </c>
      <c r="M1244" s="8" t="s">
        <v>349</v>
      </c>
      <c r="N1244" s="8" t="s">
        <v>3741</v>
      </c>
      <c r="O1244" s="8" t="s">
        <v>326</v>
      </c>
      <c r="P1244" s="8"/>
      <c r="Q1244" s="8"/>
      <c r="R1244" s="10"/>
      <c r="S1244" s="10"/>
    </row>
    <row r="1245" spans="2:19" ht="14" outlineLevel="1">
      <c r="B1245" s="225"/>
      <c r="C1245" s="225"/>
      <c r="D1245" s="225"/>
      <c r="E1245" s="232"/>
      <c r="F1245" s="9"/>
      <c r="G1245" s="152" t="s">
        <v>1965</v>
      </c>
      <c r="H1245" s="151" t="s">
        <v>2147</v>
      </c>
      <c r="I1245" s="32" t="s">
        <v>349</v>
      </c>
      <c r="J1245" s="8" t="s">
        <v>332</v>
      </c>
      <c r="K1245" s="32" t="s">
        <v>349</v>
      </c>
      <c r="L1245" s="53">
        <v>44972</v>
      </c>
      <c r="M1245" s="8" t="s">
        <v>349</v>
      </c>
      <c r="N1245" s="8" t="s">
        <v>3528</v>
      </c>
      <c r="O1245" s="8" t="s">
        <v>326</v>
      </c>
      <c r="P1245" s="8"/>
      <c r="Q1245" s="8"/>
      <c r="R1245" s="10"/>
      <c r="S1245" s="10"/>
    </row>
    <row r="1246" spans="2:19" ht="14" outlineLevel="1">
      <c r="B1246" s="225"/>
      <c r="C1246" s="225"/>
      <c r="D1246" s="225"/>
      <c r="E1246" s="232"/>
      <c r="F1246" s="9"/>
      <c r="G1246" s="152" t="s">
        <v>1966</v>
      </c>
      <c r="H1246" s="151" t="s">
        <v>1972</v>
      </c>
      <c r="I1246" s="32" t="s">
        <v>349</v>
      </c>
      <c r="J1246" s="8" t="s">
        <v>332</v>
      </c>
      <c r="K1246" s="32" t="s">
        <v>349</v>
      </c>
      <c r="L1246" s="53">
        <v>44972</v>
      </c>
      <c r="M1246" s="8" t="s">
        <v>349</v>
      </c>
      <c r="N1246" s="8" t="s">
        <v>3528</v>
      </c>
      <c r="O1246" s="8" t="s">
        <v>326</v>
      </c>
      <c r="P1246" s="8"/>
      <c r="Q1246" s="8"/>
      <c r="R1246" s="10"/>
      <c r="S1246" s="10"/>
    </row>
    <row r="1247" spans="2:19" ht="14" outlineLevel="1">
      <c r="B1247" s="225"/>
      <c r="C1247" s="225"/>
      <c r="D1247" s="225"/>
      <c r="E1247" s="232"/>
      <c r="F1247" s="9"/>
      <c r="G1247" s="152" t="s">
        <v>1967</v>
      </c>
      <c r="H1247" s="151" t="s">
        <v>2050</v>
      </c>
      <c r="I1247" s="32" t="s">
        <v>349</v>
      </c>
      <c r="J1247" s="8" t="s">
        <v>332</v>
      </c>
      <c r="K1247" s="32" t="s">
        <v>349</v>
      </c>
      <c r="L1247" s="53">
        <v>44972</v>
      </c>
      <c r="M1247" s="8" t="s">
        <v>349</v>
      </c>
      <c r="N1247" s="8" t="s">
        <v>3528</v>
      </c>
      <c r="O1247" s="8" t="s">
        <v>326</v>
      </c>
      <c r="P1247" s="8"/>
      <c r="Q1247" s="8"/>
      <c r="R1247" s="10"/>
      <c r="S1247" s="10"/>
    </row>
    <row r="1248" spans="2:19" ht="14" outlineLevel="1">
      <c r="B1248" s="225"/>
      <c r="C1248" s="225"/>
      <c r="D1248" s="225"/>
      <c r="E1248" s="232"/>
      <c r="F1248" s="9"/>
      <c r="G1248" s="152" t="s">
        <v>1968</v>
      </c>
      <c r="H1248" s="151" t="s">
        <v>2067</v>
      </c>
      <c r="I1248" s="32" t="s">
        <v>349</v>
      </c>
      <c r="J1248" s="8" t="s">
        <v>332</v>
      </c>
      <c r="K1248" s="32" t="s">
        <v>349</v>
      </c>
      <c r="L1248" s="53">
        <v>44972</v>
      </c>
      <c r="M1248" s="8" t="s">
        <v>349</v>
      </c>
      <c r="N1248" s="8" t="s">
        <v>3528</v>
      </c>
      <c r="O1248" s="8" t="s">
        <v>326</v>
      </c>
      <c r="P1248" s="8"/>
      <c r="Q1248" s="8"/>
      <c r="R1248" s="10"/>
      <c r="S1248" s="10"/>
    </row>
    <row r="1249" spans="2:19" ht="14" outlineLevel="1">
      <c r="B1249" s="225"/>
      <c r="C1249" s="225"/>
      <c r="D1249" s="225"/>
      <c r="E1249" s="232"/>
      <c r="F1249" s="9"/>
      <c r="G1249" s="152" t="s">
        <v>1969</v>
      </c>
      <c r="H1249" s="151" t="s">
        <v>2148</v>
      </c>
      <c r="I1249" s="32" t="s">
        <v>349</v>
      </c>
      <c r="J1249" s="8" t="s">
        <v>332</v>
      </c>
      <c r="K1249" s="32" t="s">
        <v>349</v>
      </c>
      <c r="L1249" s="53">
        <v>45051</v>
      </c>
      <c r="M1249" s="8" t="s">
        <v>349</v>
      </c>
      <c r="N1249" s="8" t="s">
        <v>3741</v>
      </c>
      <c r="O1249" s="8" t="s">
        <v>326</v>
      </c>
      <c r="P1249" s="8"/>
      <c r="Q1249" s="8"/>
      <c r="R1249" s="10"/>
      <c r="S1249" s="10"/>
    </row>
    <row r="1250" spans="2:19" ht="14" outlineLevel="1">
      <c r="B1250" s="225"/>
      <c r="C1250" s="225"/>
      <c r="D1250" s="225"/>
      <c r="E1250" s="232"/>
      <c r="F1250" s="9"/>
      <c r="G1250" s="152" t="s">
        <v>1970</v>
      </c>
      <c r="H1250" s="151" t="s">
        <v>2031</v>
      </c>
      <c r="I1250" s="32" t="s">
        <v>349</v>
      </c>
      <c r="J1250" s="8" t="s">
        <v>332</v>
      </c>
      <c r="K1250" s="32" t="s">
        <v>349</v>
      </c>
      <c r="L1250" s="53">
        <v>45051</v>
      </c>
      <c r="M1250" s="8" t="s">
        <v>349</v>
      </c>
      <c r="N1250" s="8" t="s">
        <v>3741</v>
      </c>
      <c r="O1250" s="8" t="s">
        <v>326</v>
      </c>
      <c r="P1250" s="8"/>
      <c r="Q1250" s="8"/>
      <c r="R1250" s="10"/>
      <c r="S1250" s="10"/>
    </row>
    <row r="1251" spans="2:19" ht="14" outlineLevel="1">
      <c r="B1251" s="225"/>
      <c r="C1251" s="225"/>
      <c r="D1251" s="225"/>
      <c r="E1251" s="232"/>
      <c r="F1251" s="9"/>
      <c r="G1251" s="152" t="s">
        <v>1971</v>
      </c>
      <c r="H1251" s="151" t="s">
        <v>2049</v>
      </c>
      <c r="I1251" s="32" t="s">
        <v>349</v>
      </c>
      <c r="J1251" s="8" t="s">
        <v>332</v>
      </c>
      <c r="K1251" s="32" t="s">
        <v>349</v>
      </c>
      <c r="L1251" s="53">
        <v>45051</v>
      </c>
      <c r="M1251" s="8" t="s">
        <v>349</v>
      </c>
      <c r="N1251" s="8" t="s">
        <v>3741</v>
      </c>
      <c r="O1251" s="8" t="s">
        <v>326</v>
      </c>
      <c r="P1251" s="8"/>
      <c r="Q1251" s="8"/>
      <c r="R1251" s="10"/>
      <c r="S1251" s="10"/>
    </row>
    <row r="1252" spans="2:19" ht="14" outlineLevel="1">
      <c r="B1252" s="225"/>
      <c r="C1252" s="225"/>
      <c r="D1252" s="225"/>
      <c r="E1252" s="232"/>
      <c r="F1252" s="9"/>
      <c r="G1252" s="152" t="s">
        <v>3526</v>
      </c>
      <c r="H1252" s="151" t="s">
        <v>3527</v>
      </c>
      <c r="I1252" s="32" t="s">
        <v>349</v>
      </c>
      <c r="J1252" s="8" t="s">
        <v>332</v>
      </c>
      <c r="K1252" s="32" t="s">
        <v>349</v>
      </c>
      <c r="L1252" s="8"/>
      <c r="M1252" s="8"/>
      <c r="N1252" s="8"/>
      <c r="O1252" s="8"/>
      <c r="P1252" s="8"/>
      <c r="Q1252" s="8"/>
      <c r="R1252" s="10"/>
      <c r="S1252" s="10"/>
    </row>
    <row r="1253" spans="2:19" outlineLevel="1">
      <c r="B1253" s="225"/>
      <c r="C1253" s="225"/>
      <c r="D1253" s="225"/>
      <c r="E1253" s="232"/>
      <c r="F1253" s="9"/>
      <c r="G1253" s="152"/>
      <c r="H1253" s="151"/>
      <c r="I1253" s="32"/>
      <c r="J1253" s="8"/>
      <c r="K1253" s="32"/>
      <c r="L1253" s="8"/>
      <c r="M1253" s="8"/>
      <c r="N1253" s="8"/>
      <c r="O1253" s="8"/>
      <c r="P1253" s="8"/>
      <c r="Q1253" s="8"/>
      <c r="R1253" s="10"/>
      <c r="S1253" s="10"/>
    </row>
    <row r="1254" spans="2:19" ht="14" outlineLevel="1">
      <c r="B1254" s="225"/>
      <c r="C1254" s="225"/>
      <c r="D1254" s="225"/>
      <c r="E1254" s="232"/>
      <c r="F1254" s="9"/>
      <c r="G1254" s="9" t="s">
        <v>184</v>
      </c>
      <c r="H1254" s="109" t="s">
        <v>2628</v>
      </c>
      <c r="I1254" s="32"/>
      <c r="J1254" s="8"/>
      <c r="K1254" s="8"/>
      <c r="L1254" s="8"/>
      <c r="M1254" s="8"/>
      <c r="N1254" s="8"/>
      <c r="O1254" s="8"/>
      <c r="P1254" s="8"/>
      <c r="Q1254" s="8"/>
      <c r="R1254" s="10"/>
      <c r="S1254" s="10"/>
    </row>
    <row r="1255" spans="2:19" ht="14" outlineLevel="1">
      <c r="B1255" s="225"/>
      <c r="C1255" s="225"/>
      <c r="D1255" s="225"/>
      <c r="E1255" s="232"/>
      <c r="F1255" s="9"/>
      <c r="G1255" s="152" t="s">
        <v>807</v>
      </c>
      <c r="H1255" s="151" t="s">
        <v>1815</v>
      </c>
      <c r="I1255" s="32" t="s">
        <v>349</v>
      </c>
      <c r="J1255" s="8" t="s">
        <v>332</v>
      </c>
      <c r="K1255" s="32" t="s">
        <v>349</v>
      </c>
      <c r="L1255" s="53">
        <v>45271</v>
      </c>
      <c r="M1255" s="8" t="s">
        <v>349</v>
      </c>
      <c r="N1255" s="8" t="s">
        <v>4163</v>
      </c>
      <c r="O1255" s="8" t="s">
        <v>326</v>
      </c>
      <c r="P1255" s="8"/>
      <c r="Q1255" s="8"/>
      <c r="R1255" s="10"/>
      <c r="S1255" s="10"/>
    </row>
    <row r="1256" spans="2:19" ht="14" outlineLevel="1">
      <c r="B1256" s="225"/>
      <c r="C1256" s="225"/>
      <c r="D1256" s="225"/>
      <c r="E1256" s="232"/>
      <c r="F1256" s="9"/>
      <c r="G1256" s="152" t="s">
        <v>808</v>
      </c>
      <c r="H1256" s="151" t="s">
        <v>1816</v>
      </c>
      <c r="I1256" s="32" t="s">
        <v>349</v>
      </c>
      <c r="J1256" s="8" t="s">
        <v>332</v>
      </c>
      <c r="K1256" s="32" t="s">
        <v>349</v>
      </c>
      <c r="L1256" s="53">
        <v>45281</v>
      </c>
      <c r="M1256" s="8" t="s">
        <v>349</v>
      </c>
      <c r="N1256" s="8" t="s">
        <v>4186</v>
      </c>
      <c r="O1256" s="8" t="s">
        <v>326</v>
      </c>
      <c r="P1256" s="8"/>
      <c r="Q1256" s="8"/>
      <c r="R1256" s="10"/>
      <c r="S1256" s="10"/>
    </row>
    <row r="1257" spans="2:19" ht="14" outlineLevel="1">
      <c r="B1257" s="225"/>
      <c r="C1257" s="225"/>
      <c r="D1257" s="225"/>
      <c r="E1257" s="232"/>
      <c r="F1257" s="9"/>
      <c r="G1257" s="152" t="s">
        <v>809</v>
      </c>
      <c r="H1257" s="151" t="s">
        <v>1871</v>
      </c>
      <c r="I1257" s="32" t="s">
        <v>349</v>
      </c>
      <c r="J1257" s="8" t="s">
        <v>332</v>
      </c>
      <c r="K1257" s="32" t="s">
        <v>349</v>
      </c>
      <c r="L1257" s="53">
        <v>45281</v>
      </c>
      <c r="M1257" s="8" t="s">
        <v>349</v>
      </c>
      <c r="N1257" s="8" t="s">
        <v>4186</v>
      </c>
      <c r="O1257" s="8" t="s">
        <v>326</v>
      </c>
      <c r="P1257" s="8"/>
      <c r="Q1257" s="8"/>
      <c r="R1257" s="10"/>
      <c r="S1257" s="10"/>
    </row>
    <row r="1258" spans="2:19" ht="14" outlineLevel="1">
      <c r="B1258" s="225"/>
      <c r="C1258" s="225"/>
      <c r="D1258" s="225"/>
      <c r="E1258" s="232"/>
      <c r="F1258" s="9"/>
      <c r="G1258" s="152" t="s">
        <v>810</v>
      </c>
      <c r="H1258" s="151" t="s">
        <v>1872</v>
      </c>
      <c r="I1258" s="32" t="s">
        <v>349</v>
      </c>
      <c r="J1258" s="8" t="s">
        <v>332</v>
      </c>
      <c r="K1258" s="32" t="s">
        <v>349</v>
      </c>
      <c r="L1258" s="53">
        <v>45281</v>
      </c>
      <c r="M1258" s="8" t="s">
        <v>349</v>
      </c>
      <c r="N1258" s="8" t="s">
        <v>4186</v>
      </c>
      <c r="O1258" s="8" t="s">
        <v>326</v>
      </c>
      <c r="P1258" s="8"/>
      <c r="Q1258" s="8"/>
      <c r="R1258" s="10"/>
      <c r="S1258" s="10"/>
    </row>
    <row r="1259" spans="2:19" ht="14" outlineLevel="1">
      <c r="B1259" s="225"/>
      <c r="C1259" s="225"/>
      <c r="D1259" s="225"/>
      <c r="E1259" s="232"/>
      <c r="F1259" s="9"/>
      <c r="G1259" s="152" t="s">
        <v>811</v>
      </c>
      <c r="H1259" s="151" t="s">
        <v>1873</v>
      </c>
      <c r="I1259" s="32" t="s">
        <v>349</v>
      </c>
      <c r="J1259" s="8" t="s">
        <v>332</v>
      </c>
      <c r="K1259" s="32" t="s">
        <v>349</v>
      </c>
      <c r="L1259" s="53">
        <v>45281</v>
      </c>
      <c r="M1259" s="8" t="s">
        <v>349</v>
      </c>
      <c r="N1259" s="8" t="s">
        <v>4186</v>
      </c>
      <c r="O1259" s="8" t="s">
        <v>326</v>
      </c>
      <c r="P1259" s="8"/>
      <c r="Q1259" s="8"/>
      <c r="R1259" s="10"/>
      <c r="S1259" s="10"/>
    </row>
    <row r="1260" spans="2:19" ht="14" outlineLevel="1">
      <c r="B1260" s="225"/>
      <c r="C1260" s="225"/>
      <c r="D1260" s="225"/>
      <c r="E1260" s="232"/>
      <c r="F1260" s="9"/>
      <c r="G1260" s="152" t="s">
        <v>1101</v>
      </c>
      <c r="H1260" s="151" t="s">
        <v>1874</v>
      </c>
      <c r="I1260" s="32" t="s">
        <v>349</v>
      </c>
      <c r="J1260" s="8" t="s">
        <v>332</v>
      </c>
      <c r="K1260" s="32" t="s">
        <v>349</v>
      </c>
      <c r="L1260" s="53">
        <v>45281</v>
      </c>
      <c r="M1260" s="8" t="s">
        <v>349</v>
      </c>
      <c r="N1260" s="8" t="s">
        <v>4186</v>
      </c>
      <c r="O1260" s="8" t="s">
        <v>326</v>
      </c>
      <c r="P1260" s="8"/>
      <c r="Q1260" s="8"/>
      <c r="R1260" s="10"/>
      <c r="S1260" s="10"/>
    </row>
    <row r="1261" spans="2:19" ht="14" outlineLevel="1">
      <c r="B1261" s="225"/>
      <c r="C1261" s="225"/>
      <c r="D1261" s="225"/>
      <c r="E1261" s="232"/>
      <c r="F1261" s="9"/>
      <c r="G1261" s="152" t="s">
        <v>1102</v>
      </c>
      <c r="H1261" s="151" t="s">
        <v>1875</v>
      </c>
      <c r="I1261" s="32" t="s">
        <v>349</v>
      </c>
      <c r="J1261" s="8" t="s">
        <v>332</v>
      </c>
      <c r="K1261" s="32" t="s">
        <v>349</v>
      </c>
      <c r="L1261" s="53">
        <v>45281</v>
      </c>
      <c r="M1261" s="8" t="s">
        <v>349</v>
      </c>
      <c r="N1261" s="8" t="s">
        <v>4186</v>
      </c>
      <c r="O1261" s="8" t="s">
        <v>326</v>
      </c>
      <c r="P1261" s="8"/>
      <c r="Q1261" s="8"/>
      <c r="R1261" s="10"/>
      <c r="S1261" s="10"/>
    </row>
    <row r="1262" spans="2:19" ht="14" outlineLevel="1">
      <c r="B1262" s="225"/>
      <c r="C1262" s="225"/>
      <c r="D1262" s="225"/>
      <c r="E1262" s="232"/>
      <c r="F1262" s="9"/>
      <c r="G1262" s="152" t="s">
        <v>1103</v>
      </c>
      <c r="H1262" s="151" t="s">
        <v>1876</v>
      </c>
      <c r="I1262" s="32" t="s">
        <v>349</v>
      </c>
      <c r="J1262" s="8" t="s">
        <v>332</v>
      </c>
      <c r="K1262" s="32" t="s">
        <v>349</v>
      </c>
      <c r="L1262" s="53">
        <v>45281</v>
      </c>
      <c r="M1262" s="8" t="s">
        <v>349</v>
      </c>
      <c r="N1262" s="8" t="s">
        <v>4186</v>
      </c>
      <c r="O1262" s="8" t="s">
        <v>326</v>
      </c>
      <c r="P1262" s="8"/>
      <c r="Q1262" s="8"/>
      <c r="R1262" s="10"/>
      <c r="S1262" s="10"/>
    </row>
    <row r="1263" spans="2:19" ht="14" outlineLevel="1">
      <c r="B1263" s="225"/>
      <c r="C1263" s="225"/>
      <c r="D1263" s="225"/>
      <c r="E1263" s="232"/>
      <c r="F1263" s="9"/>
      <c r="G1263" s="152" t="s">
        <v>1104</v>
      </c>
      <c r="H1263" s="151" t="s">
        <v>1877</v>
      </c>
      <c r="I1263" s="32" t="s">
        <v>349</v>
      </c>
      <c r="J1263" s="8" t="s">
        <v>332</v>
      </c>
      <c r="K1263" s="32" t="s">
        <v>349</v>
      </c>
      <c r="L1263" s="53">
        <v>45281</v>
      </c>
      <c r="M1263" s="8" t="s">
        <v>349</v>
      </c>
      <c r="N1263" s="8" t="s">
        <v>4186</v>
      </c>
      <c r="O1263" s="8" t="s">
        <v>326</v>
      </c>
      <c r="P1263" s="8"/>
      <c r="Q1263" s="8"/>
      <c r="R1263" s="10"/>
      <c r="S1263" s="10"/>
    </row>
    <row r="1264" spans="2:19" ht="14" outlineLevel="1">
      <c r="B1264" s="225"/>
      <c r="C1264" s="225"/>
      <c r="D1264" s="225"/>
      <c r="E1264" s="232"/>
      <c r="F1264" s="9"/>
      <c r="G1264" s="152" t="s">
        <v>1105</v>
      </c>
      <c r="H1264" s="151" t="s">
        <v>1938</v>
      </c>
      <c r="I1264" s="32" t="s">
        <v>349</v>
      </c>
      <c r="J1264" s="8" t="s">
        <v>332</v>
      </c>
      <c r="K1264" s="32" t="s">
        <v>349</v>
      </c>
      <c r="L1264" s="53">
        <v>45281</v>
      </c>
      <c r="M1264" s="8" t="s">
        <v>349</v>
      </c>
      <c r="N1264" s="8" t="s">
        <v>4186</v>
      </c>
      <c r="O1264" s="8" t="s">
        <v>326</v>
      </c>
      <c r="P1264" s="8"/>
      <c r="Q1264" s="8"/>
      <c r="R1264" s="10"/>
      <c r="S1264" s="10"/>
    </row>
    <row r="1265" spans="2:19" ht="14" outlineLevel="1">
      <c r="B1265" s="225"/>
      <c r="C1265" s="225"/>
      <c r="D1265" s="225"/>
      <c r="E1265" s="232"/>
      <c r="F1265" s="9"/>
      <c r="G1265" s="152" t="s">
        <v>1106</v>
      </c>
      <c r="H1265" s="151" t="s">
        <v>1939</v>
      </c>
      <c r="I1265" s="32" t="s">
        <v>349</v>
      </c>
      <c r="J1265" s="8" t="s">
        <v>332</v>
      </c>
      <c r="K1265" s="32" t="s">
        <v>349</v>
      </c>
      <c r="L1265" s="53">
        <v>45281</v>
      </c>
      <c r="M1265" s="8" t="s">
        <v>349</v>
      </c>
      <c r="N1265" s="8" t="s">
        <v>4186</v>
      </c>
      <c r="O1265" s="8" t="s">
        <v>326</v>
      </c>
      <c r="P1265" s="8"/>
      <c r="Q1265" s="8"/>
      <c r="R1265" s="10"/>
      <c r="S1265" s="10"/>
    </row>
    <row r="1266" spans="2:19" ht="14" outlineLevel="1">
      <c r="B1266" s="225"/>
      <c r="C1266" s="225"/>
      <c r="D1266" s="225"/>
      <c r="E1266" s="232"/>
      <c r="F1266" s="9"/>
      <c r="G1266" s="152" t="s">
        <v>1107</v>
      </c>
      <c r="H1266" s="151" t="s">
        <v>1940</v>
      </c>
      <c r="I1266" s="32" t="s">
        <v>349</v>
      </c>
      <c r="J1266" s="8" t="s">
        <v>332</v>
      </c>
      <c r="K1266" s="32" t="s">
        <v>349</v>
      </c>
      <c r="L1266" s="53">
        <v>45331</v>
      </c>
      <c r="M1266" s="8" t="s">
        <v>349</v>
      </c>
      <c r="N1266" s="8" t="s">
        <v>4248</v>
      </c>
      <c r="O1266" s="8" t="s">
        <v>326</v>
      </c>
      <c r="P1266" s="8"/>
      <c r="Q1266" s="8"/>
      <c r="R1266" s="10"/>
      <c r="S1266" s="10"/>
    </row>
    <row r="1267" spans="2:19" ht="14" outlineLevel="1">
      <c r="B1267" s="225"/>
      <c r="C1267" s="225"/>
      <c r="D1267" s="225"/>
      <c r="E1267" s="232"/>
      <c r="F1267" s="9"/>
      <c r="G1267" s="152" t="s">
        <v>1965</v>
      </c>
      <c r="H1267" s="151" t="s">
        <v>2147</v>
      </c>
      <c r="I1267" s="32" t="s">
        <v>349</v>
      </c>
      <c r="J1267" s="8" t="s">
        <v>332</v>
      </c>
      <c r="K1267" s="32" t="s">
        <v>349</v>
      </c>
      <c r="L1267" s="53">
        <v>45271</v>
      </c>
      <c r="M1267" s="8" t="s">
        <v>349</v>
      </c>
      <c r="N1267" s="8" t="s">
        <v>4163</v>
      </c>
      <c r="O1267" s="8" t="s">
        <v>326</v>
      </c>
      <c r="P1267" s="8"/>
      <c r="Q1267" s="8"/>
      <c r="R1267" s="10"/>
      <c r="S1267" s="10"/>
    </row>
    <row r="1268" spans="2:19" ht="14" outlineLevel="1">
      <c r="B1268" s="225"/>
      <c r="C1268" s="225"/>
      <c r="D1268" s="225"/>
      <c r="E1268" s="232"/>
      <c r="F1268" s="9"/>
      <c r="G1268" s="152" t="s">
        <v>1966</v>
      </c>
      <c r="H1268" s="151" t="s">
        <v>1972</v>
      </c>
      <c r="I1268" s="32" t="s">
        <v>349</v>
      </c>
      <c r="J1268" s="8" t="s">
        <v>332</v>
      </c>
      <c r="K1268" s="32" t="s">
        <v>349</v>
      </c>
      <c r="L1268" s="53">
        <v>45271</v>
      </c>
      <c r="M1268" s="8" t="s">
        <v>349</v>
      </c>
      <c r="N1268" s="8" t="s">
        <v>4163</v>
      </c>
      <c r="O1268" s="8" t="s">
        <v>326</v>
      </c>
      <c r="P1268" s="8"/>
      <c r="Q1268" s="8"/>
      <c r="R1268" s="10"/>
      <c r="S1268" s="10"/>
    </row>
    <row r="1269" spans="2:19" ht="14" outlineLevel="1">
      <c r="B1269" s="225"/>
      <c r="C1269" s="225"/>
      <c r="D1269" s="225"/>
      <c r="E1269" s="232"/>
      <c r="F1269" s="9"/>
      <c r="G1269" s="152" t="s">
        <v>1967</v>
      </c>
      <c r="H1269" s="151" t="s">
        <v>2050</v>
      </c>
      <c r="I1269" s="32" t="s">
        <v>349</v>
      </c>
      <c r="J1269" s="8" t="s">
        <v>332</v>
      </c>
      <c r="K1269" s="32" t="s">
        <v>349</v>
      </c>
      <c r="L1269" s="53">
        <v>45271</v>
      </c>
      <c r="M1269" s="8" t="s">
        <v>349</v>
      </c>
      <c r="N1269" s="8" t="s">
        <v>4163</v>
      </c>
      <c r="O1269" s="8" t="s">
        <v>326</v>
      </c>
      <c r="P1269" s="8"/>
      <c r="Q1269" s="8"/>
      <c r="R1269" s="10"/>
      <c r="S1269" s="10"/>
    </row>
    <row r="1270" spans="2:19" ht="14" outlineLevel="1">
      <c r="B1270" s="225"/>
      <c r="C1270" s="225"/>
      <c r="D1270" s="225"/>
      <c r="E1270" s="232"/>
      <c r="F1270" s="9"/>
      <c r="G1270" s="152" t="s">
        <v>1968</v>
      </c>
      <c r="H1270" s="151" t="s">
        <v>2067</v>
      </c>
      <c r="I1270" s="32" t="s">
        <v>349</v>
      </c>
      <c r="J1270" s="8" t="s">
        <v>332</v>
      </c>
      <c r="K1270" s="32" t="s">
        <v>349</v>
      </c>
      <c r="L1270" s="53">
        <v>45271</v>
      </c>
      <c r="M1270" s="8" t="s">
        <v>349</v>
      </c>
      <c r="N1270" s="8" t="s">
        <v>4163</v>
      </c>
      <c r="O1270" s="8" t="s">
        <v>326</v>
      </c>
      <c r="P1270" s="8"/>
      <c r="Q1270" s="8"/>
      <c r="R1270" s="10"/>
      <c r="S1270" s="10"/>
    </row>
    <row r="1271" spans="2:19" ht="14" outlineLevel="1">
      <c r="B1271" s="225"/>
      <c r="C1271" s="225"/>
      <c r="D1271" s="225"/>
      <c r="E1271" s="232"/>
      <c r="F1271" s="9"/>
      <c r="G1271" s="152" t="s">
        <v>1969</v>
      </c>
      <c r="H1271" s="151" t="s">
        <v>2148</v>
      </c>
      <c r="I1271" s="32" t="s">
        <v>349</v>
      </c>
      <c r="J1271" s="8" t="s">
        <v>332</v>
      </c>
      <c r="K1271" s="32" t="s">
        <v>349</v>
      </c>
      <c r="L1271" s="53">
        <v>45331</v>
      </c>
      <c r="M1271" s="8" t="s">
        <v>349</v>
      </c>
      <c r="N1271" s="8" t="s">
        <v>4248</v>
      </c>
      <c r="O1271" s="8" t="s">
        <v>326</v>
      </c>
      <c r="P1271" s="8"/>
      <c r="Q1271" s="8"/>
      <c r="R1271" s="10"/>
      <c r="S1271" s="10"/>
    </row>
    <row r="1272" spans="2:19" ht="14" outlineLevel="1">
      <c r="B1272" s="225"/>
      <c r="C1272" s="225"/>
      <c r="D1272" s="225"/>
      <c r="E1272" s="232"/>
      <c r="F1272" s="9"/>
      <c r="G1272" s="152" t="s">
        <v>1970</v>
      </c>
      <c r="H1272" s="151" t="s">
        <v>2031</v>
      </c>
      <c r="I1272" s="32" t="s">
        <v>349</v>
      </c>
      <c r="J1272" s="8" t="s">
        <v>332</v>
      </c>
      <c r="K1272" s="32" t="s">
        <v>349</v>
      </c>
      <c r="L1272" s="53">
        <v>45331</v>
      </c>
      <c r="M1272" s="8" t="s">
        <v>349</v>
      </c>
      <c r="N1272" s="8" t="s">
        <v>4248</v>
      </c>
      <c r="O1272" s="8" t="s">
        <v>326</v>
      </c>
      <c r="P1272" s="8"/>
      <c r="Q1272" s="8"/>
      <c r="R1272" s="10"/>
      <c r="S1272" s="10"/>
    </row>
    <row r="1273" spans="2:19" ht="14" outlineLevel="1">
      <c r="B1273" s="225"/>
      <c r="C1273" s="225"/>
      <c r="D1273" s="225"/>
      <c r="E1273" s="232"/>
      <c r="F1273" s="9"/>
      <c r="G1273" s="152" t="s">
        <v>1971</v>
      </c>
      <c r="H1273" s="151" t="s">
        <v>2049</v>
      </c>
      <c r="I1273" s="32" t="s">
        <v>349</v>
      </c>
      <c r="J1273" s="8" t="s">
        <v>332</v>
      </c>
      <c r="K1273" s="32" t="s">
        <v>349</v>
      </c>
      <c r="L1273" s="53">
        <v>45331</v>
      </c>
      <c r="M1273" s="8" t="s">
        <v>349</v>
      </c>
      <c r="N1273" s="8" t="s">
        <v>4248</v>
      </c>
      <c r="O1273" s="8" t="s">
        <v>326</v>
      </c>
      <c r="P1273" s="8"/>
      <c r="Q1273" s="8"/>
      <c r="R1273" s="10"/>
      <c r="S1273" s="10"/>
    </row>
    <row r="1274" spans="2:19" ht="14" outlineLevel="1">
      <c r="B1274" s="225"/>
      <c r="C1274" s="225"/>
      <c r="D1274" s="225"/>
      <c r="E1274" s="232"/>
      <c r="F1274" s="9"/>
      <c r="G1274" s="152" t="s">
        <v>3526</v>
      </c>
      <c r="H1274" s="151" t="s">
        <v>4247</v>
      </c>
      <c r="I1274" s="32" t="s">
        <v>349</v>
      </c>
      <c r="J1274" s="8" t="s">
        <v>332</v>
      </c>
      <c r="K1274" s="32" t="s">
        <v>349</v>
      </c>
      <c r="L1274" s="53">
        <v>45331</v>
      </c>
      <c r="M1274" s="8" t="s">
        <v>349</v>
      </c>
      <c r="N1274" s="8" t="s">
        <v>4248</v>
      </c>
      <c r="O1274" s="8" t="s">
        <v>326</v>
      </c>
      <c r="P1274" s="8"/>
      <c r="Q1274" s="8"/>
      <c r="R1274" s="10"/>
      <c r="S1274" s="10"/>
    </row>
    <row r="1275" spans="2:19" outlineLevel="1">
      <c r="B1275" s="225"/>
      <c r="C1275" s="225"/>
      <c r="D1275" s="225"/>
      <c r="E1275" s="232"/>
      <c r="F1275" s="9"/>
      <c r="G1275" s="9"/>
      <c r="H1275" s="33"/>
      <c r="I1275" s="32"/>
      <c r="J1275" s="8"/>
      <c r="K1275" s="8"/>
      <c r="L1275" s="8"/>
      <c r="M1275" s="8"/>
      <c r="N1275" s="8"/>
      <c r="O1275" s="8"/>
      <c r="P1275" s="8"/>
      <c r="Q1275" s="8"/>
      <c r="R1275" s="10"/>
      <c r="S1275" s="10"/>
    </row>
    <row r="1276" spans="2:19" ht="14" outlineLevel="1">
      <c r="B1276" s="225"/>
      <c r="C1276" s="225"/>
      <c r="D1276" s="225"/>
      <c r="E1276" s="232"/>
      <c r="F1276" s="9" t="s">
        <v>129</v>
      </c>
      <c r="G1276" s="9"/>
      <c r="H1276" s="4" t="s">
        <v>211</v>
      </c>
      <c r="I1276" s="32"/>
      <c r="J1276" s="8" t="s">
        <v>333</v>
      </c>
      <c r="K1276" s="8"/>
      <c r="L1276" s="8"/>
      <c r="M1276" s="8"/>
      <c r="N1276" s="8"/>
      <c r="O1276" s="8"/>
      <c r="P1276" s="8"/>
      <c r="Q1276" s="8"/>
      <c r="R1276" s="10"/>
      <c r="S1276" s="10"/>
    </row>
    <row r="1277" spans="2:19" ht="14" outlineLevel="1">
      <c r="B1277" s="225"/>
      <c r="C1277" s="225"/>
      <c r="D1277" s="225"/>
      <c r="E1277" s="232"/>
      <c r="F1277" s="9" t="s">
        <v>134</v>
      </c>
      <c r="G1277" s="9"/>
      <c r="H1277" s="65" t="s">
        <v>1384</v>
      </c>
      <c r="I1277" s="32"/>
      <c r="J1277" s="8"/>
      <c r="K1277" s="55"/>
      <c r="L1277" s="68"/>
      <c r="M1277" s="8"/>
      <c r="N1277" s="8"/>
      <c r="O1277" s="8"/>
      <c r="P1277" s="8"/>
      <c r="Q1277" s="8"/>
      <c r="R1277" s="10"/>
      <c r="S1277" s="10"/>
    </row>
    <row r="1278" spans="2:19" ht="14" outlineLevel="1">
      <c r="B1278" s="225"/>
      <c r="C1278" s="225"/>
      <c r="D1278" s="225"/>
      <c r="E1278" s="232"/>
      <c r="F1278" s="9"/>
      <c r="G1278" s="9"/>
      <c r="H1278" s="147" t="s">
        <v>2173</v>
      </c>
      <c r="I1278" s="32" t="s">
        <v>349</v>
      </c>
      <c r="J1278" s="8" t="s">
        <v>333</v>
      </c>
      <c r="K1278" s="55" t="s">
        <v>349</v>
      </c>
      <c r="L1278" s="53">
        <v>44369</v>
      </c>
      <c r="M1278" s="8" t="s">
        <v>1805</v>
      </c>
      <c r="N1278" s="8" t="s">
        <v>1806</v>
      </c>
      <c r="O1278" s="8" t="s">
        <v>326</v>
      </c>
      <c r="P1278" s="8"/>
      <c r="Q1278" s="8"/>
      <c r="R1278" s="10"/>
      <c r="S1278" s="10"/>
    </row>
    <row r="1279" spans="2:19" ht="14" outlineLevel="1">
      <c r="B1279" s="225"/>
      <c r="C1279" s="225"/>
      <c r="D1279" s="225"/>
      <c r="E1279" s="232"/>
      <c r="F1279" s="9"/>
      <c r="G1279" s="9"/>
      <c r="H1279" s="147" t="s">
        <v>3124</v>
      </c>
      <c r="I1279" s="32" t="s">
        <v>349</v>
      </c>
      <c r="J1279" s="8" t="s">
        <v>333</v>
      </c>
      <c r="K1279" s="55" t="s">
        <v>349</v>
      </c>
      <c r="L1279" s="53">
        <v>44769</v>
      </c>
      <c r="M1279" s="8" t="s">
        <v>3125</v>
      </c>
      <c r="N1279" s="8" t="s">
        <v>3126</v>
      </c>
      <c r="O1279" s="8" t="s">
        <v>326</v>
      </c>
      <c r="P1279" s="8"/>
      <c r="Q1279" s="8"/>
      <c r="R1279" s="10"/>
      <c r="S1279" s="10"/>
    </row>
    <row r="1280" spans="2:19" outlineLevel="1">
      <c r="B1280" s="225"/>
      <c r="C1280" s="225"/>
      <c r="D1280" s="225"/>
      <c r="E1280" s="232"/>
      <c r="F1280" s="9"/>
      <c r="G1280" s="9"/>
      <c r="H1280" s="147" t="s">
        <v>2618</v>
      </c>
      <c r="I1280" s="32"/>
      <c r="J1280" s="8"/>
      <c r="K1280" s="55"/>
      <c r="L1280" s="68"/>
      <c r="M1280" s="8"/>
      <c r="N1280" s="8"/>
      <c r="O1280" s="8"/>
      <c r="P1280" s="8"/>
      <c r="Q1280" s="8"/>
      <c r="R1280" s="10"/>
      <c r="S1280" s="10"/>
    </row>
    <row r="1281" spans="2:19" ht="14" outlineLevel="1">
      <c r="B1281" s="225"/>
      <c r="C1281" s="225"/>
      <c r="D1281" s="225"/>
      <c r="E1281" s="232"/>
      <c r="F1281" s="9"/>
      <c r="G1281" s="9"/>
      <c r="H1281" s="151" t="s">
        <v>1815</v>
      </c>
      <c r="I1281" s="32" t="s">
        <v>349</v>
      </c>
      <c r="J1281" s="8" t="s">
        <v>333</v>
      </c>
      <c r="K1281" s="55" t="s">
        <v>349</v>
      </c>
      <c r="L1281" s="53">
        <v>44438</v>
      </c>
      <c r="M1281" s="32" t="s">
        <v>2211</v>
      </c>
      <c r="N1281" s="8" t="s">
        <v>2207</v>
      </c>
      <c r="O1281" s="8" t="s">
        <v>326</v>
      </c>
      <c r="P1281" s="8"/>
      <c r="Q1281" s="8"/>
      <c r="R1281" s="10"/>
      <c r="S1281" s="10"/>
    </row>
    <row r="1282" spans="2:19" ht="14" outlineLevel="1">
      <c r="B1282" s="225"/>
      <c r="C1282" s="225"/>
      <c r="D1282" s="225"/>
      <c r="E1282" s="232"/>
      <c r="F1282" s="9"/>
      <c r="G1282" s="9"/>
      <c r="H1282" s="151" t="s">
        <v>1816</v>
      </c>
      <c r="I1282" s="32" t="s">
        <v>349</v>
      </c>
      <c r="J1282" s="8" t="s">
        <v>333</v>
      </c>
      <c r="K1282" s="55" t="s">
        <v>349</v>
      </c>
      <c r="L1282" s="53">
        <v>44438</v>
      </c>
      <c r="M1282" s="32" t="s">
        <v>2212</v>
      </c>
      <c r="N1282" s="8" t="s">
        <v>2207</v>
      </c>
      <c r="O1282" s="8" t="s">
        <v>326</v>
      </c>
      <c r="P1282" s="8"/>
      <c r="Q1282" s="8"/>
      <c r="R1282" s="10"/>
      <c r="S1282" s="10"/>
    </row>
    <row r="1283" spans="2:19" ht="14" outlineLevel="1">
      <c r="B1283" s="225"/>
      <c r="C1283" s="225"/>
      <c r="D1283" s="225"/>
      <c r="E1283" s="232"/>
      <c r="F1283" s="9"/>
      <c r="G1283" s="9"/>
      <c r="H1283" s="151" t="s">
        <v>2225</v>
      </c>
      <c r="I1283" s="32" t="s">
        <v>349</v>
      </c>
      <c r="J1283" s="8" t="s">
        <v>333</v>
      </c>
      <c r="K1283" s="55" t="s">
        <v>349</v>
      </c>
      <c r="L1283" s="53">
        <v>44438</v>
      </c>
      <c r="M1283" s="32" t="s">
        <v>2215</v>
      </c>
      <c r="N1283" s="8" t="s">
        <v>2207</v>
      </c>
      <c r="O1283" s="8" t="s">
        <v>326</v>
      </c>
      <c r="P1283" s="8"/>
      <c r="Q1283" s="8"/>
      <c r="R1283" s="10"/>
      <c r="S1283" s="10"/>
    </row>
    <row r="1284" spans="2:19" ht="14" outlineLevel="1">
      <c r="B1284" s="225"/>
      <c r="C1284" s="225"/>
      <c r="D1284" s="225"/>
      <c r="E1284" s="232"/>
      <c r="F1284" s="9"/>
      <c r="G1284" s="9"/>
      <c r="H1284" s="151" t="s">
        <v>2226</v>
      </c>
      <c r="I1284" s="32" t="s">
        <v>349</v>
      </c>
      <c r="J1284" s="8" t="s">
        <v>333</v>
      </c>
      <c r="K1284" s="55" t="s">
        <v>349</v>
      </c>
      <c r="L1284" s="53">
        <v>44438</v>
      </c>
      <c r="M1284" s="32" t="s">
        <v>2216</v>
      </c>
      <c r="N1284" s="8" t="s">
        <v>2207</v>
      </c>
      <c r="O1284" s="8" t="s">
        <v>326</v>
      </c>
      <c r="P1284" s="8"/>
      <c r="Q1284" s="8"/>
      <c r="R1284" s="10"/>
      <c r="S1284" s="10"/>
    </row>
    <row r="1285" spans="2:19" ht="14" outlineLevel="1">
      <c r="B1285" s="225"/>
      <c r="C1285" s="225"/>
      <c r="D1285" s="225"/>
      <c r="E1285" s="232"/>
      <c r="F1285" s="9"/>
      <c r="G1285" s="9"/>
      <c r="H1285" s="151" t="s">
        <v>1938</v>
      </c>
      <c r="I1285" s="32" t="s">
        <v>349</v>
      </c>
      <c r="J1285" s="8" t="s">
        <v>333</v>
      </c>
      <c r="K1285" s="55" t="s">
        <v>349</v>
      </c>
      <c r="L1285" s="53">
        <v>44438</v>
      </c>
      <c r="M1285" s="32" t="s">
        <v>2218</v>
      </c>
      <c r="N1285" s="8" t="s">
        <v>2207</v>
      </c>
      <c r="O1285" s="8" t="s">
        <v>326</v>
      </c>
      <c r="P1285" s="8"/>
      <c r="Q1285" s="8"/>
      <c r="R1285" s="10"/>
      <c r="S1285" s="10"/>
    </row>
    <row r="1286" spans="2:19" ht="14" outlineLevel="1">
      <c r="B1286" s="225"/>
      <c r="C1286" s="225"/>
      <c r="D1286" s="225"/>
      <c r="E1286" s="232"/>
      <c r="F1286" s="9"/>
      <c r="G1286" s="9"/>
      <c r="H1286" s="151" t="s">
        <v>1939</v>
      </c>
      <c r="I1286" s="32" t="s">
        <v>349</v>
      </c>
      <c r="J1286" s="8" t="s">
        <v>333</v>
      </c>
      <c r="K1286" s="55" t="s">
        <v>349</v>
      </c>
      <c r="L1286" s="53">
        <v>44438</v>
      </c>
      <c r="M1286" s="32" t="s">
        <v>2219</v>
      </c>
      <c r="N1286" s="8" t="s">
        <v>2207</v>
      </c>
      <c r="O1286" s="8" t="s">
        <v>326</v>
      </c>
      <c r="P1286" s="8"/>
      <c r="Q1286" s="8"/>
      <c r="R1286" s="10"/>
      <c r="S1286" s="10"/>
    </row>
    <row r="1287" spans="2:19" outlineLevel="1">
      <c r="B1287" s="225"/>
      <c r="C1287" s="225"/>
      <c r="D1287" s="225"/>
      <c r="E1287" s="232"/>
      <c r="F1287" s="9"/>
      <c r="G1287" s="9"/>
      <c r="H1287" s="147" t="s">
        <v>2619</v>
      </c>
      <c r="I1287" s="32"/>
      <c r="J1287" s="8"/>
      <c r="K1287" s="55"/>
      <c r="L1287" s="53"/>
      <c r="M1287" s="32"/>
      <c r="N1287" s="8"/>
      <c r="O1287" s="8"/>
      <c r="P1287" s="8"/>
      <c r="Q1287" s="8"/>
      <c r="R1287" s="10"/>
      <c r="S1287" s="10"/>
    </row>
    <row r="1288" spans="2:19" ht="14" outlineLevel="1">
      <c r="B1288" s="225"/>
      <c r="C1288" s="225"/>
      <c r="D1288" s="225"/>
      <c r="E1288" s="232"/>
      <c r="F1288" s="9"/>
      <c r="G1288" s="9"/>
      <c r="H1288" s="151" t="s">
        <v>1815</v>
      </c>
      <c r="I1288" s="32" t="s">
        <v>349</v>
      </c>
      <c r="J1288" s="8" t="s">
        <v>333</v>
      </c>
      <c r="K1288" s="55" t="s">
        <v>349</v>
      </c>
      <c r="L1288" s="53">
        <v>44631</v>
      </c>
      <c r="M1288" s="32" t="s">
        <v>2754</v>
      </c>
      <c r="N1288" s="8" t="s">
        <v>2750</v>
      </c>
      <c r="O1288" s="8" t="s">
        <v>326</v>
      </c>
      <c r="P1288" s="8"/>
      <c r="Q1288" s="8"/>
      <c r="R1288" s="10"/>
      <c r="S1288" s="10"/>
    </row>
    <row r="1289" spans="2:19" ht="14" outlineLevel="1">
      <c r="B1289" s="225"/>
      <c r="C1289" s="225"/>
      <c r="D1289" s="225"/>
      <c r="E1289" s="232"/>
      <c r="F1289" s="9"/>
      <c r="G1289" s="9"/>
      <c r="H1289" s="151" t="s">
        <v>1816</v>
      </c>
      <c r="I1289" s="32" t="s">
        <v>349</v>
      </c>
      <c r="J1289" s="8" t="s">
        <v>333</v>
      </c>
      <c r="K1289" s="55" t="s">
        <v>349</v>
      </c>
      <c r="L1289" s="53">
        <v>44631</v>
      </c>
      <c r="M1289" s="32" t="s">
        <v>2753</v>
      </c>
      <c r="N1289" s="8" t="s">
        <v>2750</v>
      </c>
      <c r="O1289" s="8" t="s">
        <v>326</v>
      </c>
      <c r="P1289" s="8"/>
      <c r="Q1289" s="8"/>
      <c r="R1289" s="10"/>
      <c r="S1289" s="10"/>
    </row>
    <row r="1290" spans="2:19" ht="14" outlineLevel="1">
      <c r="B1290" s="225"/>
      <c r="C1290" s="225"/>
      <c r="D1290" s="225"/>
      <c r="E1290" s="232"/>
      <c r="F1290" s="9"/>
      <c r="G1290" s="9"/>
      <c r="H1290" s="151" t="s">
        <v>2225</v>
      </c>
      <c r="I1290" s="32" t="s">
        <v>349</v>
      </c>
      <c r="J1290" s="8" t="s">
        <v>333</v>
      </c>
      <c r="K1290" s="55" t="s">
        <v>349</v>
      </c>
      <c r="L1290" s="53">
        <v>44631</v>
      </c>
      <c r="M1290" s="32" t="s">
        <v>2752</v>
      </c>
      <c r="N1290" s="8" t="s">
        <v>2750</v>
      </c>
      <c r="O1290" s="8" t="s">
        <v>326</v>
      </c>
      <c r="P1290" s="8"/>
      <c r="Q1290" s="8"/>
      <c r="R1290" s="10"/>
      <c r="S1290" s="10"/>
    </row>
    <row r="1291" spans="2:19" ht="14" outlineLevel="1">
      <c r="B1291" s="225"/>
      <c r="C1291" s="225"/>
      <c r="D1291" s="225"/>
      <c r="E1291" s="232"/>
      <c r="F1291" s="9"/>
      <c r="G1291" s="9"/>
      <c r="H1291" s="151" t="s">
        <v>2226</v>
      </c>
      <c r="I1291" s="32" t="s">
        <v>349</v>
      </c>
      <c r="J1291" s="8" t="s">
        <v>333</v>
      </c>
      <c r="K1291" s="55" t="s">
        <v>349</v>
      </c>
      <c r="L1291" s="53">
        <v>44631</v>
      </c>
      <c r="M1291" s="32" t="s">
        <v>2751</v>
      </c>
      <c r="N1291" s="8" t="s">
        <v>2750</v>
      </c>
      <c r="O1291" s="8" t="s">
        <v>326</v>
      </c>
      <c r="P1291" s="8"/>
      <c r="Q1291" s="8"/>
      <c r="R1291" s="10"/>
      <c r="S1291" s="10"/>
    </row>
    <row r="1292" spans="2:19" ht="14" outlineLevel="1">
      <c r="B1292" s="225"/>
      <c r="C1292" s="225"/>
      <c r="D1292" s="225"/>
      <c r="E1292" s="232"/>
      <c r="F1292" s="9"/>
      <c r="G1292" s="9"/>
      <c r="H1292" s="151" t="s">
        <v>1938</v>
      </c>
      <c r="I1292" s="32" t="s">
        <v>349</v>
      </c>
      <c r="J1292" s="8" t="s">
        <v>333</v>
      </c>
      <c r="K1292" s="55" t="s">
        <v>349</v>
      </c>
      <c r="L1292" s="53">
        <v>44677</v>
      </c>
      <c r="M1292" s="32" t="s">
        <v>2895</v>
      </c>
      <c r="N1292" s="8" t="s">
        <v>2894</v>
      </c>
      <c r="O1292" s="8" t="s">
        <v>326</v>
      </c>
      <c r="P1292" s="8"/>
      <c r="Q1292" s="8"/>
      <c r="R1292" s="10"/>
      <c r="S1292" s="10"/>
    </row>
    <row r="1293" spans="2:19" ht="14" outlineLevel="1">
      <c r="B1293" s="225"/>
      <c r="C1293" s="225"/>
      <c r="D1293" s="225"/>
      <c r="E1293" s="232"/>
      <c r="F1293" s="9"/>
      <c r="G1293" s="9"/>
      <c r="H1293" s="151" t="s">
        <v>1939</v>
      </c>
      <c r="I1293" s="32" t="s">
        <v>349</v>
      </c>
      <c r="J1293" s="8" t="s">
        <v>333</v>
      </c>
      <c r="K1293" s="55" t="s">
        <v>349</v>
      </c>
      <c r="L1293" s="53">
        <v>44677</v>
      </c>
      <c r="M1293" s="32" t="s">
        <v>2893</v>
      </c>
      <c r="N1293" s="8" t="s">
        <v>2894</v>
      </c>
      <c r="O1293" s="8" t="s">
        <v>326</v>
      </c>
      <c r="P1293" s="8"/>
      <c r="Q1293" s="8"/>
      <c r="R1293" s="10"/>
      <c r="S1293" s="10"/>
    </row>
    <row r="1294" spans="2:19" outlineLevel="1">
      <c r="B1294" s="225"/>
      <c r="C1294" s="225"/>
      <c r="D1294" s="225"/>
      <c r="E1294" s="232"/>
      <c r="F1294" s="9"/>
      <c r="G1294" s="9"/>
      <c r="H1294" s="147" t="s">
        <v>2622</v>
      </c>
      <c r="I1294" s="32"/>
      <c r="J1294" s="8"/>
      <c r="K1294" s="55"/>
      <c r="L1294" s="53"/>
      <c r="M1294" s="32"/>
      <c r="N1294" s="8"/>
      <c r="O1294" s="8"/>
      <c r="P1294" s="8"/>
      <c r="Q1294" s="8"/>
      <c r="R1294" s="10"/>
      <c r="S1294" s="10"/>
    </row>
    <row r="1295" spans="2:19" ht="14" outlineLevel="1">
      <c r="B1295" s="225"/>
      <c r="C1295" s="225"/>
      <c r="D1295" s="225"/>
      <c r="E1295" s="232"/>
      <c r="F1295" s="9"/>
      <c r="G1295" s="9"/>
      <c r="H1295" s="151" t="s">
        <v>1815</v>
      </c>
      <c r="I1295" s="55" t="s">
        <v>349</v>
      </c>
      <c r="J1295" s="8" t="s">
        <v>333</v>
      </c>
      <c r="K1295" s="55" t="s">
        <v>349</v>
      </c>
      <c r="L1295" s="53">
        <v>44952</v>
      </c>
      <c r="M1295" s="71" t="s">
        <v>3429</v>
      </c>
      <c r="N1295" s="8" t="s">
        <v>3451</v>
      </c>
      <c r="O1295" s="12" t="s">
        <v>326</v>
      </c>
      <c r="P1295" s="8"/>
      <c r="Q1295" s="8"/>
      <c r="R1295" s="10"/>
      <c r="S1295" s="10"/>
    </row>
    <row r="1296" spans="2:19" ht="14" outlineLevel="1">
      <c r="B1296" s="225"/>
      <c r="C1296" s="225"/>
      <c r="D1296" s="225"/>
      <c r="E1296" s="232"/>
      <c r="F1296" s="9"/>
      <c r="G1296" s="9"/>
      <c r="H1296" s="151" t="s">
        <v>1816</v>
      </c>
      <c r="I1296" s="32" t="s">
        <v>349</v>
      </c>
      <c r="J1296" s="8" t="s">
        <v>333</v>
      </c>
      <c r="K1296" s="55" t="s">
        <v>349</v>
      </c>
      <c r="L1296" s="53">
        <v>44952</v>
      </c>
      <c r="M1296" s="32" t="s">
        <v>3441</v>
      </c>
      <c r="N1296" s="8" t="s">
        <v>3451</v>
      </c>
      <c r="O1296" s="12" t="s">
        <v>326</v>
      </c>
      <c r="P1296" s="8"/>
      <c r="Q1296" s="8"/>
      <c r="R1296" s="10"/>
      <c r="S1296" s="10"/>
    </row>
    <row r="1297" spans="2:19" ht="14" outlineLevel="1">
      <c r="B1297" s="225"/>
      <c r="C1297" s="225"/>
      <c r="D1297" s="225"/>
      <c r="E1297" s="232"/>
      <c r="F1297" s="9"/>
      <c r="G1297" s="9"/>
      <c r="H1297" s="151" t="s">
        <v>2225</v>
      </c>
      <c r="I1297" s="32" t="s">
        <v>349</v>
      </c>
      <c r="J1297" s="8" t="s">
        <v>333</v>
      </c>
      <c r="K1297" s="55" t="s">
        <v>349</v>
      </c>
      <c r="L1297" s="53">
        <v>44952</v>
      </c>
      <c r="M1297" s="32" t="s">
        <v>3431</v>
      </c>
      <c r="N1297" s="8" t="s">
        <v>3451</v>
      </c>
      <c r="O1297" s="12" t="s">
        <v>326</v>
      </c>
      <c r="P1297" s="8"/>
      <c r="Q1297" s="8"/>
      <c r="R1297" s="10"/>
      <c r="S1297" s="10"/>
    </row>
    <row r="1298" spans="2:19" ht="14" outlineLevel="1">
      <c r="B1298" s="225"/>
      <c r="C1298" s="225"/>
      <c r="D1298" s="225"/>
      <c r="E1298" s="232"/>
      <c r="F1298" s="9"/>
      <c r="G1298" s="9"/>
      <c r="H1298" s="151" t="s">
        <v>2226</v>
      </c>
      <c r="I1298" s="32" t="s">
        <v>349</v>
      </c>
      <c r="J1298" s="8" t="s">
        <v>333</v>
      </c>
      <c r="K1298" s="55" t="s">
        <v>349</v>
      </c>
      <c r="L1298" s="53">
        <v>44952</v>
      </c>
      <c r="M1298" s="32" t="s">
        <v>3433</v>
      </c>
      <c r="N1298" s="8" t="s">
        <v>3451</v>
      </c>
      <c r="O1298" s="12" t="s">
        <v>326</v>
      </c>
      <c r="P1298" s="8"/>
      <c r="Q1298" s="8"/>
      <c r="R1298" s="10"/>
      <c r="S1298" s="10"/>
    </row>
    <row r="1299" spans="2:19" ht="14" outlineLevel="1">
      <c r="B1299" s="225"/>
      <c r="C1299" s="225"/>
      <c r="D1299" s="225"/>
      <c r="E1299" s="232"/>
      <c r="F1299" s="9"/>
      <c r="G1299" s="9"/>
      <c r="H1299" s="151" t="s">
        <v>1938</v>
      </c>
      <c r="I1299" s="32" t="s">
        <v>349</v>
      </c>
      <c r="J1299" s="8" t="s">
        <v>333</v>
      </c>
      <c r="K1299" s="55" t="s">
        <v>349</v>
      </c>
      <c r="L1299" s="53">
        <v>44952</v>
      </c>
      <c r="M1299" s="32" t="s">
        <v>3439</v>
      </c>
      <c r="N1299" s="8" t="s">
        <v>3451</v>
      </c>
      <c r="O1299" s="12" t="s">
        <v>326</v>
      </c>
      <c r="P1299" s="8"/>
      <c r="Q1299" s="8"/>
      <c r="R1299" s="10"/>
      <c r="S1299" s="10"/>
    </row>
    <row r="1300" spans="2:19" ht="14" outlineLevel="1">
      <c r="B1300" s="225"/>
      <c r="C1300" s="225"/>
      <c r="D1300" s="225"/>
      <c r="E1300" s="232"/>
      <c r="F1300" s="9"/>
      <c r="G1300" s="9"/>
      <c r="H1300" s="151" t="s">
        <v>1939</v>
      </c>
      <c r="I1300" s="32" t="s">
        <v>349</v>
      </c>
      <c r="J1300" s="8" t="s">
        <v>333</v>
      </c>
      <c r="K1300" s="55" t="s">
        <v>349</v>
      </c>
      <c r="L1300" s="53">
        <v>44952</v>
      </c>
      <c r="M1300" s="32" t="s">
        <v>3435</v>
      </c>
      <c r="N1300" s="8" t="s">
        <v>3451</v>
      </c>
      <c r="O1300" s="12" t="s">
        <v>326</v>
      </c>
      <c r="P1300" s="8"/>
      <c r="Q1300" s="8"/>
      <c r="R1300" s="10"/>
      <c r="S1300" s="10"/>
    </row>
    <row r="1301" spans="2:19" outlineLevel="1">
      <c r="B1301" s="225"/>
      <c r="C1301" s="225"/>
      <c r="D1301" s="225"/>
      <c r="E1301" s="232"/>
      <c r="F1301" s="9"/>
      <c r="G1301" s="9"/>
      <c r="H1301" s="147" t="s">
        <v>2623</v>
      </c>
      <c r="I1301" s="32"/>
      <c r="J1301" s="8"/>
      <c r="K1301" s="55"/>
      <c r="L1301" s="53"/>
      <c r="M1301" s="32"/>
      <c r="N1301" s="8"/>
      <c r="O1301" s="12"/>
      <c r="P1301" s="8"/>
      <c r="Q1301" s="8"/>
      <c r="R1301" s="10"/>
      <c r="S1301" s="10"/>
    </row>
    <row r="1302" spans="2:19" ht="14" outlineLevel="1">
      <c r="B1302" s="225"/>
      <c r="C1302" s="225"/>
      <c r="D1302" s="225"/>
      <c r="E1302" s="232"/>
      <c r="F1302" s="9"/>
      <c r="G1302" s="9"/>
      <c r="H1302" s="151" t="s">
        <v>1815</v>
      </c>
      <c r="I1302" s="55" t="s">
        <v>349</v>
      </c>
      <c r="J1302" s="8" t="s">
        <v>333</v>
      </c>
      <c r="K1302" s="55" t="s">
        <v>349</v>
      </c>
      <c r="L1302" s="53">
        <v>45051</v>
      </c>
      <c r="M1302" s="8" t="s">
        <v>3729</v>
      </c>
      <c r="N1302" s="8" t="s">
        <v>3741</v>
      </c>
      <c r="O1302" s="8" t="s">
        <v>326</v>
      </c>
      <c r="P1302" s="8"/>
      <c r="Q1302" s="8"/>
      <c r="R1302" s="10"/>
      <c r="S1302" s="10"/>
    </row>
    <row r="1303" spans="2:19" ht="14" outlineLevel="1">
      <c r="B1303" s="225"/>
      <c r="C1303" s="225"/>
      <c r="D1303" s="225"/>
      <c r="E1303" s="232"/>
      <c r="F1303" s="9"/>
      <c r="G1303" s="9"/>
      <c r="H1303" s="151" t="s">
        <v>1816</v>
      </c>
      <c r="I1303" s="32" t="s">
        <v>349</v>
      </c>
      <c r="J1303" s="8" t="s">
        <v>333</v>
      </c>
      <c r="K1303" s="55" t="s">
        <v>349</v>
      </c>
      <c r="L1303" s="53">
        <v>45016</v>
      </c>
      <c r="M1303" s="53" t="s">
        <v>3659</v>
      </c>
      <c r="N1303" s="8" t="s">
        <v>3656</v>
      </c>
      <c r="O1303" s="8" t="s">
        <v>326</v>
      </c>
      <c r="P1303" s="8"/>
      <c r="Q1303" s="8"/>
      <c r="R1303" s="10"/>
      <c r="S1303" s="10"/>
    </row>
    <row r="1304" spans="2:19" ht="14" outlineLevel="1">
      <c r="B1304" s="225"/>
      <c r="C1304" s="225"/>
      <c r="D1304" s="225"/>
      <c r="E1304" s="232"/>
      <c r="F1304" s="9"/>
      <c r="G1304" s="9"/>
      <c r="H1304" s="151" t="s">
        <v>2225</v>
      </c>
      <c r="I1304" s="32" t="s">
        <v>349</v>
      </c>
      <c r="J1304" s="8" t="s">
        <v>333</v>
      </c>
      <c r="K1304" s="55" t="s">
        <v>349</v>
      </c>
      <c r="L1304" s="53">
        <v>45016</v>
      </c>
      <c r="M1304" s="53" t="s">
        <v>3657</v>
      </c>
      <c r="N1304" s="8" t="s">
        <v>3656</v>
      </c>
      <c r="O1304" s="8" t="s">
        <v>326</v>
      </c>
      <c r="P1304" s="8"/>
      <c r="Q1304" s="8"/>
      <c r="R1304" s="10"/>
      <c r="S1304" s="10"/>
    </row>
    <row r="1305" spans="2:19" ht="14" outlineLevel="1">
      <c r="B1305" s="225"/>
      <c r="C1305" s="225"/>
      <c r="D1305" s="225"/>
      <c r="E1305" s="232"/>
      <c r="F1305" s="9"/>
      <c r="G1305" s="9"/>
      <c r="H1305" s="151" t="s">
        <v>2226</v>
      </c>
      <c r="I1305" s="32" t="s">
        <v>349</v>
      </c>
      <c r="J1305" s="8" t="s">
        <v>333</v>
      </c>
      <c r="K1305" s="55" t="s">
        <v>349</v>
      </c>
      <c r="L1305" s="53">
        <v>45016</v>
      </c>
      <c r="M1305" s="53" t="s">
        <v>3658</v>
      </c>
      <c r="N1305" s="8" t="s">
        <v>3656</v>
      </c>
      <c r="O1305" s="8" t="s">
        <v>326</v>
      </c>
      <c r="P1305" s="8"/>
      <c r="Q1305" s="8"/>
      <c r="R1305" s="10"/>
      <c r="S1305" s="10"/>
    </row>
    <row r="1306" spans="2:19" ht="14" outlineLevel="1">
      <c r="B1306" s="225"/>
      <c r="C1306" s="225"/>
      <c r="D1306" s="225"/>
      <c r="E1306" s="232"/>
      <c r="F1306" s="9"/>
      <c r="G1306" s="9"/>
      <c r="H1306" s="151" t="s">
        <v>1938</v>
      </c>
      <c r="I1306" s="32" t="s">
        <v>349</v>
      </c>
      <c r="J1306" s="8" t="s">
        <v>333</v>
      </c>
      <c r="K1306" s="55" t="s">
        <v>349</v>
      </c>
      <c r="L1306" s="53">
        <v>45016</v>
      </c>
      <c r="M1306" s="53" t="s">
        <v>3660</v>
      </c>
      <c r="N1306" s="8" t="s">
        <v>3656</v>
      </c>
      <c r="O1306" s="8" t="s">
        <v>326</v>
      </c>
      <c r="P1306" s="8"/>
      <c r="Q1306" s="8"/>
      <c r="R1306" s="10"/>
      <c r="S1306" s="10"/>
    </row>
    <row r="1307" spans="2:19" ht="14" outlineLevel="1">
      <c r="B1307" s="225"/>
      <c r="C1307" s="225"/>
      <c r="D1307" s="225"/>
      <c r="E1307" s="232"/>
      <c r="F1307" s="9"/>
      <c r="G1307" s="9"/>
      <c r="H1307" s="151" t="s">
        <v>1939</v>
      </c>
      <c r="I1307" s="32" t="s">
        <v>349</v>
      </c>
      <c r="J1307" s="8" t="s">
        <v>333</v>
      </c>
      <c r="K1307" s="55" t="s">
        <v>349</v>
      </c>
      <c r="L1307" s="53">
        <v>45016</v>
      </c>
      <c r="M1307" s="53" t="s">
        <v>3661</v>
      </c>
      <c r="N1307" s="8" t="s">
        <v>3656</v>
      </c>
      <c r="O1307" s="8" t="s">
        <v>326</v>
      </c>
      <c r="P1307" s="8"/>
      <c r="Q1307" s="8"/>
      <c r="R1307" s="10"/>
      <c r="S1307" s="10"/>
    </row>
    <row r="1308" spans="2:19" outlineLevel="1">
      <c r="B1308" s="225"/>
      <c r="C1308" s="225"/>
      <c r="D1308" s="225"/>
      <c r="E1308" s="232"/>
      <c r="F1308" s="9"/>
      <c r="G1308" s="9"/>
      <c r="H1308" s="147" t="s">
        <v>3123</v>
      </c>
      <c r="I1308" s="32"/>
      <c r="J1308" s="8"/>
      <c r="K1308" s="55"/>
      <c r="L1308" s="53"/>
      <c r="M1308" s="32"/>
      <c r="N1308" s="8"/>
      <c r="O1308" s="12"/>
      <c r="P1308" s="8"/>
      <c r="Q1308" s="8"/>
      <c r="R1308" s="10"/>
      <c r="S1308" s="10"/>
    </row>
    <row r="1309" spans="2:19" ht="14" outlineLevel="1">
      <c r="B1309" s="225"/>
      <c r="C1309" s="225"/>
      <c r="D1309" s="225"/>
      <c r="E1309" s="232"/>
      <c r="F1309" s="9"/>
      <c r="G1309" s="9"/>
      <c r="H1309" s="151" t="s">
        <v>1815</v>
      </c>
      <c r="I1309" s="32" t="s">
        <v>349</v>
      </c>
      <c r="J1309" s="8" t="s">
        <v>333</v>
      </c>
      <c r="K1309" s="55" t="s">
        <v>349</v>
      </c>
      <c r="L1309" s="53">
        <v>45293</v>
      </c>
      <c r="M1309" s="71" t="s">
        <v>4187</v>
      </c>
      <c r="N1309" s="8" t="s">
        <v>4203</v>
      </c>
      <c r="O1309" s="12" t="s">
        <v>326</v>
      </c>
      <c r="P1309" s="8"/>
      <c r="Q1309" s="8"/>
      <c r="R1309" s="10"/>
      <c r="S1309" s="10"/>
    </row>
    <row r="1310" spans="2:19" ht="14" outlineLevel="1">
      <c r="B1310" s="225"/>
      <c r="C1310" s="225"/>
      <c r="D1310" s="225"/>
      <c r="E1310" s="232"/>
      <c r="F1310" s="9"/>
      <c r="G1310" s="9"/>
      <c r="H1310" s="151" t="s">
        <v>1816</v>
      </c>
      <c r="I1310" s="32" t="s">
        <v>349</v>
      </c>
      <c r="J1310" s="8" t="s">
        <v>333</v>
      </c>
      <c r="K1310" s="55" t="s">
        <v>349</v>
      </c>
      <c r="L1310" s="53">
        <v>45293</v>
      </c>
      <c r="M1310" s="71" t="s">
        <v>4189</v>
      </c>
      <c r="N1310" s="8" t="s">
        <v>4203</v>
      </c>
      <c r="O1310" s="12" t="s">
        <v>326</v>
      </c>
      <c r="P1310" s="8"/>
      <c r="Q1310" s="8"/>
      <c r="R1310" s="10"/>
      <c r="S1310" s="10"/>
    </row>
    <row r="1311" spans="2:19" ht="14" outlineLevel="1">
      <c r="B1311" s="225"/>
      <c r="C1311" s="225"/>
      <c r="D1311" s="225"/>
      <c r="E1311" s="232"/>
      <c r="F1311" s="9"/>
      <c r="G1311" s="9"/>
      <c r="H1311" s="151" t="s">
        <v>2225</v>
      </c>
      <c r="I1311" s="32" t="s">
        <v>349</v>
      </c>
      <c r="J1311" s="8" t="s">
        <v>333</v>
      </c>
      <c r="K1311" s="55" t="s">
        <v>349</v>
      </c>
      <c r="L1311" s="53">
        <v>45293</v>
      </c>
      <c r="M1311" s="71" t="s">
        <v>4193</v>
      </c>
      <c r="N1311" s="8" t="s">
        <v>4203</v>
      </c>
      <c r="O1311" s="12" t="s">
        <v>326</v>
      </c>
      <c r="P1311" s="8"/>
      <c r="Q1311" s="8"/>
      <c r="R1311" s="10"/>
      <c r="S1311" s="10"/>
    </row>
    <row r="1312" spans="2:19" ht="14" outlineLevel="1">
      <c r="B1312" s="225"/>
      <c r="C1312" s="225"/>
      <c r="D1312" s="225"/>
      <c r="E1312" s="232"/>
      <c r="F1312" s="9"/>
      <c r="G1312" s="9"/>
      <c r="H1312" s="151" t="s">
        <v>2226</v>
      </c>
      <c r="I1312" s="32" t="s">
        <v>349</v>
      </c>
      <c r="J1312" s="8" t="s">
        <v>333</v>
      </c>
      <c r="K1312" s="55" t="s">
        <v>349</v>
      </c>
      <c r="L1312" s="53">
        <v>45293</v>
      </c>
      <c r="M1312" s="71" t="s">
        <v>4197</v>
      </c>
      <c r="N1312" s="8" t="s">
        <v>4203</v>
      </c>
      <c r="O1312" s="12" t="s">
        <v>326</v>
      </c>
      <c r="P1312" s="8"/>
      <c r="Q1312" s="8"/>
      <c r="R1312" s="10"/>
      <c r="S1312" s="10"/>
    </row>
    <row r="1313" spans="2:19" ht="14" outlineLevel="1">
      <c r="B1313" s="225"/>
      <c r="C1313" s="225"/>
      <c r="D1313" s="225"/>
      <c r="E1313" s="232"/>
      <c r="F1313" s="9"/>
      <c r="G1313" s="9"/>
      <c r="H1313" s="151" t="s">
        <v>1938</v>
      </c>
      <c r="I1313" s="32" t="s">
        <v>349</v>
      </c>
      <c r="J1313" s="8" t="s">
        <v>333</v>
      </c>
      <c r="K1313" s="55" t="s">
        <v>349</v>
      </c>
      <c r="L1313" s="53">
        <v>45293</v>
      </c>
      <c r="M1313" s="71" t="s">
        <v>4191</v>
      </c>
      <c r="N1313" s="8" t="s">
        <v>4203</v>
      </c>
      <c r="O1313" s="12" t="s">
        <v>326</v>
      </c>
      <c r="P1313" s="8"/>
      <c r="Q1313" s="8"/>
      <c r="R1313" s="10"/>
      <c r="S1313" s="10"/>
    </row>
    <row r="1314" spans="2:19" ht="14" outlineLevel="1">
      <c r="B1314" s="225"/>
      <c r="C1314" s="225"/>
      <c r="D1314" s="225"/>
      <c r="E1314" s="232"/>
      <c r="F1314" s="9"/>
      <c r="G1314" s="9"/>
      <c r="H1314" s="151" t="s">
        <v>1939</v>
      </c>
      <c r="I1314" s="32" t="s">
        <v>349</v>
      </c>
      <c r="J1314" s="8" t="s">
        <v>333</v>
      </c>
      <c r="K1314" s="55" t="s">
        <v>349</v>
      </c>
      <c r="L1314" s="53">
        <v>45293</v>
      </c>
      <c r="M1314" s="71" t="s">
        <v>4195</v>
      </c>
      <c r="N1314" s="8" t="s">
        <v>4203</v>
      </c>
      <c r="O1314" s="12" t="s">
        <v>326</v>
      </c>
      <c r="P1314" s="8"/>
      <c r="Q1314" s="8"/>
      <c r="R1314" s="10"/>
      <c r="S1314" s="10"/>
    </row>
    <row r="1315" spans="2:19" outlineLevel="1">
      <c r="B1315" s="225"/>
      <c r="C1315" s="225"/>
      <c r="D1315" s="225"/>
      <c r="E1315" s="232"/>
      <c r="F1315" s="9"/>
      <c r="G1315" s="9"/>
      <c r="H1315" s="151"/>
      <c r="I1315" s="32"/>
      <c r="J1315" s="8"/>
      <c r="K1315" s="55"/>
      <c r="L1315" s="53"/>
      <c r="M1315" s="32"/>
      <c r="N1315" s="8"/>
      <c r="O1315" s="12"/>
      <c r="P1315" s="8"/>
      <c r="Q1315" s="8"/>
      <c r="R1315" s="10"/>
      <c r="S1315" s="10"/>
    </row>
    <row r="1316" spans="2:19" ht="14" outlineLevel="1">
      <c r="B1316" s="225"/>
      <c r="C1316" s="225"/>
      <c r="D1316" s="225"/>
      <c r="E1316" s="232"/>
      <c r="F1316" s="9" t="s">
        <v>135</v>
      </c>
      <c r="G1316" s="9"/>
      <c r="H1316" s="43" t="s">
        <v>2534</v>
      </c>
      <c r="I1316" s="32"/>
      <c r="J1316" s="8"/>
      <c r="K1316" s="55"/>
      <c r="L1316" s="53"/>
      <c r="M1316" s="32"/>
      <c r="N1316" s="8"/>
      <c r="O1316" s="8"/>
      <c r="P1316" s="8"/>
      <c r="Q1316" s="8"/>
      <c r="R1316" s="10"/>
      <c r="S1316" s="10"/>
    </row>
    <row r="1317" spans="2:19" ht="14" outlineLevel="1">
      <c r="B1317" s="225"/>
      <c r="C1317" s="225"/>
      <c r="D1317" s="225"/>
      <c r="E1317" s="232"/>
      <c r="F1317" s="9"/>
      <c r="G1317" s="9"/>
      <c r="H1317" s="101" t="s">
        <v>2537</v>
      </c>
      <c r="I1317" s="32" t="s">
        <v>349</v>
      </c>
      <c r="J1317" s="8" t="s">
        <v>333</v>
      </c>
      <c r="K1317" s="55" t="s">
        <v>349</v>
      </c>
      <c r="L1317" s="53">
        <v>44536</v>
      </c>
      <c r="M1317" s="55" t="s">
        <v>349</v>
      </c>
      <c r="N1317" s="8" t="s">
        <v>2536</v>
      </c>
      <c r="O1317" s="8" t="s">
        <v>326</v>
      </c>
      <c r="P1317" s="8"/>
      <c r="Q1317" s="8"/>
      <c r="R1317" s="10"/>
      <c r="S1317" s="10"/>
    </row>
    <row r="1318" spans="2:19" ht="14" outlineLevel="1">
      <c r="B1318" s="225"/>
      <c r="C1318" s="225"/>
      <c r="D1318" s="225"/>
      <c r="E1318" s="232"/>
      <c r="F1318" s="9"/>
      <c r="G1318" s="9"/>
      <c r="H1318" s="101" t="s">
        <v>1816</v>
      </c>
      <c r="I1318" s="32" t="s">
        <v>349</v>
      </c>
      <c r="J1318" s="8" t="s">
        <v>333</v>
      </c>
      <c r="K1318" s="55" t="s">
        <v>349</v>
      </c>
      <c r="L1318" s="53">
        <v>44536</v>
      </c>
      <c r="M1318" s="55" t="s">
        <v>349</v>
      </c>
      <c r="N1318" s="8" t="s">
        <v>2536</v>
      </c>
      <c r="O1318" s="8" t="s">
        <v>326</v>
      </c>
      <c r="P1318" s="8"/>
      <c r="Q1318" s="8"/>
      <c r="R1318" s="10"/>
      <c r="S1318" s="10"/>
    </row>
    <row r="1319" spans="2:19" outlineLevel="1">
      <c r="B1319" s="225"/>
      <c r="C1319" s="225"/>
      <c r="D1319" s="225"/>
      <c r="E1319" s="232"/>
      <c r="F1319" s="9"/>
      <c r="G1319" s="9"/>
      <c r="H1319" s="101"/>
      <c r="I1319" s="32"/>
      <c r="J1319" s="8"/>
      <c r="K1319" s="55"/>
      <c r="L1319" s="53"/>
      <c r="M1319" s="55"/>
      <c r="N1319" s="8"/>
      <c r="O1319" s="8"/>
      <c r="P1319" s="8"/>
      <c r="Q1319" s="8"/>
      <c r="R1319" s="10"/>
      <c r="S1319" s="10"/>
    </row>
    <row r="1320" spans="2:19" ht="14" outlineLevel="1">
      <c r="B1320" s="225"/>
      <c r="C1320" s="225"/>
      <c r="D1320" s="225"/>
      <c r="E1320" s="232"/>
      <c r="F1320" s="9" t="s">
        <v>204</v>
      </c>
      <c r="G1320" s="9"/>
      <c r="H1320" s="4" t="s">
        <v>4114</v>
      </c>
      <c r="I1320" s="32"/>
      <c r="J1320" s="8"/>
      <c r="K1320" s="55"/>
      <c r="L1320" s="53"/>
      <c r="M1320" s="55"/>
      <c r="N1320" s="8"/>
      <c r="O1320" s="8"/>
      <c r="P1320" s="8"/>
      <c r="Q1320" s="8"/>
      <c r="R1320" s="10"/>
      <c r="S1320" s="10"/>
    </row>
    <row r="1321" spans="2:19" ht="14" outlineLevel="1">
      <c r="B1321" s="225"/>
      <c r="C1321" s="225"/>
      <c r="D1321" s="225"/>
      <c r="E1321" s="232"/>
      <c r="F1321" s="9"/>
      <c r="G1321" s="9" t="s">
        <v>177</v>
      </c>
      <c r="H1321" s="101" t="s">
        <v>4115</v>
      </c>
      <c r="I1321" s="32" t="s">
        <v>349</v>
      </c>
      <c r="J1321" s="8" t="s">
        <v>332</v>
      </c>
      <c r="K1321" s="55" t="s">
        <v>349</v>
      </c>
      <c r="L1321" s="53">
        <v>45237</v>
      </c>
      <c r="M1321" s="55" t="s">
        <v>349</v>
      </c>
      <c r="N1321" s="8" t="s">
        <v>4121</v>
      </c>
      <c r="O1321" s="8" t="s">
        <v>326</v>
      </c>
      <c r="P1321" s="8"/>
      <c r="Q1321" s="8"/>
      <c r="R1321" s="10"/>
      <c r="S1321" s="10"/>
    </row>
    <row r="1322" spans="2:19" ht="14" outlineLevel="1">
      <c r="B1322" s="225"/>
      <c r="C1322" s="225"/>
      <c r="D1322" s="225"/>
      <c r="E1322" s="232"/>
      <c r="F1322" s="9"/>
      <c r="G1322" s="9"/>
      <c r="H1322" s="101" t="s">
        <v>4115</v>
      </c>
      <c r="I1322" s="32" t="s">
        <v>4135</v>
      </c>
      <c r="J1322" s="8" t="s">
        <v>332</v>
      </c>
      <c r="K1322" s="55" t="s">
        <v>349</v>
      </c>
      <c r="L1322" s="53">
        <v>45250</v>
      </c>
      <c r="M1322" s="55" t="s">
        <v>349</v>
      </c>
      <c r="N1322" s="8" t="s">
        <v>4136</v>
      </c>
      <c r="O1322" s="8" t="s">
        <v>326</v>
      </c>
      <c r="P1322" s="8"/>
      <c r="Q1322" s="8"/>
      <c r="R1322" s="10"/>
      <c r="S1322" s="10"/>
    </row>
    <row r="1323" spans="2:19" ht="14" outlineLevel="1">
      <c r="B1323" s="225"/>
      <c r="C1323" s="225"/>
      <c r="D1323" s="225"/>
      <c r="E1323" s="232"/>
      <c r="F1323" s="9"/>
      <c r="G1323" s="9" t="s">
        <v>181</v>
      </c>
      <c r="H1323" s="101" t="s">
        <v>4116</v>
      </c>
      <c r="I1323" s="32" t="s">
        <v>349</v>
      </c>
      <c r="J1323" s="8" t="s">
        <v>332</v>
      </c>
      <c r="K1323" s="55" t="s">
        <v>349</v>
      </c>
      <c r="L1323" s="53">
        <v>45237</v>
      </c>
      <c r="M1323" s="55" t="s">
        <v>349</v>
      </c>
      <c r="N1323" s="8" t="s">
        <v>4121</v>
      </c>
      <c r="O1323" s="8" t="s">
        <v>326</v>
      </c>
      <c r="P1323" s="8"/>
      <c r="Q1323" s="8"/>
      <c r="R1323" s="10"/>
      <c r="S1323" s="10"/>
    </row>
    <row r="1324" spans="2:19" ht="14" outlineLevel="1">
      <c r="B1324" s="225"/>
      <c r="C1324" s="225"/>
      <c r="D1324" s="225"/>
      <c r="E1324" s="232"/>
      <c r="F1324" s="9"/>
      <c r="G1324" s="9"/>
      <c r="H1324" s="101" t="s">
        <v>4116</v>
      </c>
      <c r="I1324" s="32" t="s">
        <v>4135</v>
      </c>
      <c r="J1324" s="8" t="s">
        <v>332</v>
      </c>
      <c r="K1324" s="55" t="s">
        <v>349</v>
      </c>
      <c r="L1324" s="53">
        <v>45250</v>
      </c>
      <c r="M1324" s="55" t="s">
        <v>349</v>
      </c>
      <c r="N1324" s="8" t="s">
        <v>4136</v>
      </c>
      <c r="O1324" s="8" t="s">
        <v>326</v>
      </c>
      <c r="P1324" s="8"/>
      <c r="Q1324" s="8"/>
      <c r="R1324" s="10"/>
      <c r="S1324" s="10"/>
    </row>
    <row r="1325" spans="2:19" ht="28" outlineLevel="1">
      <c r="B1325" s="225"/>
      <c r="C1325" s="225"/>
      <c r="D1325" s="225"/>
      <c r="E1325" s="232"/>
      <c r="F1325" s="9"/>
      <c r="G1325" s="9" t="s">
        <v>183</v>
      </c>
      <c r="H1325" s="101" t="s">
        <v>4117</v>
      </c>
      <c r="I1325" s="32" t="s">
        <v>349</v>
      </c>
      <c r="J1325" s="8" t="s">
        <v>332</v>
      </c>
      <c r="K1325" s="55" t="s">
        <v>349</v>
      </c>
      <c r="L1325" s="53">
        <v>45237</v>
      </c>
      <c r="M1325" s="55" t="s">
        <v>349</v>
      </c>
      <c r="N1325" s="8" t="s">
        <v>4121</v>
      </c>
      <c r="O1325" s="8" t="s">
        <v>326</v>
      </c>
      <c r="P1325" s="8"/>
      <c r="Q1325" s="8"/>
      <c r="R1325" s="10"/>
      <c r="S1325" s="10"/>
    </row>
    <row r="1326" spans="2:19" ht="28" outlineLevel="1">
      <c r="B1326" s="225"/>
      <c r="C1326" s="225"/>
      <c r="D1326" s="225"/>
      <c r="E1326" s="232"/>
      <c r="F1326" s="9"/>
      <c r="G1326" s="9"/>
      <c r="H1326" s="101" t="s">
        <v>4117</v>
      </c>
      <c r="I1326" s="32" t="s">
        <v>4135</v>
      </c>
      <c r="J1326" s="8" t="s">
        <v>332</v>
      </c>
      <c r="K1326" s="55" t="s">
        <v>349</v>
      </c>
      <c r="L1326" s="53">
        <v>45250</v>
      </c>
      <c r="M1326" s="55" t="s">
        <v>349</v>
      </c>
      <c r="N1326" s="8" t="s">
        <v>4136</v>
      </c>
      <c r="O1326" s="8" t="s">
        <v>326</v>
      </c>
      <c r="P1326" s="8"/>
      <c r="Q1326" s="8"/>
      <c r="R1326" s="10"/>
      <c r="S1326" s="10"/>
    </row>
    <row r="1327" spans="2:19" ht="14" outlineLevel="1">
      <c r="B1327" s="225"/>
      <c r="C1327" s="225"/>
      <c r="D1327" s="225"/>
      <c r="E1327" s="232"/>
      <c r="F1327" s="9"/>
      <c r="G1327" s="9" t="s">
        <v>184</v>
      </c>
      <c r="H1327" s="101" t="s">
        <v>4118</v>
      </c>
      <c r="I1327" s="32" t="s">
        <v>349</v>
      </c>
      <c r="J1327" s="8" t="s">
        <v>332</v>
      </c>
      <c r="K1327" s="55" t="s">
        <v>349</v>
      </c>
      <c r="L1327" s="53">
        <v>45237</v>
      </c>
      <c r="M1327" s="55" t="s">
        <v>349</v>
      </c>
      <c r="N1327" s="8" t="s">
        <v>4121</v>
      </c>
      <c r="O1327" s="8" t="s">
        <v>326</v>
      </c>
      <c r="P1327" s="8"/>
      <c r="Q1327" s="8"/>
      <c r="R1327" s="10"/>
      <c r="S1327" s="10"/>
    </row>
    <row r="1328" spans="2:19" ht="14" outlineLevel="1">
      <c r="B1328" s="225"/>
      <c r="C1328" s="225"/>
      <c r="D1328" s="225"/>
      <c r="E1328" s="232"/>
      <c r="F1328" s="9"/>
      <c r="G1328" s="9"/>
      <c r="H1328" s="101" t="s">
        <v>4118</v>
      </c>
      <c r="I1328" s="32" t="s">
        <v>4135</v>
      </c>
      <c r="J1328" s="8" t="s">
        <v>332</v>
      </c>
      <c r="K1328" s="55" t="s">
        <v>349</v>
      </c>
      <c r="L1328" s="53">
        <v>45250</v>
      </c>
      <c r="M1328" s="55" t="s">
        <v>349</v>
      </c>
      <c r="N1328" s="8" t="s">
        <v>4136</v>
      </c>
      <c r="O1328" s="8" t="s">
        <v>326</v>
      </c>
      <c r="P1328" s="8"/>
      <c r="Q1328" s="8"/>
      <c r="R1328" s="10"/>
      <c r="S1328" s="10"/>
    </row>
    <row r="1329" spans="2:19" ht="14" outlineLevel="1">
      <c r="B1329" s="225"/>
      <c r="C1329" s="225"/>
      <c r="D1329" s="225"/>
      <c r="E1329" s="232"/>
      <c r="F1329" s="9"/>
      <c r="G1329" s="9" t="s">
        <v>386</v>
      </c>
      <c r="H1329" s="101" t="s">
        <v>4119</v>
      </c>
      <c r="I1329" s="32" t="s">
        <v>349</v>
      </c>
      <c r="J1329" s="8" t="s">
        <v>332</v>
      </c>
      <c r="K1329" s="55" t="s">
        <v>349</v>
      </c>
      <c r="L1329" s="53">
        <v>45237</v>
      </c>
      <c r="M1329" s="55" t="s">
        <v>349</v>
      </c>
      <c r="N1329" s="8" t="s">
        <v>4121</v>
      </c>
      <c r="O1329" s="8" t="s">
        <v>326</v>
      </c>
      <c r="P1329" s="8"/>
      <c r="Q1329" s="8"/>
      <c r="R1329" s="10"/>
      <c r="S1329" s="10"/>
    </row>
    <row r="1330" spans="2:19" ht="14" outlineLevel="1">
      <c r="B1330" s="225"/>
      <c r="C1330" s="225"/>
      <c r="D1330" s="225"/>
      <c r="E1330" s="232"/>
      <c r="F1330" s="9"/>
      <c r="G1330" s="9"/>
      <c r="H1330" s="101" t="s">
        <v>4119</v>
      </c>
      <c r="I1330" s="32" t="s">
        <v>4135</v>
      </c>
      <c r="J1330" s="8" t="s">
        <v>332</v>
      </c>
      <c r="K1330" s="55" t="s">
        <v>349</v>
      </c>
      <c r="L1330" s="53">
        <v>45250</v>
      </c>
      <c r="M1330" s="55" t="s">
        <v>349</v>
      </c>
      <c r="N1330" s="8" t="s">
        <v>4136</v>
      </c>
      <c r="O1330" s="8" t="s">
        <v>326</v>
      </c>
      <c r="P1330" s="8"/>
      <c r="Q1330" s="8"/>
      <c r="R1330" s="10"/>
      <c r="S1330" s="10"/>
    </row>
    <row r="1331" spans="2:19" ht="14" outlineLevel="1">
      <c r="B1331" s="225"/>
      <c r="C1331" s="225"/>
      <c r="D1331" s="225"/>
      <c r="E1331" s="232"/>
      <c r="F1331" s="9"/>
      <c r="G1331" s="9" t="s">
        <v>935</v>
      </c>
      <c r="H1331" s="101" t="s">
        <v>4120</v>
      </c>
      <c r="I1331" s="32" t="s">
        <v>349</v>
      </c>
      <c r="J1331" s="8" t="s">
        <v>332</v>
      </c>
      <c r="K1331" s="55" t="s">
        <v>349</v>
      </c>
      <c r="L1331" s="53">
        <v>45237</v>
      </c>
      <c r="M1331" s="55" t="s">
        <v>349</v>
      </c>
      <c r="N1331" s="8" t="s">
        <v>4121</v>
      </c>
      <c r="O1331" s="8" t="s">
        <v>326</v>
      </c>
      <c r="P1331" s="8"/>
      <c r="Q1331" s="8"/>
      <c r="R1331" s="10"/>
      <c r="S1331" s="10"/>
    </row>
    <row r="1332" spans="2:19" ht="14" outlineLevel="1">
      <c r="B1332" s="225"/>
      <c r="C1332" s="225"/>
      <c r="D1332" s="225"/>
      <c r="E1332" s="232"/>
      <c r="F1332" s="9"/>
      <c r="G1332" s="9"/>
      <c r="H1332" s="101" t="s">
        <v>4120</v>
      </c>
      <c r="I1332" s="32" t="s">
        <v>4135</v>
      </c>
      <c r="J1332" s="8" t="s">
        <v>332</v>
      </c>
      <c r="K1332" s="55" t="s">
        <v>349</v>
      </c>
      <c r="L1332" s="53">
        <v>45250</v>
      </c>
      <c r="M1332" s="55" t="s">
        <v>349</v>
      </c>
      <c r="N1332" s="8" t="s">
        <v>4136</v>
      </c>
      <c r="O1332" s="8" t="s">
        <v>326</v>
      </c>
      <c r="P1332" s="8"/>
      <c r="Q1332" s="8"/>
      <c r="R1332" s="10"/>
      <c r="S1332" s="10"/>
    </row>
    <row r="1333" spans="2:19" ht="14" outlineLevel="1">
      <c r="B1333" s="225"/>
      <c r="C1333" s="225"/>
      <c r="D1333" s="225"/>
      <c r="E1333" s="232"/>
      <c r="F1333" s="9"/>
      <c r="G1333" s="9" t="s">
        <v>1058</v>
      </c>
      <c r="H1333" s="101" t="s">
        <v>1940</v>
      </c>
      <c r="I1333" s="32" t="s">
        <v>349</v>
      </c>
      <c r="J1333" s="8" t="s">
        <v>332</v>
      </c>
      <c r="K1333" s="55" t="s">
        <v>349</v>
      </c>
      <c r="L1333" s="53">
        <v>45237</v>
      </c>
      <c r="M1333" s="55" t="s">
        <v>349</v>
      </c>
      <c r="N1333" s="8" t="s">
        <v>4121</v>
      </c>
      <c r="O1333" s="8" t="s">
        <v>326</v>
      </c>
      <c r="P1333" s="8"/>
      <c r="Q1333" s="8"/>
      <c r="R1333" s="10"/>
      <c r="S1333" s="10"/>
    </row>
    <row r="1334" spans="2:19" ht="14" outlineLevel="1">
      <c r="B1334" s="225"/>
      <c r="C1334" s="225"/>
      <c r="D1334" s="226"/>
      <c r="E1334" s="232"/>
      <c r="F1334" s="9"/>
      <c r="G1334" s="9"/>
      <c r="H1334" s="101" t="s">
        <v>1940</v>
      </c>
      <c r="I1334" s="32" t="s">
        <v>4135</v>
      </c>
      <c r="J1334" s="8" t="s">
        <v>332</v>
      </c>
      <c r="K1334" s="55" t="s">
        <v>349</v>
      </c>
      <c r="L1334" s="53">
        <v>45250</v>
      </c>
      <c r="M1334" s="55" t="s">
        <v>349</v>
      </c>
      <c r="N1334" s="8" t="s">
        <v>4136</v>
      </c>
      <c r="O1334" s="8" t="s">
        <v>326</v>
      </c>
      <c r="P1334" s="8"/>
      <c r="Q1334" s="8"/>
      <c r="R1334" s="10"/>
      <c r="S1334" s="10"/>
    </row>
    <row r="1335" spans="2:19" ht="12.75" customHeight="1" outlineLevel="1">
      <c r="B1335" s="225"/>
      <c r="C1335" s="225"/>
      <c r="D1335" s="9" t="s">
        <v>188</v>
      </c>
      <c r="E1335" s="251" t="s">
        <v>227</v>
      </c>
      <c r="F1335" s="251"/>
      <c r="G1335" s="251"/>
      <c r="H1335" s="251"/>
      <c r="I1335" s="32"/>
      <c r="J1335" s="8"/>
      <c r="K1335" s="8"/>
      <c r="L1335" s="8"/>
      <c r="M1335" s="8"/>
      <c r="N1335" s="8"/>
      <c r="O1335" s="8"/>
      <c r="P1335" s="8"/>
      <c r="Q1335" s="8"/>
      <c r="R1335" s="10"/>
      <c r="S1335" s="10"/>
    </row>
    <row r="1336" spans="2:19" ht="14" outlineLevel="1">
      <c r="B1336" s="225"/>
      <c r="C1336" s="225"/>
      <c r="D1336" s="224"/>
      <c r="E1336" s="224"/>
      <c r="F1336" s="9" t="s">
        <v>27</v>
      </c>
      <c r="G1336" s="9"/>
      <c r="H1336" s="43" t="s">
        <v>220</v>
      </c>
      <c r="I1336" s="8" t="s">
        <v>349</v>
      </c>
      <c r="J1336" s="8" t="s">
        <v>333</v>
      </c>
      <c r="K1336" s="53">
        <v>44104</v>
      </c>
      <c r="L1336" s="53">
        <v>44188</v>
      </c>
      <c r="M1336" s="8"/>
      <c r="N1336" s="8"/>
      <c r="O1336" s="8"/>
      <c r="P1336" s="8"/>
      <c r="Q1336" s="8"/>
      <c r="R1336" s="10"/>
      <c r="S1336" s="10" t="s">
        <v>1092</v>
      </c>
    </row>
    <row r="1337" spans="2:19" ht="14" outlineLevel="1">
      <c r="B1337" s="225"/>
      <c r="C1337" s="225"/>
      <c r="D1337" s="225"/>
      <c r="E1337" s="225"/>
      <c r="F1337" s="9" t="s">
        <v>29</v>
      </c>
      <c r="G1337" s="9"/>
      <c r="H1337" s="43" t="s">
        <v>228</v>
      </c>
      <c r="I1337" s="8" t="s">
        <v>349</v>
      </c>
      <c r="J1337" s="8" t="s">
        <v>333</v>
      </c>
      <c r="K1337" s="8"/>
      <c r="L1337" s="8"/>
      <c r="M1337" s="8"/>
      <c r="N1337" s="8"/>
      <c r="O1337" s="8"/>
      <c r="P1337" s="8"/>
      <c r="Q1337" s="8"/>
      <c r="R1337" s="10"/>
      <c r="S1337" s="10"/>
    </row>
    <row r="1338" spans="2:19" ht="14" outlineLevel="1">
      <c r="B1338" s="225"/>
      <c r="C1338" s="225"/>
      <c r="D1338" s="225"/>
      <c r="E1338" s="225"/>
      <c r="F1338" s="9" t="s">
        <v>35</v>
      </c>
      <c r="G1338" s="9"/>
      <c r="H1338" s="4" t="s">
        <v>221</v>
      </c>
      <c r="I1338" s="8" t="s">
        <v>349</v>
      </c>
      <c r="J1338" s="8" t="s">
        <v>333</v>
      </c>
      <c r="K1338" s="8"/>
      <c r="L1338" s="8"/>
      <c r="M1338" s="8"/>
      <c r="N1338" s="8"/>
      <c r="O1338" s="8"/>
      <c r="P1338" s="8"/>
      <c r="Q1338" s="8"/>
      <c r="R1338" s="10"/>
      <c r="S1338" s="10" t="s">
        <v>329</v>
      </c>
    </row>
    <row r="1339" spans="2:19" ht="14" outlineLevel="1">
      <c r="B1339" s="225"/>
      <c r="C1339" s="225"/>
      <c r="D1339" s="225"/>
      <c r="E1339" s="225"/>
      <c r="F1339" s="9" t="s">
        <v>36</v>
      </c>
      <c r="G1339" s="9"/>
      <c r="H1339" s="4" t="s">
        <v>222</v>
      </c>
      <c r="I1339" s="8" t="s">
        <v>349</v>
      </c>
      <c r="J1339" s="8" t="s">
        <v>333</v>
      </c>
      <c r="K1339" s="8"/>
      <c r="L1339" s="8"/>
      <c r="M1339" s="8"/>
      <c r="N1339" s="8"/>
      <c r="O1339" s="8"/>
      <c r="P1339" s="8"/>
      <c r="Q1339" s="8"/>
      <c r="R1339" s="10"/>
      <c r="S1339" s="10"/>
    </row>
    <row r="1340" spans="2:19" ht="14" outlineLevel="1">
      <c r="B1340" s="225"/>
      <c r="C1340" s="225"/>
      <c r="D1340" s="225"/>
      <c r="E1340" s="225"/>
      <c r="F1340" s="9" t="s">
        <v>38</v>
      </c>
      <c r="G1340" s="9"/>
      <c r="H1340" s="33" t="s">
        <v>202</v>
      </c>
      <c r="I1340" s="8" t="s">
        <v>349</v>
      </c>
      <c r="J1340" s="8" t="s">
        <v>333</v>
      </c>
      <c r="K1340" s="53">
        <v>44204</v>
      </c>
      <c r="L1340" s="8"/>
      <c r="M1340" s="8"/>
      <c r="N1340" s="8"/>
      <c r="O1340" s="8"/>
      <c r="P1340" s="8"/>
      <c r="Q1340" s="8"/>
      <c r="R1340" s="10"/>
      <c r="S1340" s="10"/>
    </row>
    <row r="1341" spans="2:19" ht="14" outlineLevel="1">
      <c r="B1341" s="225"/>
      <c r="C1341" s="225"/>
      <c r="D1341" s="225"/>
      <c r="E1341" s="225"/>
      <c r="F1341" s="9" t="s">
        <v>40</v>
      </c>
      <c r="G1341" s="9"/>
      <c r="H1341" s="33" t="s">
        <v>230</v>
      </c>
      <c r="I1341" s="8" t="s">
        <v>349</v>
      </c>
      <c r="J1341" s="8" t="s">
        <v>333</v>
      </c>
      <c r="K1341" s="8"/>
      <c r="L1341" s="8"/>
      <c r="M1341" s="8"/>
      <c r="N1341" s="8"/>
      <c r="O1341" s="8"/>
      <c r="P1341" s="8"/>
      <c r="Q1341" s="8"/>
      <c r="R1341" s="10"/>
      <c r="S1341" s="10"/>
    </row>
    <row r="1342" spans="2:19" ht="14" outlineLevel="1">
      <c r="B1342" s="225"/>
      <c r="C1342" s="225"/>
      <c r="D1342" s="226"/>
      <c r="E1342" s="226"/>
      <c r="F1342" s="9" t="s">
        <v>108</v>
      </c>
      <c r="G1342" s="9"/>
      <c r="H1342" s="4" t="s">
        <v>211</v>
      </c>
      <c r="I1342" s="8" t="s">
        <v>349</v>
      </c>
      <c r="J1342" s="8" t="s">
        <v>333</v>
      </c>
      <c r="K1342" s="8"/>
      <c r="L1342" s="8"/>
      <c r="M1342" s="8"/>
      <c r="N1342" s="8"/>
      <c r="O1342" s="8"/>
      <c r="P1342" s="8"/>
      <c r="Q1342" s="8"/>
      <c r="R1342" s="10"/>
      <c r="S1342" s="10"/>
    </row>
    <row r="1343" spans="2:19" ht="28" outlineLevel="1">
      <c r="B1343" s="225"/>
      <c r="C1343" s="225"/>
      <c r="D1343" s="9" t="s">
        <v>262</v>
      </c>
      <c r="E1343" s="227" t="s">
        <v>263</v>
      </c>
      <c r="F1343" s="228"/>
      <c r="G1343" s="228"/>
      <c r="H1343" s="229"/>
      <c r="I1343" s="32"/>
      <c r="J1343" s="8"/>
      <c r="K1343" s="8"/>
      <c r="L1343" s="8"/>
      <c r="M1343" s="8"/>
      <c r="N1343" s="8"/>
      <c r="O1343" s="8"/>
      <c r="P1343" s="8"/>
      <c r="Q1343" s="8"/>
      <c r="R1343" s="10"/>
      <c r="S1343" s="10"/>
    </row>
    <row r="1344" spans="2:19" ht="14" outlineLevel="1">
      <c r="B1344" s="225"/>
      <c r="C1344" s="225"/>
      <c r="D1344" s="224"/>
      <c r="E1344" s="224"/>
      <c r="F1344" s="9" t="s">
        <v>27</v>
      </c>
      <c r="G1344" s="9"/>
      <c r="H1344" s="33" t="s">
        <v>1375</v>
      </c>
      <c r="I1344" s="8" t="s">
        <v>349</v>
      </c>
      <c r="J1344" s="8" t="s">
        <v>332</v>
      </c>
      <c r="K1344" s="8" t="s">
        <v>349</v>
      </c>
      <c r="L1344" s="55">
        <v>44291</v>
      </c>
      <c r="M1344" s="104" t="s">
        <v>1378</v>
      </c>
      <c r="N1344" s="8" t="s">
        <v>1379</v>
      </c>
      <c r="O1344" s="8" t="s">
        <v>326</v>
      </c>
      <c r="P1344" s="8"/>
      <c r="Q1344" s="8"/>
      <c r="R1344" s="10"/>
      <c r="S1344" s="10"/>
    </row>
    <row r="1345" spans="2:19" ht="14" outlineLevel="1">
      <c r="B1345" s="225"/>
      <c r="C1345" s="225"/>
      <c r="D1345" s="225"/>
      <c r="E1345" s="225"/>
      <c r="F1345" s="9" t="s">
        <v>29</v>
      </c>
      <c r="G1345" s="9"/>
      <c r="H1345" s="33" t="s">
        <v>1374</v>
      </c>
      <c r="I1345" s="8" t="s">
        <v>349</v>
      </c>
      <c r="J1345" s="8" t="s">
        <v>332</v>
      </c>
      <c r="K1345" s="8" t="s">
        <v>349</v>
      </c>
      <c r="L1345" s="55">
        <v>44291</v>
      </c>
      <c r="M1345" s="8" t="s">
        <v>349</v>
      </c>
      <c r="N1345" s="8" t="s">
        <v>1379</v>
      </c>
      <c r="O1345" s="8" t="s">
        <v>326</v>
      </c>
      <c r="P1345" s="8"/>
      <c r="Q1345" s="8"/>
      <c r="R1345" s="10"/>
      <c r="S1345" s="10"/>
    </row>
    <row r="1346" spans="2:19" ht="14" outlineLevel="1">
      <c r="B1346" s="225"/>
      <c r="C1346" s="225"/>
      <c r="D1346" s="225"/>
      <c r="E1346" s="225"/>
      <c r="F1346" s="9" t="s">
        <v>35</v>
      </c>
      <c r="G1346" s="9"/>
      <c r="H1346" s="33" t="s">
        <v>1376</v>
      </c>
      <c r="I1346" s="8" t="s">
        <v>349</v>
      </c>
      <c r="J1346" s="8" t="s">
        <v>332</v>
      </c>
      <c r="K1346" s="8" t="s">
        <v>349</v>
      </c>
      <c r="L1346" s="55">
        <v>44291</v>
      </c>
      <c r="M1346" s="8" t="s">
        <v>349</v>
      </c>
      <c r="N1346" s="8" t="s">
        <v>1379</v>
      </c>
      <c r="O1346" s="8" t="s">
        <v>326</v>
      </c>
      <c r="P1346" s="8"/>
      <c r="Q1346" s="8"/>
      <c r="R1346" s="10"/>
      <c r="S1346" s="10"/>
    </row>
    <row r="1347" spans="2:19" ht="14" outlineLevel="1">
      <c r="B1347" s="225"/>
      <c r="C1347" s="225"/>
      <c r="D1347" s="225"/>
      <c r="E1347" s="225"/>
      <c r="F1347" s="9" t="s">
        <v>36</v>
      </c>
      <c r="G1347" s="9"/>
      <c r="H1347" s="33" t="s">
        <v>1370</v>
      </c>
      <c r="I1347" s="32"/>
      <c r="J1347" s="8"/>
      <c r="K1347" s="8"/>
      <c r="L1347" s="55"/>
      <c r="M1347" s="8"/>
      <c r="N1347" s="8"/>
      <c r="O1347" s="8"/>
      <c r="P1347" s="8"/>
      <c r="Q1347" s="8"/>
      <c r="R1347" s="10"/>
      <c r="S1347" s="10"/>
    </row>
    <row r="1348" spans="2:19" ht="14" outlineLevel="1">
      <c r="B1348" s="225"/>
      <c r="C1348" s="225"/>
      <c r="D1348" s="225"/>
      <c r="E1348" s="225"/>
      <c r="F1348" s="9"/>
      <c r="G1348" s="9"/>
      <c r="H1348" s="147" t="s">
        <v>2070</v>
      </c>
      <c r="I1348" s="8" t="s">
        <v>349</v>
      </c>
      <c r="J1348" s="8" t="s">
        <v>333</v>
      </c>
      <c r="K1348" s="8" t="s">
        <v>349</v>
      </c>
      <c r="L1348" s="55">
        <v>44291</v>
      </c>
      <c r="M1348" s="8" t="s">
        <v>1377</v>
      </c>
      <c r="N1348" s="8" t="s">
        <v>1372</v>
      </c>
      <c r="O1348" s="8" t="s">
        <v>326</v>
      </c>
      <c r="P1348" s="8"/>
      <c r="Q1348" s="8"/>
      <c r="R1348" s="10"/>
      <c r="S1348" s="10"/>
    </row>
    <row r="1349" spans="2:19" outlineLevel="1">
      <c r="B1349" s="225"/>
      <c r="C1349" s="225"/>
      <c r="D1349" s="225"/>
      <c r="E1349" s="225"/>
      <c r="F1349" s="9"/>
      <c r="G1349" s="9"/>
      <c r="H1349" s="147" t="s">
        <v>2052</v>
      </c>
      <c r="I1349" s="32"/>
      <c r="J1349" s="12"/>
      <c r="K1349" s="8"/>
      <c r="L1349" s="55"/>
      <c r="M1349" s="8"/>
      <c r="N1349" s="8"/>
      <c r="O1349" s="8"/>
      <c r="P1349" s="8"/>
      <c r="Q1349" s="8"/>
      <c r="R1349" s="10"/>
      <c r="S1349" s="10"/>
    </row>
    <row r="1350" spans="2:19" ht="14" outlineLevel="1">
      <c r="B1350" s="225"/>
      <c r="C1350" s="225"/>
      <c r="D1350" s="225"/>
      <c r="E1350" s="225"/>
      <c r="F1350" s="9"/>
      <c r="G1350" s="9"/>
      <c r="H1350" s="160" t="s">
        <v>2624</v>
      </c>
      <c r="I1350" s="8" t="s">
        <v>349</v>
      </c>
      <c r="J1350" s="12" t="s">
        <v>332</v>
      </c>
      <c r="K1350" s="8" t="s">
        <v>349</v>
      </c>
      <c r="L1350" s="55">
        <v>44405</v>
      </c>
      <c r="M1350" s="8" t="s">
        <v>2071</v>
      </c>
      <c r="N1350" s="8" t="s">
        <v>2069</v>
      </c>
      <c r="O1350" s="8" t="s">
        <v>326</v>
      </c>
      <c r="P1350" s="8"/>
      <c r="Q1350" s="8"/>
      <c r="R1350" s="10"/>
      <c r="S1350" s="10"/>
    </row>
    <row r="1351" spans="2:19" ht="14" outlineLevel="1">
      <c r="B1351" s="225"/>
      <c r="C1351" s="225"/>
      <c r="D1351" s="225"/>
      <c r="E1351" s="225"/>
      <c r="F1351" s="9"/>
      <c r="G1351" s="9"/>
      <c r="H1351" s="160" t="s">
        <v>2625</v>
      </c>
      <c r="I1351" s="8" t="s">
        <v>349</v>
      </c>
      <c r="J1351" s="8" t="s">
        <v>333</v>
      </c>
      <c r="K1351" s="8" t="s">
        <v>349</v>
      </c>
      <c r="L1351" s="55">
        <v>44662</v>
      </c>
      <c r="M1351" s="8" t="s">
        <v>2850</v>
      </c>
      <c r="N1351" s="8" t="s">
        <v>2852</v>
      </c>
      <c r="O1351" s="8" t="s">
        <v>326</v>
      </c>
      <c r="P1351" s="8"/>
      <c r="Q1351" s="8"/>
      <c r="R1351" s="10"/>
      <c r="S1351" s="10"/>
    </row>
    <row r="1352" spans="2:19" outlineLevel="1">
      <c r="B1352" s="225"/>
      <c r="C1352" s="225"/>
      <c r="D1352" s="225"/>
      <c r="E1352" s="225"/>
      <c r="F1352" s="9"/>
      <c r="G1352" s="9"/>
      <c r="H1352" s="147"/>
      <c r="I1352" s="32"/>
      <c r="J1352" s="12"/>
      <c r="K1352" s="8"/>
      <c r="L1352" s="55"/>
      <c r="M1352" s="8"/>
      <c r="N1352" s="8"/>
      <c r="O1352" s="8"/>
      <c r="P1352" s="8"/>
      <c r="Q1352" s="8"/>
      <c r="R1352" s="10"/>
      <c r="S1352" s="10"/>
    </row>
    <row r="1353" spans="2:19" ht="14" outlineLevel="1">
      <c r="B1353" s="225"/>
      <c r="C1353" s="225"/>
      <c r="D1353" s="225"/>
      <c r="E1353" s="225"/>
      <c r="F1353" s="34" t="s">
        <v>38</v>
      </c>
      <c r="G1353" s="34"/>
      <c r="H1353" s="54" t="s">
        <v>1801</v>
      </c>
      <c r="I1353" s="32"/>
      <c r="J1353" s="12"/>
      <c r="K1353" s="8"/>
      <c r="L1353" s="55"/>
      <c r="M1353" s="32"/>
      <c r="N1353" s="12"/>
      <c r="O1353" s="12"/>
      <c r="P1353" s="8"/>
      <c r="Q1353" s="8"/>
      <c r="R1353" s="10"/>
      <c r="S1353" s="10"/>
    </row>
    <row r="1354" spans="2:19" ht="28" outlineLevel="1">
      <c r="B1354" s="225"/>
      <c r="C1354" s="225"/>
      <c r="D1354" s="225"/>
      <c r="E1354" s="225"/>
      <c r="F1354" s="34"/>
      <c r="G1354" s="34" t="s">
        <v>177</v>
      </c>
      <c r="H1354" s="147" t="s">
        <v>2624</v>
      </c>
      <c r="I1354" s="32" t="s">
        <v>680</v>
      </c>
      <c r="J1354" s="12" t="s">
        <v>332</v>
      </c>
      <c r="K1354" s="8" t="s">
        <v>349</v>
      </c>
      <c r="L1354" s="55">
        <v>44369</v>
      </c>
      <c r="M1354" s="32" t="s">
        <v>1802</v>
      </c>
      <c r="N1354" s="12" t="s">
        <v>1803</v>
      </c>
      <c r="O1354" s="12" t="s">
        <v>326</v>
      </c>
      <c r="P1354" s="8"/>
      <c r="Q1354" s="8"/>
      <c r="R1354" s="10"/>
      <c r="S1354" s="10"/>
    </row>
    <row r="1355" spans="2:19" outlineLevel="1">
      <c r="B1355" s="225"/>
      <c r="C1355" s="225"/>
      <c r="D1355" s="225"/>
      <c r="E1355" s="225"/>
      <c r="F1355" s="34"/>
      <c r="G1355" s="34"/>
      <c r="H1355" s="109"/>
      <c r="I1355" s="32"/>
      <c r="J1355" s="12"/>
      <c r="K1355" s="8"/>
      <c r="L1355" s="55"/>
      <c r="M1355" s="32"/>
      <c r="N1355" s="12"/>
      <c r="O1355" s="12"/>
      <c r="P1355" s="8"/>
      <c r="Q1355" s="8"/>
      <c r="R1355" s="10"/>
      <c r="S1355" s="10"/>
    </row>
    <row r="1356" spans="2:19" ht="28" outlineLevel="1">
      <c r="B1356" s="225"/>
      <c r="C1356" s="225"/>
      <c r="D1356" s="225"/>
      <c r="E1356" s="225"/>
      <c r="F1356" s="34"/>
      <c r="G1356" s="34" t="s">
        <v>181</v>
      </c>
      <c r="H1356" s="147" t="s">
        <v>2625</v>
      </c>
      <c r="I1356" s="32" t="s">
        <v>680</v>
      </c>
      <c r="J1356" s="12" t="s">
        <v>332</v>
      </c>
      <c r="K1356" s="8" t="s">
        <v>349</v>
      </c>
      <c r="L1356" s="55">
        <v>44659</v>
      </c>
      <c r="M1356" s="32" t="s">
        <v>2847</v>
      </c>
      <c r="N1356" s="12" t="s">
        <v>2848</v>
      </c>
      <c r="O1356" s="12" t="s">
        <v>326</v>
      </c>
      <c r="P1356" s="8"/>
      <c r="Q1356" s="8"/>
      <c r="R1356" s="10"/>
      <c r="S1356" s="10"/>
    </row>
    <row r="1357" spans="2:19" outlineLevel="1">
      <c r="B1357" s="225"/>
      <c r="C1357" s="225"/>
      <c r="D1357" s="225"/>
      <c r="E1357" s="225"/>
      <c r="F1357" s="34"/>
      <c r="G1357" s="34"/>
      <c r="H1357" s="109"/>
      <c r="I1357" s="32"/>
      <c r="J1357" s="12"/>
      <c r="K1357" s="8"/>
      <c r="L1357" s="55"/>
      <c r="M1357" s="32"/>
      <c r="N1357" s="12"/>
      <c r="O1357" s="12"/>
      <c r="P1357" s="8"/>
      <c r="Q1357" s="8"/>
      <c r="R1357" s="10"/>
      <c r="S1357" s="10"/>
    </row>
    <row r="1358" spans="2:19" ht="14" outlineLevel="1">
      <c r="B1358" s="225"/>
      <c r="C1358" s="225"/>
      <c r="D1358" s="225"/>
      <c r="E1358" s="225"/>
      <c r="F1358" s="34" t="s">
        <v>40</v>
      </c>
      <c r="G1358" s="34"/>
      <c r="H1358" s="54" t="s">
        <v>1993</v>
      </c>
      <c r="I1358" s="32" t="s">
        <v>3</v>
      </c>
      <c r="J1358" s="12" t="s">
        <v>332</v>
      </c>
      <c r="K1358" s="8" t="s">
        <v>349</v>
      </c>
      <c r="L1358" s="55">
        <v>44390</v>
      </c>
      <c r="M1358" s="8" t="s">
        <v>349</v>
      </c>
      <c r="N1358" s="12" t="s">
        <v>1994</v>
      </c>
      <c r="O1358" s="12" t="s">
        <v>326</v>
      </c>
      <c r="P1358" s="8"/>
      <c r="Q1358" s="8"/>
      <c r="R1358" s="10"/>
      <c r="S1358" s="10"/>
    </row>
    <row r="1359" spans="2:19" ht="14" outlineLevel="1">
      <c r="B1359" s="225"/>
      <c r="C1359" s="225"/>
      <c r="D1359" s="225"/>
      <c r="E1359" s="225"/>
      <c r="F1359" s="34"/>
      <c r="G1359" s="34"/>
      <c r="H1359" s="54" t="s">
        <v>3374</v>
      </c>
      <c r="I1359" s="32" t="s">
        <v>3</v>
      </c>
      <c r="J1359" s="12" t="s">
        <v>332</v>
      </c>
      <c r="K1359" s="8" t="s">
        <v>349</v>
      </c>
      <c r="L1359" s="55">
        <v>44390</v>
      </c>
      <c r="M1359" s="8" t="s">
        <v>349</v>
      </c>
      <c r="N1359" s="12" t="s">
        <v>1994</v>
      </c>
      <c r="O1359" s="12" t="s">
        <v>326</v>
      </c>
      <c r="P1359" s="8"/>
      <c r="Q1359" s="8"/>
      <c r="R1359" s="10"/>
      <c r="S1359" s="10"/>
    </row>
    <row r="1360" spans="2:19" ht="14" outlineLevel="1">
      <c r="B1360" s="225"/>
      <c r="C1360" s="225"/>
      <c r="D1360" s="225"/>
      <c r="E1360" s="225"/>
      <c r="F1360" s="34"/>
      <c r="G1360" s="34"/>
      <c r="H1360" s="54" t="s">
        <v>3374</v>
      </c>
      <c r="I1360" s="32" t="s">
        <v>512</v>
      </c>
      <c r="J1360" s="12" t="s">
        <v>332</v>
      </c>
      <c r="K1360" s="8" t="s">
        <v>349</v>
      </c>
      <c r="L1360" s="53">
        <v>45250</v>
      </c>
      <c r="M1360" s="55" t="s">
        <v>349</v>
      </c>
      <c r="N1360" s="8" t="s">
        <v>4136</v>
      </c>
      <c r="O1360" s="8" t="s">
        <v>326</v>
      </c>
      <c r="P1360" s="8"/>
      <c r="Q1360" s="8"/>
      <c r="R1360" s="10"/>
      <c r="S1360" s="10"/>
    </row>
    <row r="1361" spans="2:19" ht="14" outlineLevel="1">
      <c r="B1361" s="225"/>
      <c r="C1361" s="225"/>
      <c r="D1361" s="225"/>
      <c r="E1361" s="225"/>
      <c r="F1361" s="34"/>
      <c r="G1361" s="34"/>
      <c r="H1361" s="54" t="s">
        <v>3374</v>
      </c>
      <c r="I1361" s="32" t="s">
        <v>512</v>
      </c>
      <c r="J1361" s="12" t="s">
        <v>332</v>
      </c>
      <c r="K1361" s="8" t="s">
        <v>349</v>
      </c>
      <c r="L1361" s="53">
        <v>45271</v>
      </c>
      <c r="M1361" s="55" t="s">
        <v>349</v>
      </c>
      <c r="N1361" s="8" t="s">
        <v>4178</v>
      </c>
      <c r="O1361" s="8" t="s">
        <v>326</v>
      </c>
      <c r="P1361" s="8"/>
      <c r="Q1361" s="8"/>
      <c r="R1361" s="10"/>
      <c r="S1361" s="10"/>
    </row>
    <row r="1362" spans="2:19" outlineLevel="1">
      <c r="B1362" s="225"/>
      <c r="C1362" s="225"/>
      <c r="D1362" s="225"/>
      <c r="E1362" s="225"/>
      <c r="F1362" s="34"/>
      <c r="G1362" s="34"/>
      <c r="H1362" s="54"/>
      <c r="I1362" s="32"/>
      <c r="J1362" s="12"/>
      <c r="K1362" s="8"/>
      <c r="L1362" s="53"/>
      <c r="M1362" s="55"/>
      <c r="N1362" s="8"/>
      <c r="O1362" s="8"/>
      <c r="P1362" s="8"/>
      <c r="Q1362" s="8"/>
      <c r="R1362" s="10"/>
      <c r="S1362" s="10"/>
    </row>
    <row r="1363" spans="2:19" ht="14" outlineLevel="1">
      <c r="B1363" s="225"/>
      <c r="C1363" s="225"/>
      <c r="D1363" s="225"/>
      <c r="E1363" s="225"/>
      <c r="F1363" s="34" t="s">
        <v>108</v>
      </c>
      <c r="G1363" s="34"/>
      <c r="H1363" s="54" t="s">
        <v>2034</v>
      </c>
      <c r="I1363" s="32" t="s">
        <v>3</v>
      </c>
      <c r="J1363" s="12" t="s">
        <v>332</v>
      </c>
      <c r="K1363" s="8" t="s">
        <v>349</v>
      </c>
      <c r="L1363" s="55">
        <v>44397</v>
      </c>
      <c r="M1363" s="8" t="s">
        <v>50</v>
      </c>
      <c r="N1363" s="12" t="s">
        <v>2035</v>
      </c>
      <c r="O1363" s="12" t="s">
        <v>326</v>
      </c>
      <c r="P1363" s="8"/>
      <c r="Q1363" s="8"/>
      <c r="R1363" s="10"/>
      <c r="S1363" s="10"/>
    </row>
    <row r="1364" spans="2:19" outlineLevel="1">
      <c r="B1364" s="225"/>
      <c r="C1364" s="225"/>
      <c r="D1364" s="225"/>
      <c r="E1364" s="225"/>
      <c r="F1364" s="34"/>
      <c r="G1364" s="34"/>
      <c r="H1364" s="54"/>
      <c r="I1364" s="32"/>
      <c r="J1364" s="12"/>
      <c r="K1364" s="8"/>
      <c r="L1364" s="55"/>
      <c r="M1364" s="8"/>
      <c r="N1364" s="12"/>
      <c r="O1364" s="12"/>
      <c r="P1364" s="8"/>
      <c r="Q1364" s="8"/>
      <c r="R1364" s="10"/>
      <c r="S1364" s="10"/>
    </row>
    <row r="1365" spans="2:19" ht="14" outlineLevel="1">
      <c r="B1365" s="225"/>
      <c r="C1365" s="225"/>
      <c r="D1365" s="225"/>
      <c r="E1365" s="225"/>
      <c r="F1365" s="34" t="s">
        <v>129</v>
      </c>
      <c r="G1365" s="34"/>
      <c r="H1365" s="54" t="s">
        <v>2434</v>
      </c>
      <c r="I1365" s="32" t="s">
        <v>3</v>
      </c>
      <c r="J1365" s="12" t="s">
        <v>332</v>
      </c>
      <c r="K1365" s="8" t="s">
        <v>349</v>
      </c>
      <c r="L1365" s="55">
        <v>44522</v>
      </c>
      <c r="M1365" s="8" t="s">
        <v>2463</v>
      </c>
      <c r="N1365" s="12" t="s">
        <v>2464</v>
      </c>
      <c r="O1365" s="12" t="s">
        <v>326</v>
      </c>
      <c r="P1365" s="8"/>
      <c r="Q1365" s="8"/>
      <c r="R1365" s="10"/>
      <c r="S1365" s="10"/>
    </row>
    <row r="1366" spans="2:19" ht="14" outlineLevel="1">
      <c r="B1366" s="225"/>
      <c r="C1366" s="225"/>
      <c r="D1366" s="225"/>
      <c r="E1366" s="225"/>
      <c r="F1366" s="34" t="s">
        <v>134</v>
      </c>
      <c r="G1366" s="34"/>
      <c r="H1366" s="54" t="s">
        <v>222</v>
      </c>
      <c r="I1366" s="32" t="s">
        <v>3</v>
      </c>
      <c r="J1366" s="12" t="s">
        <v>332</v>
      </c>
      <c r="K1366" s="8" t="s">
        <v>349</v>
      </c>
      <c r="L1366" s="55">
        <v>44523</v>
      </c>
      <c r="M1366" s="8" t="s">
        <v>2473</v>
      </c>
      <c r="N1366" s="12" t="s">
        <v>2472</v>
      </c>
      <c r="O1366" s="12" t="s">
        <v>326</v>
      </c>
      <c r="P1366" s="8"/>
      <c r="Q1366" s="8"/>
      <c r="R1366" s="10"/>
      <c r="S1366" s="10"/>
    </row>
    <row r="1367" spans="2:19" outlineLevel="1">
      <c r="B1367" s="225"/>
      <c r="C1367" s="225"/>
      <c r="D1367" s="225"/>
      <c r="E1367" s="225"/>
      <c r="F1367" s="34"/>
      <c r="G1367" s="34"/>
      <c r="H1367" s="54"/>
      <c r="I1367" s="32"/>
      <c r="J1367" s="12"/>
      <c r="K1367" s="8"/>
      <c r="L1367" s="55"/>
      <c r="M1367" s="8"/>
      <c r="N1367" s="12"/>
      <c r="O1367" s="12"/>
      <c r="P1367" s="8"/>
      <c r="Q1367" s="8"/>
      <c r="R1367" s="10"/>
      <c r="S1367" s="10"/>
    </row>
    <row r="1368" spans="2:19" ht="28" outlineLevel="1">
      <c r="B1368" s="225"/>
      <c r="C1368" s="225"/>
      <c r="D1368" s="9" t="s">
        <v>323</v>
      </c>
      <c r="E1368" s="227" t="s">
        <v>864</v>
      </c>
      <c r="F1368" s="228"/>
      <c r="G1368" s="228"/>
      <c r="H1368" s="229"/>
      <c r="I1368" s="32"/>
      <c r="J1368" s="8"/>
      <c r="K1368" s="8"/>
      <c r="L1368" s="8"/>
      <c r="M1368" s="8"/>
      <c r="N1368" s="8"/>
      <c r="O1368" s="8"/>
      <c r="P1368" s="8"/>
      <c r="Q1368" s="8"/>
      <c r="R1368" s="10"/>
      <c r="S1368" s="10"/>
    </row>
    <row r="1369" spans="2:19" ht="14" outlineLevel="1">
      <c r="B1369" s="225"/>
      <c r="C1369" s="225"/>
      <c r="D1369" s="224"/>
      <c r="E1369" s="224"/>
      <c r="F1369" s="9" t="s">
        <v>27</v>
      </c>
      <c r="G1369" s="230" t="s">
        <v>865</v>
      </c>
      <c r="H1369" s="231"/>
      <c r="I1369" s="32"/>
      <c r="J1369" s="8"/>
      <c r="K1369" s="8"/>
      <c r="L1369" s="8"/>
      <c r="M1369" s="8"/>
      <c r="N1369" s="8"/>
      <c r="O1369" s="8"/>
      <c r="P1369" s="8"/>
      <c r="Q1369" s="8"/>
      <c r="R1369" s="10"/>
      <c r="S1369" s="10"/>
    </row>
    <row r="1370" spans="2:19" ht="14" outlineLevel="1">
      <c r="B1370" s="225"/>
      <c r="C1370" s="225"/>
      <c r="D1370" s="225"/>
      <c r="E1370" s="225"/>
      <c r="F1370" s="9"/>
      <c r="G1370" s="9" t="s">
        <v>177</v>
      </c>
      <c r="H1370" s="33" t="s">
        <v>248</v>
      </c>
      <c r="I1370" s="32" t="s">
        <v>3</v>
      </c>
      <c r="J1370" s="8" t="s">
        <v>332</v>
      </c>
      <c r="K1370" s="8" t="s">
        <v>349</v>
      </c>
      <c r="L1370" s="55">
        <v>44200</v>
      </c>
      <c r="M1370" s="8" t="s">
        <v>1613</v>
      </c>
      <c r="N1370" s="8" t="s">
        <v>855</v>
      </c>
      <c r="O1370" s="8" t="s">
        <v>326</v>
      </c>
      <c r="P1370" s="8"/>
      <c r="Q1370" s="8"/>
      <c r="R1370" s="10"/>
      <c r="S1370" s="10"/>
    </row>
    <row r="1371" spans="2:19" ht="14" outlineLevel="1">
      <c r="B1371" s="225"/>
      <c r="C1371" s="225"/>
      <c r="D1371" s="225"/>
      <c r="E1371" s="225"/>
      <c r="F1371" s="9"/>
      <c r="G1371" s="9" t="s">
        <v>181</v>
      </c>
      <c r="H1371" s="33" t="s">
        <v>1607</v>
      </c>
      <c r="I1371" s="32" t="s">
        <v>512</v>
      </c>
      <c r="J1371" s="8" t="s">
        <v>332</v>
      </c>
      <c r="K1371" s="8" t="s">
        <v>349</v>
      </c>
      <c r="L1371" s="55">
        <v>44315</v>
      </c>
      <c r="M1371" s="8" t="s">
        <v>1615</v>
      </c>
      <c r="N1371" s="8" t="s">
        <v>1570</v>
      </c>
      <c r="O1371" s="8" t="s">
        <v>326</v>
      </c>
      <c r="P1371" s="8"/>
      <c r="Q1371" s="8"/>
      <c r="R1371" s="10"/>
      <c r="S1371" s="10"/>
    </row>
    <row r="1372" spans="2:19" ht="14" outlineLevel="1">
      <c r="B1372" s="225"/>
      <c r="C1372" s="225"/>
      <c r="D1372" s="225"/>
      <c r="E1372" s="225"/>
      <c r="F1372" s="9"/>
      <c r="G1372" s="9"/>
      <c r="H1372" s="33" t="s">
        <v>1607</v>
      </c>
      <c r="I1372" s="32" t="s">
        <v>654</v>
      </c>
      <c r="J1372" s="8" t="s">
        <v>332</v>
      </c>
      <c r="K1372" s="8" t="s">
        <v>349</v>
      </c>
      <c r="L1372" s="55">
        <v>45216</v>
      </c>
      <c r="M1372" s="8" t="s">
        <v>1615</v>
      </c>
      <c r="N1372" s="8" t="s">
        <v>3976</v>
      </c>
      <c r="O1372" s="12" t="s">
        <v>326</v>
      </c>
      <c r="P1372" s="8"/>
      <c r="Q1372" s="8"/>
      <c r="R1372" s="10"/>
      <c r="S1372" s="10"/>
    </row>
    <row r="1373" spans="2:19" ht="14" outlineLevel="1">
      <c r="B1373" s="225"/>
      <c r="C1373" s="225"/>
      <c r="D1373" s="225"/>
      <c r="E1373" s="225"/>
      <c r="F1373" s="9"/>
      <c r="G1373" s="9" t="s">
        <v>183</v>
      </c>
      <c r="H1373" s="33" t="s">
        <v>1608</v>
      </c>
      <c r="I1373" s="32" t="s">
        <v>512</v>
      </c>
      <c r="J1373" s="8" t="s">
        <v>332</v>
      </c>
      <c r="K1373" s="8" t="s">
        <v>349</v>
      </c>
      <c r="L1373" s="55">
        <v>44315</v>
      </c>
      <c r="M1373" s="8" t="s">
        <v>1616</v>
      </c>
      <c r="N1373" s="8" t="s">
        <v>1570</v>
      </c>
      <c r="O1373" s="8" t="s">
        <v>326</v>
      </c>
      <c r="P1373" s="8"/>
      <c r="Q1373" s="8"/>
      <c r="R1373" s="10"/>
      <c r="S1373" s="10"/>
    </row>
    <row r="1374" spans="2:19" ht="14" outlineLevel="1">
      <c r="B1374" s="225"/>
      <c r="C1374" s="225"/>
      <c r="D1374" s="225"/>
      <c r="E1374" s="225"/>
      <c r="F1374" s="9"/>
      <c r="G1374" s="9"/>
      <c r="H1374" s="33" t="s">
        <v>1608</v>
      </c>
      <c r="I1374" s="32" t="s">
        <v>654</v>
      </c>
      <c r="J1374" s="8" t="s">
        <v>332</v>
      </c>
      <c r="K1374" s="8" t="s">
        <v>349</v>
      </c>
      <c r="L1374" s="55">
        <v>45216</v>
      </c>
      <c r="M1374" s="8" t="s">
        <v>1616</v>
      </c>
      <c r="N1374" s="8" t="s">
        <v>3976</v>
      </c>
      <c r="O1374" s="12" t="s">
        <v>326</v>
      </c>
      <c r="P1374" s="8"/>
      <c r="Q1374" s="8"/>
      <c r="R1374" s="10"/>
      <c r="S1374" s="10"/>
    </row>
    <row r="1375" spans="2:19" outlineLevel="1">
      <c r="B1375" s="225"/>
      <c r="C1375" s="225"/>
      <c r="D1375" s="225"/>
      <c r="E1375" s="225"/>
      <c r="F1375" s="9"/>
      <c r="G1375" s="9"/>
      <c r="H1375" s="33"/>
      <c r="I1375" s="32"/>
      <c r="J1375" s="8"/>
      <c r="K1375" s="8"/>
      <c r="L1375" s="55"/>
      <c r="M1375" s="8"/>
      <c r="N1375" s="8"/>
      <c r="O1375" s="8"/>
      <c r="P1375" s="8"/>
      <c r="Q1375" s="8"/>
      <c r="R1375" s="10"/>
      <c r="S1375" s="10"/>
    </row>
    <row r="1376" spans="2:19" ht="14" outlineLevel="1">
      <c r="B1376" s="225"/>
      <c r="C1376" s="225"/>
      <c r="D1376" s="225"/>
      <c r="E1376" s="225"/>
      <c r="F1376" s="9" t="s">
        <v>29</v>
      </c>
      <c r="G1376" s="230" t="s">
        <v>866</v>
      </c>
      <c r="H1376" s="231"/>
      <c r="I1376" s="32"/>
      <c r="J1376" s="8"/>
      <c r="K1376" s="8"/>
      <c r="L1376" s="8"/>
      <c r="M1376" s="8"/>
      <c r="N1376" s="8"/>
      <c r="O1376" s="8"/>
      <c r="P1376" s="8"/>
      <c r="Q1376" s="8"/>
      <c r="R1376" s="10"/>
      <c r="S1376" s="10"/>
    </row>
    <row r="1377" spans="2:19" ht="14" outlineLevel="1">
      <c r="B1377" s="225"/>
      <c r="C1377" s="225"/>
      <c r="D1377" s="225"/>
      <c r="E1377" s="225"/>
      <c r="F1377" s="9"/>
      <c r="G1377" s="9" t="s">
        <v>177</v>
      </c>
      <c r="H1377" s="33" t="s">
        <v>248</v>
      </c>
      <c r="I1377" s="32" t="s">
        <v>3</v>
      </c>
      <c r="J1377" s="8" t="s">
        <v>332</v>
      </c>
      <c r="K1377" s="8" t="s">
        <v>349</v>
      </c>
      <c r="L1377" s="55">
        <v>44200</v>
      </c>
      <c r="M1377" s="8" t="s">
        <v>1614</v>
      </c>
      <c r="N1377" s="8" t="s">
        <v>855</v>
      </c>
      <c r="O1377" s="8" t="s">
        <v>326</v>
      </c>
      <c r="P1377" s="8"/>
      <c r="Q1377" s="8"/>
      <c r="R1377" s="10"/>
      <c r="S1377" s="10"/>
    </row>
    <row r="1378" spans="2:19" ht="14" outlineLevel="1">
      <c r="B1378" s="225"/>
      <c r="C1378" s="225"/>
      <c r="D1378" s="225"/>
      <c r="E1378" s="225"/>
      <c r="F1378" s="9"/>
      <c r="G1378" s="9" t="s">
        <v>181</v>
      </c>
      <c r="H1378" s="33" t="s">
        <v>1609</v>
      </c>
      <c r="I1378" s="32" t="s">
        <v>512</v>
      </c>
      <c r="J1378" s="8" t="s">
        <v>332</v>
      </c>
      <c r="K1378" s="8" t="s">
        <v>349</v>
      </c>
      <c r="L1378" s="55">
        <v>44315</v>
      </c>
      <c r="M1378" s="8" t="s">
        <v>1617</v>
      </c>
      <c r="N1378" s="8" t="s">
        <v>1570</v>
      </c>
      <c r="O1378" s="8" t="s">
        <v>326</v>
      </c>
      <c r="P1378" s="8"/>
      <c r="Q1378" s="8"/>
      <c r="R1378" s="10"/>
      <c r="S1378" s="10"/>
    </row>
    <row r="1379" spans="2:19" ht="14" outlineLevel="1">
      <c r="B1379" s="225"/>
      <c r="C1379" s="225"/>
      <c r="D1379" s="225"/>
      <c r="E1379" s="225"/>
      <c r="F1379" s="9"/>
      <c r="G1379" s="9" t="s">
        <v>183</v>
      </c>
      <c r="H1379" s="33" t="s">
        <v>1610</v>
      </c>
      <c r="I1379" s="32" t="s">
        <v>512</v>
      </c>
      <c r="J1379" s="8" t="s">
        <v>332</v>
      </c>
      <c r="K1379" s="8" t="s">
        <v>349</v>
      </c>
      <c r="L1379" s="55">
        <v>44315</v>
      </c>
      <c r="M1379" s="8" t="s">
        <v>1618</v>
      </c>
      <c r="N1379" s="8" t="s">
        <v>1570</v>
      </c>
      <c r="O1379" s="8" t="s">
        <v>326</v>
      </c>
      <c r="P1379" s="8"/>
      <c r="Q1379" s="8"/>
      <c r="R1379" s="10"/>
      <c r="S1379" s="10"/>
    </row>
    <row r="1380" spans="2:19" outlineLevel="1">
      <c r="B1380" s="225"/>
      <c r="C1380" s="225"/>
      <c r="D1380" s="225"/>
      <c r="E1380" s="225"/>
      <c r="F1380" s="9"/>
      <c r="G1380" s="9"/>
      <c r="H1380" s="33"/>
      <c r="I1380" s="32"/>
      <c r="J1380" s="8"/>
      <c r="K1380" s="8"/>
      <c r="L1380" s="8"/>
      <c r="M1380" s="8"/>
      <c r="N1380" s="8"/>
      <c r="O1380" s="8"/>
      <c r="P1380" s="8"/>
      <c r="Q1380" s="8"/>
      <c r="R1380" s="10"/>
      <c r="S1380" s="10"/>
    </row>
    <row r="1381" spans="2:19" ht="14" outlineLevel="1">
      <c r="B1381" s="225"/>
      <c r="C1381" s="225"/>
      <c r="D1381" s="225"/>
      <c r="E1381" s="225"/>
      <c r="F1381" s="9" t="s">
        <v>35</v>
      </c>
      <c r="G1381" s="230" t="s">
        <v>867</v>
      </c>
      <c r="H1381" s="231"/>
      <c r="I1381" s="32"/>
      <c r="J1381" s="8"/>
      <c r="K1381" s="8"/>
      <c r="L1381" s="8"/>
      <c r="M1381" s="8"/>
      <c r="N1381" s="8"/>
      <c r="O1381" s="8"/>
      <c r="P1381" s="8"/>
      <c r="Q1381" s="8"/>
      <c r="R1381" s="10"/>
      <c r="S1381" s="10"/>
    </row>
    <row r="1382" spans="2:19" ht="14" outlineLevel="1">
      <c r="B1382" s="225"/>
      <c r="C1382" s="225"/>
      <c r="D1382" s="225"/>
      <c r="E1382" s="225"/>
      <c r="F1382" s="9"/>
      <c r="G1382" s="9" t="s">
        <v>177</v>
      </c>
      <c r="H1382" s="33" t="s">
        <v>248</v>
      </c>
      <c r="I1382" s="32" t="s">
        <v>3</v>
      </c>
      <c r="J1382" s="8" t="s">
        <v>332</v>
      </c>
      <c r="K1382" s="8" t="s">
        <v>349</v>
      </c>
      <c r="L1382" s="55">
        <v>44200</v>
      </c>
      <c r="M1382" s="8" t="s">
        <v>1619</v>
      </c>
      <c r="N1382" s="8" t="s">
        <v>855</v>
      </c>
      <c r="O1382" s="8" t="s">
        <v>326</v>
      </c>
      <c r="P1382" s="8"/>
      <c r="Q1382" s="8"/>
      <c r="R1382" s="10"/>
      <c r="S1382" s="10"/>
    </row>
    <row r="1383" spans="2:19" ht="14" outlineLevel="1">
      <c r="B1383" s="225"/>
      <c r="C1383" s="225"/>
      <c r="D1383" s="225"/>
      <c r="E1383" s="225"/>
      <c r="F1383" s="9"/>
      <c r="G1383" s="9" t="s">
        <v>181</v>
      </c>
      <c r="H1383" s="33" t="s">
        <v>1611</v>
      </c>
      <c r="I1383" s="32" t="s">
        <v>512</v>
      </c>
      <c r="J1383" s="8" t="s">
        <v>332</v>
      </c>
      <c r="K1383" s="8" t="s">
        <v>349</v>
      </c>
      <c r="L1383" s="55">
        <v>44315</v>
      </c>
      <c r="M1383" s="8" t="s">
        <v>1620</v>
      </c>
      <c r="N1383" s="8" t="s">
        <v>1570</v>
      </c>
      <c r="O1383" s="8" t="s">
        <v>326</v>
      </c>
      <c r="P1383" s="8"/>
      <c r="Q1383" s="8"/>
      <c r="R1383" s="10"/>
      <c r="S1383" s="10"/>
    </row>
    <row r="1384" spans="2:19" ht="14" outlineLevel="1">
      <c r="B1384" s="225"/>
      <c r="C1384" s="225"/>
      <c r="D1384" s="225"/>
      <c r="E1384" s="225"/>
      <c r="F1384" s="9"/>
      <c r="G1384" s="9" t="s">
        <v>183</v>
      </c>
      <c r="H1384" s="33" t="s">
        <v>1612</v>
      </c>
      <c r="I1384" s="32" t="s">
        <v>512</v>
      </c>
      <c r="J1384" s="8" t="s">
        <v>332</v>
      </c>
      <c r="K1384" s="8" t="s">
        <v>349</v>
      </c>
      <c r="L1384" s="55">
        <v>44315</v>
      </c>
      <c r="M1384" s="8" t="s">
        <v>1621</v>
      </c>
      <c r="N1384" s="8" t="s">
        <v>1570</v>
      </c>
      <c r="O1384" s="8" t="s">
        <v>326</v>
      </c>
      <c r="P1384" s="8"/>
      <c r="Q1384" s="8"/>
      <c r="R1384" s="10"/>
      <c r="S1384" s="10"/>
    </row>
    <row r="1385" spans="2:19" outlineLevel="1">
      <c r="B1385" s="225"/>
      <c r="C1385" s="225"/>
      <c r="D1385" s="226"/>
      <c r="E1385" s="226"/>
      <c r="F1385" s="9"/>
      <c r="G1385" s="9"/>
      <c r="H1385" s="33"/>
      <c r="I1385" s="32"/>
      <c r="J1385" s="8"/>
      <c r="K1385" s="8"/>
      <c r="L1385" s="55"/>
      <c r="M1385" s="8"/>
      <c r="N1385" s="8"/>
      <c r="O1385" s="8"/>
      <c r="P1385" s="8"/>
      <c r="Q1385" s="8"/>
      <c r="R1385" s="10"/>
      <c r="S1385" s="10"/>
    </row>
    <row r="1386" spans="2:19" ht="12.75" customHeight="1" outlineLevel="1">
      <c r="B1386" s="225"/>
      <c r="C1386" s="225"/>
      <c r="D1386" s="9" t="s">
        <v>1046</v>
      </c>
      <c r="E1386" s="227" t="s">
        <v>1069</v>
      </c>
      <c r="F1386" s="228"/>
      <c r="G1386" s="228"/>
      <c r="H1386" s="229"/>
      <c r="I1386" s="32"/>
      <c r="J1386" s="8"/>
      <c r="K1386" s="8"/>
      <c r="L1386" s="8"/>
      <c r="M1386" s="8"/>
      <c r="N1386" s="8"/>
      <c r="O1386" s="8"/>
      <c r="P1386" s="8"/>
      <c r="Q1386" s="8"/>
      <c r="R1386" s="10"/>
      <c r="S1386" s="10"/>
    </row>
    <row r="1387" spans="2:19" ht="14" outlineLevel="1">
      <c r="B1387" s="225"/>
      <c r="C1387" s="225"/>
      <c r="D1387" s="225"/>
      <c r="E1387" s="225"/>
      <c r="F1387" s="9" t="s">
        <v>27</v>
      </c>
      <c r="G1387" s="230" t="s">
        <v>247</v>
      </c>
      <c r="H1387" s="231"/>
      <c r="I1387" s="32"/>
      <c r="J1387" s="8"/>
      <c r="K1387" s="8"/>
      <c r="L1387" s="8"/>
      <c r="M1387" s="8"/>
      <c r="N1387" s="8"/>
      <c r="O1387" s="8"/>
      <c r="P1387" s="8"/>
      <c r="Q1387" s="8"/>
      <c r="R1387" s="10"/>
      <c r="S1387" s="10"/>
    </row>
    <row r="1388" spans="2:19" ht="14" outlineLevel="1">
      <c r="B1388" s="225"/>
      <c r="C1388" s="225"/>
      <c r="D1388" s="225"/>
      <c r="E1388" s="225"/>
      <c r="F1388" s="9"/>
      <c r="G1388" s="21" t="s">
        <v>176</v>
      </c>
      <c r="H1388" s="33" t="s">
        <v>1597</v>
      </c>
      <c r="I1388" s="32" t="s">
        <v>3</v>
      </c>
      <c r="J1388" s="8" t="s">
        <v>332</v>
      </c>
      <c r="K1388" s="8" t="s">
        <v>349</v>
      </c>
      <c r="L1388" s="55">
        <v>44243</v>
      </c>
      <c r="M1388" s="8" t="s">
        <v>1070</v>
      </c>
      <c r="N1388" s="8" t="s">
        <v>1055</v>
      </c>
      <c r="O1388" s="12" t="s">
        <v>326</v>
      </c>
      <c r="P1388" s="8"/>
      <c r="Q1388" s="8"/>
      <c r="R1388" s="10"/>
      <c r="S1388" s="10"/>
    </row>
    <row r="1389" spans="2:19" ht="14" outlineLevel="1">
      <c r="B1389" s="225"/>
      <c r="C1389" s="225"/>
      <c r="D1389" s="225"/>
      <c r="E1389" s="225"/>
      <c r="F1389" s="9"/>
      <c r="G1389" s="21"/>
      <c r="H1389" s="33" t="s">
        <v>1597</v>
      </c>
      <c r="I1389" s="32" t="s">
        <v>512</v>
      </c>
      <c r="J1389" s="8" t="s">
        <v>332</v>
      </c>
      <c r="K1389" s="8" t="s">
        <v>349</v>
      </c>
      <c r="L1389" s="55">
        <v>44315</v>
      </c>
      <c r="M1389" s="8" t="s">
        <v>1070</v>
      </c>
      <c r="N1389" s="8" t="s">
        <v>1570</v>
      </c>
      <c r="O1389" s="12" t="s">
        <v>326</v>
      </c>
      <c r="P1389" s="8"/>
      <c r="Q1389" s="8"/>
      <c r="R1389" s="10"/>
      <c r="S1389" s="10"/>
    </row>
    <row r="1390" spans="2:19" ht="14" outlineLevel="1">
      <c r="B1390" s="225"/>
      <c r="C1390" s="225"/>
      <c r="D1390" s="225"/>
      <c r="E1390" s="225"/>
      <c r="F1390" s="9"/>
      <c r="G1390" s="21"/>
      <c r="H1390" s="33" t="s">
        <v>1597</v>
      </c>
      <c r="I1390" s="32" t="s">
        <v>654</v>
      </c>
      <c r="J1390" s="8" t="s">
        <v>332</v>
      </c>
      <c r="K1390" s="8" t="s">
        <v>349</v>
      </c>
      <c r="L1390" s="55">
        <v>45216</v>
      </c>
      <c r="M1390" s="8" t="s">
        <v>1070</v>
      </c>
      <c r="N1390" s="8" t="s">
        <v>3976</v>
      </c>
      <c r="O1390" s="12" t="s">
        <v>326</v>
      </c>
      <c r="P1390" s="8"/>
      <c r="Q1390" s="8"/>
      <c r="R1390" s="10"/>
      <c r="S1390" s="10"/>
    </row>
    <row r="1391" spans="2:19" outlineLevel="1">
      <c r="B1391" s="225"/>
      <c r="C1391" s="225"/>
      <c r="D1391" s="225"/>
      <c r="E1391" s="225"/>
      <c r="F1391" s="9"/>
      <c r="G1391" s="21"/>
      <c r="H1391" s="33"/>
      <c r="I1391" s="32"/>
      <c r="J1391" s="8"/>
      <c r="K1391" s="8"/>
      <c r="L1391" s="55"/>
      <c r="M1391" s="8"/>
      <c r="N1391" s="8"/>
      <c r="O1391" s="12"/>
      <c r="P1391" s="8"/>
      <c r="Q1391" s="8"/>
      <c r="R1391" s="10"/>
      <c r="S1391" s="10"/>
    </row>
    <row r="1392" spans="2:19" ht="14" outlineLevel="1">
      <c r="B1392" s="225"/>
      <c r="C1392" s="225"/>
      <c r="D1392" s="225"/>
      <c r="E1392" s="225"/>
      <c r="F1392" s="9"/>
      <c r="G1392" s="21" t="s">
        <v>177</v>
      </c>
      <c r="H1392" s="33" t="s">
        <v>1598</v>
      </c>
      <c r="I1392" s="32" t="s">
        <v>3</v>
      </c>
      <c r="J1392" s="8" t="s">
        <v>332</v>
      </c>
      <c r="K1392" s="8" t="s">
        <v>349</v>
      </c>
      <c r="L1392" s="55">
        <v>44243</v>
      </c>
      <c r="M1392" s="8" t="s">
        <v>1074</v>
      </c>
      <c r="N1392" s="8" t="s">
        <v>1055</v>
      </c>
      <c r="O1392" s="12" t="s">
        <v>326</v>
      </c>
      <c r="P1392" s="8"/>
      <c r="Q1392" s="8"/>
      <c r="R1392" s="10"/>
      <c r="S1392" s="10"/>
    </row>
    <row r="1393" spans="2:19" ht="14" outlineLevel="1">
      <c r="B1393" s="225"/>
      <c r="C1393" s="225"/>
      <c r="D1393" s="225"/>
      <c r="E1393" s="225"/>
      <c r="F1393" s="9"/>
      <c r="G1393" s="21"/>
      <c r="H1393" s="33" t="s">
        <v>1598</v>
      </c>
      <c r="I1393" s="32" t="s">
        <v>512</v>
      </c>
      <c r="J1393" s="8" t="s">
        <v>332</v>
      </c>
      <c r="K1393" s="8" t="s">
        <v>349</v>
      </c>
      <c r="L1393" s="55">
        <v>44315</v>
      </c>
      <c r="M1393" s="8" t="s">
        <v>1074</v>
      </c>
      <c r="N1393" s="8" t="s">
        <v>1570</v>
      </c>
      <c r="O1393" s="12" t="s">
        <v>326</v>
      </c>
      <c r="P1393" s="8"/>
      <c r="Q1393" s="8"/>
      <c r="R1393" s="10"/>
      <c r="S1393" s="10"/>
    </row>
    <row r="1394" spans="2:19" ht="14" outlineLevel="1">
      <c r="B1394" s="225"/>
      <c r="C1394" s="225"/>
      <c r="D1394" s="225"/>
      <c r="E1394" s="225"/>
      <c r="F1394" s="9"/>
      <c r="G1394" s="21"/>
      <c r="H1394" s="33" t="s">
        <v>1598</v>
      </c>
      <c r="I1394" s="32" t="s">
        <v>654</v>
      </c>
      <c r="J1394" s="8" t="s">
        <v>332</v>
      </c>
      <c r="K1394" s="8" t="s">
        <v>349</v>
      </c>
      <c r="L1394" s="55">
        <v>45216</v>
      </c>
      <c r="M1394" s="8" t="s">
        <v>1074</v>
      </c>
      <c r="N1394" s="8" t="s">
        <v>3976</v>
      </c>
      <c r="O1394" s="12" t="s">
        <v>326</v>
      </c>
      <c r="P1394" s="8"/>
      <c r="Q1394" s="8"/>
      <c r="R1394" s="10"/>
      <c r="S1394" s="10"/>
    </row>
    <row r="1395" spans="2:19" outlineLevel="1">
      <c r="B1395" s="225"/>
      <c r="C1395" s="225"/>
      <c r="D1395" s="225"/>
      <c r="E1395" s="225"/>
      <c r="F1395" s="9"/>
      <c r="G1395" s="21"/>
      <c r="H1395" s="33"/>
      <c r="I1395" s="32"/>
      <c r="J1395" s="8"/>
      <c r="K1395" s="8"/>
      <c r="L1395" s="55"/>
      <c r="M1395" s="8"/>
      <c r="N1395" s="8"/>
      <c r="O1395" s="12"/>
      <c r="P1395" s="8"/>
      <c r="Q1395" s="8"/>
      <c r="R1395" s="10"/>
      <c r="S1395" s="10"/>
    </row>
    <row r="1396" spans="2:19" ht="14" outlineLevel="1">
      <c r="B1396" s="225"/>
      <c r="C1396" s="225"/>
      <c r="D1396" s="225"/>
      <c r="E1396" s="225"/>
      <c r="F1396" s="9"/>
      <c r="G1396" s="21" t="s">
        <v>181</v>
      </c>
      <c r="H1396" s="33" t="s">
        <v>1599</v>
      </c>
      <c r="I1396" s="32" t="s">
        <v>3</v>
      </c>
      <c r="J1396" s="8" t="s">
        <v>332</v>
      </c>
      <c r="K1396" s="8" t="s">
        <v>349</v>
      </c>
      <c r="L1396" s="55">
        <v>44243</v>
      </c>
      <c r="M1396" s="8" t="s">
        <v>1075</v>
      </c>
      <c r="N1396" s="8" t="s">
        <v>1055</v>
      </c>
      <c r="O1396" s="12" t="s">
        <v>326</v>
      </c>
      <c r="P1396" s="8"/>
      <c r="Q1396" s="8"/>
      <c r="R1396" s="10"/>
      <c r="S1396" s="10"/>
    </row>
    <row r="1397" spans="2:19" ht="14" outlineLevel="1">
      <c r="B1397" s="225"/>
      <c r="C1397" s="225"/>
      <c r="D1397" s="225"/>
      <c r="E1397" s="225"/>
      <c r="F1397" s="9"/>
      <c r="G1397" s="21"/>
      <c r="H1397" s="33" t="s">
        <v>1599</v>
      </c>
      <c r="I1397" s="32" t="s">
        <v>512</v>
      </c>
      <c r="J1397" s="8" t="s">
        <v>332</v>
      </c>
      <c r="K1397" s="8" t="s">
        <v>349</v>
      </c>
      <c r="L1397" s="55">
        <v>44315</v>
      </c>
      <c r="M1397" s="8" t="s">
        <v>1075</v>
      </c>
      <c r="N1397" s="8" t="s">
        <v>1570</v>
      </c>
      <c r="O1397" s="12" t="s">
        <v>326</v>
      </c>
      <c r="P1397" s="8"/>
      <c r="Q1397" s="8"/>
      <c r="R1397" s="10"/>
      <c r="S1397" s="10"/>
    </row>
    <row r="1398" spans="2:19" ht="14" outlineLevel="1">
      <c r="B1398" s="225"/>
      <c r="C1398" s="225"/>
      <c r="D1398" s="225"/>
      <c r="E1398" s="225"/>
      <c r="F1398" s="9"/>
      <c r="G1398" s="21"/>
      <c r="H1398" s="33" t="s">
        <v>1599</v>
      </c>
      <c r="I1398" s="32" t="s">
        <v>729</v>
      </c>
      <c r="J1398" s="8" t="s">
        <v>332</v>
      </c>
      <c r="K1398" s="8" t="s">
        <v>349</v>
      </c>
      <c r="L1398" s="55">
        <v>45216</v>
      </c>
      <c r="M1398" s="8" t="s">
        <v>1075</v>
      </c>
      <c r="N1398" s="8" t="s">
        <v>3976</v>
      </c>
      <c r="O1398" s="12" t="s">
        <v>326</v>
      </c>
      <c r="P1398" s="8"/>
      <c r="Q1398" s="8"/>
      <c r="R1398" s="10"/>
      <c r="S1398" s="10"/>
    </row>
    <row r="1399" spans="2:19" outlineLevel="1">
      <c r="B1399" s="225"/>
      <c r="C1399" s="225"/>
      <c r="D1399" s="225"/>
      <c r="E1399" s="225"/>
      <c r="F1399" s="9"/>
      <c r="G1399" s="21"/>
      <c r="H1399" s="33"/>
      <c r="I1399" s="32"/>
      <c r="J1399" s="8"/>
      <c r="K1399" s="8"/>
      <c r="L1399" s="55"/>
      <c r="M1399" s="8"/>
      <c r="N1399" s="8"/>
      <c r="O1399" s="12"/>
      <c r="P1399" s="8"/>
      <c r="Q1399" s="8"/>
      <c r="R1399" s="10"/>
      <c r="S1399" s="10"/>
    </row>
    <row r="1400" spans="2:19" ht="14" outlineLevel="1">
      <c r="B1400" s="225"/>
      <c r="C1400" s="225"/>
      <c r="D1400" s="225"/>
      <c r="E1400" s="225"/>
      <c r="F1400" s="9"/>
      <c r="G1400" s="21" t="s">
        <v>183</v>
      </c>
      <c r="H1400" s="54" t="s">
        <v>1600</v>
      </c>
      <c r="I1400" s="32" t="s">
        <v>3</v>
      </c>
      <c r="J1400" s="8" t="s">
        <v>332</v>
      </c>
      <c r="K1400" s="8" t="s">
        <v>349</v>
      </c>
      <c r="L1400" s="55">
        <v>44243</v>
      </c>
      <c r="M1400" s="8" t="s">
        <v>1073</v>
      </c>
      <c r="N1400" s="8" t="s">
        <v>1055</v>
      </c>
      <c r="O1400" s="12" t="s">
        <v>326</v>
      </c>
      <c r="P1400" s="8"/>
      <c r="Q1400" s="8"/>
      <c r="R1400" s="10"/>
      <c r="S1400" s="10"/>
    </row>
    <row r="1401" spans="2:19" ht="14" outlineLevel="1">
      <c r="B1401" s="225"/>
      <c r="C1401" s="225"/>
      <c r="D1401" s="225"/>
      <c r="E1401" s="225"/>
      <c r="F1401" s="9"/>
      <c r="G1401" s="21"/>
      <c r="H1401" s="54" t="s">
        <v>1600</v>
      </c>
      <c r="I1401" s="32" t="s">
        <v>512</v>
      </c>
      <c r="J1401" s="8" t="s">
        <v>332</v>
      </c>
      <c r="K1401" s="8" t="s">
        <v>349</v>
      </c>
      <c r="L1401" s="55">
        <v>44315</v>
      </c>
      <c r="M1401" s="8" t="s">
        <v>1073</v>
      </c>
      <c r="N1401" s="8" t="s">
        <v>1570</v>
      </c>
      <c r="O1401" s="12" t="s">
        <v>326</v>
      </c>
      <c r="P1401" s="8"/>
      <c r="Q1401" s="8"/>
      <c r="R1401" s="10"/>
      <c r="S1401" s="10"/>
    </row>
    <row r="1402" spans="2:19" ht="14" outlineLevel="1">
      <c r="B1402" s="225"/>
      <c r="C1402" s="225"/>
      <c r="D1402" s="225"/>
      <c r="E1402" s="225"/>
      <c r="F1402" s="9"/>
      <c r="G1402" s="21"/>
      <c r="H1402" s="54" t="s">
        <v>1600</v>
      </c>
      <c r="I1402" s="32" t="s">
        <v>654</v>
      </c>
      <c r="J1402" s="8" t="s">
        <v>332</v>
      </c>
      <c r="K1402" s="8" t="s">
        <v>349</v>
      </c>
      <c r="L1402" s="55">
        <v>45216</v>
      </c>
      <c r="M1402" s="8" t="s">
        <v>1073</v>
      </c>
      <c r="N1402" s="8" t="s">
        <v>3976</v>
      </c>
      <c r="O1402" s="12" t="s">
        <v>326</v>
      </c>
      <c r="P1402" s="8"/>
      <c r="Q1402" s="8"/>
      <c r="R1402" s="10"/>
      <c r="S1402" s="10"/>
    </row>
    <row r="1403" spans="2:19" outlineLevel="1">
      <c r="B1403" s="225"/>
      <c r="C1403" s="225"/>
      <c r="D1403" s="225"/>
      <c r="E1403" s="225"/>
      <c r="F1403" s="9"/>
      <c r="G1403" s="21"/>
      <c r="H1403" s="54"/>
      <c r="I1403" s="32"/>
      <c r="J1403" s="8"/>
      <c r="K1403" s="8"/>
      <c r="L1403" s="55"/>
      <c r="M1403" s="8"/>
      <c r="N1403" s="8"/>
      <c r="O1403" s="12"/>
      <c r="P1403" s="8"/>
      <c r="Q1403" s="8"/>
      <c r="R1403" s="10"/>
      <c r="S1403" s="10"/>
    </row>
    <row r="1404" spans="2:19" ht="14" outlineLevel="1">
      <c r="B1404" s="225"/>
      <c r="C1404" s="225"/>
      <c r="D1404" s="225"/>
      <c r="E1404" s="225"/>
      <c r="F1404" s="9"/>
      <c r="G1404" s="21" t="s">
        <v>184</v>
      </c>
      <c r="H1404" s="54" t="s">
        <v>1601</v>
      </c>
      <c r="I1404" s="32" t="s">
        <v>3</v>
      </c>
      <c r="J1404" s="8" t="s">
        <v>332</v>
      </c>
      <c r="K1404" s="8" t="s">
        <v>349</v>
      </c>
      <c r="L1404" s="55">
        <v>44243</v>
      </c>
      <c r="M1404" s="8" t="s">
        <v>1079</v>
      </c>
      <c r="N1404" s="8" t="s">
        <v>1055</v>
      </c>
      <c r="O1404" s="12" t="s">
        <v>326</v>
      </c>
      <c r="P1404" s="8"/>
      <c r="Q1404" s="8"/>
      <c r="R1404" s="10"/>
      <c r="S1404" s="10"/>
    </row>
    <row r="1405" spans="2:19" ht="14" outlineLevel="1">
      <c r="B1405" s="225"/>
      <c r="C1405" s="225"/>
      <c r="D1405" s="225"/>
      <c r="E1405" s="225"/>
      <c r="F1405" s="9"/>
      <c r="G1405" s="21"/>
      <c r="H1405" s="54" t="s">
        <v>1601</v>
      </c>
      <c r="I1405" s="32" t="s">
        <v>512</v>
      </c>
      <c r="J1405" s="8" t="s">
        <v>332</v>
      </c>
      <c r="K1405" s="8" t="s">
        <v>349</v>
      </c>
      <c r="L1405" s="55">
        <v>44315</v>
      </c>
      <c r="M1405" s="8" t="s">
        <v>1079</v>
      </c>
      <c r="N1405" s="8" t="s">
        <v>1570</v>
      </c>
      <c r="O1405" s="12" t="s">
        <v>326</v>
      </c>
      <c r="P1405" s="8"/>
      <c r="Q1405" s="8"/>
      <c r="R1405" s="10"/>
      <c r="S1405" s="10"/>
    </row>
    <row r="1406" spans="2:19" ht="14" outlineLevel="1">
      <c r="B1406" s="225"/>
      <c r="C1406" s="225"/>
      <c r="D1406" s="225"/>
      <c r="E1406" s="225"/>
      <c r="F1406" s="9"/>
      <c r="G1406" s="21"/>
      <c r="H1406" s="54" t="s">
        <v>1601</v>
      </c>
      <c r="I1406" s="32" t="s">
        <v>654</v>
      </c>
      <c r="J1406" s="8" t="s">
        <v>332</v>
      </c>
      <c r="K1406" s="8" t="s">
        <v>349</v>
      </c>
      <c r="L1406" s="55">
        <v>45216</v>
      </c>
      <c r="M1406" s="8" t="s">
        <v>1079</v>
      </c>
      <c r="N1406" s="8" t="s">
        <v>3976</v>
      </c>
      <c r="O1406" s="12" t="s">
        <v>326</v>
      </c>
      <c r="P1406" s="8"/>
      <c r="Q1406" s="8"/>
      <c r="R1406" s="10"/>
      <c r="S1406" s="10"/>
    </row>
    <row r="1407" spans="2:19" outlineLevel="1">
      <c r="B1407" s="225"/>
      <c r="C1407" s="225"/>
      <c r="D1407" s="225"/>
      <c r="E1407" s="225"/>
      <c r="F1407" s="9"/>
      <c r="G1407" s="21"/>
      <c r="H1407" s="54"/>
      <c r="I1407" s="32"/>
      <c r="J1407" s="8"/>
      <c r="K1407" s="8"/>
      <c r="L1407" s="55"/>
      <c r="M1407" s="8"/>
      <c r="N1407" s="8"/>
      <c r="O1407" s="12"/>
      <c r="P1407" s="8"/>
      <c r="Q1407" s="8"/>
      <c r="R1407" s="10"/>
      <c r="S1407" s="10"/>
    </row>
    <row r="1408" spans="2:19" ht="14" outlineLevel="1">
      <c r="B1408" s="225"/>
      <c r="C1408" s="225"/>
      <c r="D1408" s="225"/>
      <c r="E1408" s="225"/>
      <c r="F1408" s="9"/>
      <c r="G1408" s="21" t="s">
        <v>386</v>
      </c>
      <c r="H1408" s="54" t="s">
        <v>1602</v>
      </c>
      <c r="I1408" s="32" t="s">
        <v>3</v>
      </c>
      <c r="J1408" s="8" t="s">
        <v>332</v>
      </c>
      <c r="K1408" s="8" t="s">
        <v>349</v>
      </c>
      <c r="L1408" s="55">
        <v>44243</v>
      </c>
      <c r="M1408" s="8" t="s">
        <v>1076</v>
      </c>
      <c r="N1408" s="8" t="s">
        <v>1055</v>
      </c>
      <c r="O1408" s="12" t="s">
        <v>326</v>
      </c>
      <c r="P1408" s="8"/>
      <c r="Q1408" s="8"/>
      <c r="R1408" s="10"/>
      <c r="S1408" s="10"/>
    </row>
    <row r="1409" spans="2:19" ht="14" outlineLevel="1">
      <c r="B1409" s="225"/>
      <c r="C1409" s="225"/>
      <c r="D1409" s="225"/>
      <c r="E1409" s="225"/>
      <c r="F1409" s="9"/>
      <c r="G1409" s="21"/>
      <c r="H1409" s="54" t="s">
        <v>1602</v>
      </c>
      <c r="I1409" s="32" t="s">
        <v>512</v>
      </c>
      <c r="J1409" s="8" t="s">
        <v>332</v>
      </c>
      <c r="K1409" s="8" t="s">
        <v>349</v>
      </c>
      <c r="L1409" s="55">
        <v>44315</v>
      </c>
      <c r="M1409" s="8" t="s">
        <v>1076</v>
      </c>
      <c r="N1409" s="8" t="s">
        <v>1570</v>
      </c>
      <c r="O1409" s="12" t="s">
        <v>326</v>
      </c>
      <c r="P1409" s="8"/>
      <c r="Q1409" s="8"/>
      <c r="R1409" s="10"/>
      <c r="S1409" s="10"/>
    </row>
    <row r="1410" spans="2:19" outlineLevel="1">
      <c r="B1410" s="225"/>
      <c r="C1410" s="225"/>
      <c r="D1410" s="225"/>
      <c r="E1410" s="225"/>
      <c r="F1410" s="9"/>
      <c r="G1410" s="21"/>
      <c r="H1410" s="54"/>
      <c r="I1410" s="32"/>
      <c r="J1410" s="8"/>
      <c r="K1410" s="8"/>
      <c r="L1410" s="55"/>
      <c r="M1410" s="8"/>
      <c r="N1410" s="8"/>
      <c r="O1410" s="12"/>
      <c r="P1410" s="8"/>
      <c r="Q1410" s="8"/>
      <c r="R1410" s="10"/>
      <c r="S1410" s="10"/>
    </row>
    <row r="1411" spans="2:19" ht="14" outlineLevel="1">
      <c r="B1411" s="225"/>
      <c r="C1411" s="225"/>
      <c r="D1411" s="225"/>
      <c r="E1411" s="225"/>
      <c r="F1411" s="9"/>
      <c r="G1411" s="21" t="s">
        <v>935</v>
      </c>
      <c r="H1411" s="54" t="s">
        <v>1603</v>
      </c>
      <c r="I1411" s="32" t="s">
        <v>3</v>
      </c>
      <c r="J1411" s="8" t="s">
        <v>332</v>
      </c>
      <c r="K1411" s="8" t="s">
        <v>349</v>
      </c>
      <c r="L1411" s="55">
        <v>44243</v>
      </c>
      <c r="M1411" s="8" t="s">
        <v>1077</v>
      </c>
      <c r="N1411" s="8" t="s">
        <v>1055</v>
      </c>
      <c r="O1411" s="12" t="s">
        <v>326</v>
      </c>
      <c r="P1411" s="8"/>
      <c r="Q1411" s="8"/>
      <c r="R1411" s="10"/>
      <c r="S1411" s="10"/>
    </row>
    <row r="1412" spans="2:19" outlineLevel="1">
      <c r="B1412" s="225"/>
      <c r="C1412" s="225"/>
      <c r="D1412" s="225"/>
      <c r="E1412" s="225"/>
      <c r="F1412" s="9"/>
      <c r="G1412" s="21"/>
      <c r="H1412" s="54"/>
      <c r="I1412" s="32"/>
      <c r="J1412" s="8"/>
      <c r="K1412" s="8"/>
      <c r="L1412" s="55"/>
      <c r="M1412" s="8"/>
      <c r="N1412" s="8"/>
      <c r="O1412" s="12"/>
      <c r="P1412" s="8"/>
      <c r="Q1412" s="8"/>
      <c r="R1412" s="10"/>
      <c r="S1412" s="10"/>
    </row>
    <row r="1413" spans="2:19" ht="14" outlineLevel="1">
      <c r="B1413" s="225"/>
      <c r="C1413" s="225"/>
      <c r="D1413" s="225"/>
      <c r="E1413" s="225"/>
      <c r="F1413" s="9"/>
      <c r="G1413" s="21" t="s">
        <v>1058</v>
      </c>
      <c r="H1413" s="54" t="s">
        <v>1604</v>
      </c>
      <c r="I1413" s="32" t="s">
        <v>3</v>
      </c>
      <c r="J1413" s="8" t="s">
        <v>332</v>
      </c>
      <c r="K1413" s="8" t="s">
        <v>349</v>
      </c>
      <c r="L1413" s="55">
        <v>44243</v>
      </c>
      <c r="M1413" s="8" t="s">
        <v>1078</v>
      </c>
      <c r="N1413" s="8" t="s">
        <v>1055</v>
      </c>
      <c r="O1413" s="12" t="s">
        <v>326</v>
      </c>
      <c r="P1413" s="8"/>
      <c r="Q1413" s="8"/>
      <c r="R1413" s="10"/>
      <c r="S1413" s="10"/>
    </row>
    <row r="1414" spans="2:19" ht="14" outlineLevel="1">
      <c r="B1414" s="225"/>
      <c r="C1414" s="225"/>
      <c r="D1414" s="225"/>
      <c r="E1414" s="225"/>
      <c r="F1414" s="9"/>
      <c r="G1414" s="21"/>
      <c r="H1414" s="54" t="s">
        <v>1604</v>
      </c>
      <c r="I1414" s="32" t="s">
        <v>512</v>
      </c>
      <c r="J1414" s="8" t="s">
        <v>332</v>
      </c>
      <c r="K1414" s="8" t="s">
        <v>349</v>
      </c>
      <c r="L1414" s="55">
        <v>44315</v>
      </c>
      <c r="M1414" s="8" t="s">
        <v>1078</v>
      </c>
      <c r="N1414" s="8" t="s">
        <v>1570</v>
      </c>
      <c r="O1414" s="12" t="s">
        <v>326</v>
      </c>
      <c r="P1414" s="8"/>
      <c r="Q1414" s="8"/>
      <c r="R1414" s="10"/>
      <c r="S1414" s="10"/>
    </row>
    <row r="1415" spans="2:19" ht="14" outlineLevel="1">
      <c r="B1415" s="225"/>
      <c r="C1415" s="225"/>
      <c r="D1415" s="225"/>
      <c r="E1415" s="225"/>
      <c r="F1415" s="9"/>
      <c r="G1415" s="21"/>
      <c r="H1415" s="54" t="s">
        <v>1604</v>
      </c>
      <c r="I1415" s="32" t="s">
        <v>654</v>
      </c>
      <c r="J1415" s="8" t="s">
        <v>332</v>
      </c>
      <c r="K1415" s="8" t="s">
        <v>349</v>
      </c>
      <c r="L1415" s="55">
        <v>45216</v>
      </c>
      <c r="M1415" s="8" t="s">
        <v>1078</v>
      </c>
      <c r="N1415" s="8" t="s">
        <v>3976</v>
      </c>
      <c r="O1415" s="12" t="s">
        <v>326</v>
      </c>
      <c r="P1415" s="8"/>
      <c r="Q1415" s="8"/>
      <c r="R1415" s="10"/>
      <c r="S1415" s="10"/>
    </row>
    <row r="1416" spans="2:19" outlineLevel="1">
      <c r="B1416" s="225"/>
      <c r="C1416" s="225"/>
      <c r="D1416" s="225"/>
      <c r="E1416" s="225"/>
      <c r="F1416" s="9"/>
      <c r="G1416" s="21"/>
      <c r="H1416" s="54"/>
      <c r="I1416" s="32"/>
      <c r="J1416" s="8"/>
      <c r="K1416" s="8"/>
      <c r="L1416" s="55"/>
      <c r="M1416" s="8"/>
      <c r="N1416" s="8"/>
      <c r="O1416" s="12"/>
      <c r="P1416" s="8"/>
      <c r="Q1416" s="8"/>
      <c r="R1416" s="10"/>
      <c r="S1416" s="10"/>
    </row>
    <row r="1417" spans="2:19" ht="14" outlineLevel="1">
      <c r="B1417" s="225"/>
      <c r="C1417" s="225"/>
      <c r="D1417" s="225"/>
      <c r="E1417" s="225"/>
      <c r="F1417" s="9"/>
      <c r="G1417" s="21" t="s">
        <v>1059</v>
      </c>
      <c r="H1417" s="54" t="s">
        <v>1605</v>
      </c>
      <c r="I1417" s="32" t="s">
        <v>3</v>
      </c>
      <c r="J1417" s="8" t="s">
        <v>332</v>
      </c>
      <c r="K1417" s="8" t="s">
        <v>349</v>
      </c>
      <c r="L1417" s="55">
        <v>44243</v>
      </c>
      <c r="M1417" s="8" t="s">
        <v>1071</v>
      </c>
      <c r="N1417" s="8" t="s">
        <v>1055</v>
      </c>
      <c r="O1417" s="12" t="s">
        <v>326</v>
      </c>
      <c r="P1417" s="8"/>
      <c r="Q1417" s="8"/>
      <c r="R1417" s="10"/>
      <c r="S1417" s="10"/>
    </row>
    <row r="1418" spans="2:19" ht="14" outlineLevel="1">
      <c r="B1418" s="225"/>
      <c r="C1418" s="225"/>
      <c r="D1418" s="225"/>
      <c r="E1418" s="225"/>
      <c r="F1418" s="9"/>
      <c r="G1418" s="21"/>
      <c r="H1418" s="54" t="s">
        <v>1605</v>
      </c>
      <c r="I1418" s="32" t="s">
        <v>512</v>
      </c>
      <c r="J1418" s="8" t="s">
        <v>332</v>
      </c>
      <c r="K1418" s="8" t="s">
        <v>349</v>
      </c>
      <c r="L1418" s="55">
        <v>44315</v>
      </c>
      <c r="M1418" s="8" t="s">
        <v>1071</v>
      </c>
      <c r="N1418" s="8" t="s">
        <v>1570</v>
      </c>
      <c r="O1418" s="12" t="s">
        <v>326</v>
      </c>
      <c r="P1418" s="8"/>
      <c r="Q1418" s="8"/>
      <c r="R1418" s="10"/>
      <c r="S1418" s="10"/>
    </row>
    <row r="1419" spans="2:19" ht="14" outlineLevel="1">
      <c r="B1419" s="225"/>
      <c r="C1419" s="225"/>
      <c r="D1419" s="225"/>
      <c r="E1419" s="225"/>
      <c r="F1419" s="9"/>
      <c r="G1419" s="21"/>
      <c r="H1419" s="54" t="s">
        <v>1605</v>
      </c>
      <c r="I1419" s="32" t="s">
        <v>654</v>
      </c>
      <c r="J1419" s="8" t="s">
        <v>332</v>
      </c>
      <c r="K1419" s="8" t="s">
        <v>349</v>
      </c>
      <c r="L1419" s="55">
        <v>45216</v>
      </c>
      <c r="M1419" s="8" t="s">
        <v>1071</v>
      </c>
      <c r="N1419" s="8" t="s">
        <v>3976</v>
      </c>
      <c r="O1419" s="12" t="s">
        <v>326</v>
      </c>
      <c r="P1419" s="8"/>
      <c r="Q1419" s="8"/>
      <c r="R1419" s="10"/>
      <c r="S1419" s="10"/>
    </row>
    <row r="1420" spans="2:19" outlineLevel="1">
      <c r="B1420" s="225"/>
      <c r="C1420" s="225"/>
      <c r="D1420" s="225"/>
      <c r="E1420" s="225"/>
      <c r="F1420" s="9"/>
      <c r="G1420" s="21"/>
      <c r="H1420" s="54"/>
      <c r="I1420" s="32"/>
      <c r="J1420" s="8"/>
      <c r="K1420" s="8"/>
      <c r="L1420" s="55"/>
      <c r="M1420" s="8"/>
      <c r="N1420" s="8"/>
      <c r="O1420" s="12"/>
      <c r="P1420" s="8"/>
      <c r="Q1420" s="8"/>
      <c r="R1420" s="10"/>
      <c r="S1420" s="10"/>
    </row>
    <row r="1421" spans="2:19" ht="14" outlineLevel="1">
      <c r="B1421" s="225"/>
      <c r="C1421" s="225"/>
      <c r="D1421" s="225"/>
      <c r="E1421" s="225"/>
      <c r="F1421" s="9"/>
      <c r="G1421" s="21" t="s">
        <v>1060</v>
      </c>
      <c r="H1421" s="54" t="s">
        <v>1606</v>
      </c>
      <c r="I1421" s="32" t="s">
        <v>3</v>
      </c>
      <c r="J1421" s="8" t="s">
        <v>332</v>
      </c>
      <c r="K1421" s="8" t="s">
        <v>349</v>
      </c>
      <c r="L1421" s="55">
        <v>44243</v>
      </c>
      <c r="M1421" s="8" t="s">
        <v>1072</v>
      </c>
      <c r="N1421" s="8" t="s">
        <v>1055</v>
      </c>
      <c r="O1421" s="12" t="s">
        <v>326</v>
      </c>
      <c r="P1421" s="8"/>
      <c r="Q1421" s="8"/>
      <c r="R1421" s="10"/>
      <c r="S1421" s="10"/>
    </row>
    <row r="1422" spans="2:19" ht="14" outlineLevel="1">
      <c r="B1422" s="225"/>
      <c r="C1422" s="225"/>
      <c r="D1422" s="225"/>
      <c r="E1422" s="225"/>
      <c r="F1422" s="9"/>
      <c r="G1422" s="21"/>
      <c r="H1422" s="54" t="s">
        <v>1606</v>
      </c>
      <c r="I1422" s="32" t="s">
        <v>512</v>
      </c>
      <c r="J1422" s="8" t="s">
        <v>332</v>
      </c>
      <c r="K1422" s="8" t="s">
        <v>349</v>
      </c>
      <c r="L1422" s="55">
        <v>44315</v>
      </c>
      <c r="M1422" s="8" t="s">
        <v>1072</v>
      </c>
      <c r="N1422" s="8" t="s">
        <v>1570</v>
      </c>
      <c r="O1422" s="12" t="s">
        <v>326</v>
      </c>
      <c r="P1422" s="8"/>
      <c r="Q1422" s="8"/>
      <c r="R1422" s="10"/>
      <c r="S1422" s="10"/>
    </row>
    <row r="1423" spans="2:19" ht="14" outlineLevel="1">
      <c r="B1423" s="225"/>
      <c r="C1423" s="225"/>
      <c r="D1423" s="225"/>
      <c r="E1423" s="225"/>
      <c r="F1423" s="9"/>
      <c r="G1423" s="21"/>
      <c r="H1423" s="54" t="s">
        <v>1606</v>
      </c>
      <c r="I1423" s="32" t="s">
        <v>654</v>
      </c>
      <c r="J1423" s="8" t="s">
        <v>332</v>
      </c>
      <c r="K1423" s="8" t="s">
        <v>349</v>
      </c>
      <c r="L1423" s="55">
        <v>45216</v>
      </c>
      <c r="M1423" s="8" t="s">
        <v>1072</v>
      </c>
      <c r="N1423" s="8" t="s">
        <v>3976</v>
      </c>
      <c r="O1423" s="12" t="s">
        <v>326</v>
      </c>
      <c r="P1423" s="8"/>
      <c r="Q1423" s="8"/>
      <c r="R1423" s="10"/>
      <c r="S1423" s="10"/>
    </row>
    <row r="1424" spans="2:19" outlineLevel="1">
      <c r="B1424" s="225"/>
      <c r="C1424" s="225"/>
      <c r="D1424" s="225"/>
      <c r="E1424" s="225"/>
      <c r="F1424" s="9"/>
      <c r="G1424" s="21"/>
      <c r="H1424" s="54"/>
      <c r="I1424" s="32"/>
      <c r="J1424" s="8"/>
      <c r="K1424" s="8"/>
      <c r="L1424" s="55"/>
      <c r="M1424" s="8"/>
      <c r="N1424" s="8"/>
      <c r="O1424" s="12"/>
      <c r="P1424" s="8"/>
      <c r="Q1424" s="8"/>
      <c r="R1424" s="10"/>
      <c r="S1424" s="10"/>
    </row>
    <row r="1425" spans="2:19" ht="14" outlineLevel="1">
      <c r="B1425" s="225"/>
      <c r="C1425" s="225"/>
      <c r="D1425" s="225"/>
      <c r="E1425" s="225"/>
      <c r="F1425" s="9" t="s">
        <v>29</v>
      </c>
      <c r="G1425" s="21"/>
      <c r="H1425" s="54" t="s">
        <v>1993</v>
      </c>
      <c r="I1425" s="8" t="s">
        <v>349</v>
      </c>
      <c r="J1425" s="8" t="s">
        <v>332</v>
      </c>
      <c r="K1425" s="8" t="s">
        <v>349</v>
      </c>
      <c r="L1425" s="55">
        <v>44650</v>
      </c>
      <c r="M1425" s="8" t="s">
        <v>349</v>
      </c>
      <c r="N1425" s="8" t="s">
        <v>2798</v>
      </c>
      <c r="O1425" s="12" t="s">
        <v>326</v>
      </c>
      <c r="P1425" s="8"/>
      <c r="Q1425" s="8"/>
      <c r="R1425" s="10"/>
      <c r="S1425" s="10"/>
    </row>
    <row r="1426" spans="2:19" ht="14" outlineLevel="1">
      <c r="B1426" s="225"/>
      <c r="C1426" s="225"/>
      <c r="D1426" s="225"/>
      <c r="E1426" s="225"/>
      <c r="F1426" s="9"/>
      <c r="G1426" s="21" t="s">
        <v>177</v>
      </c>
      <c r="H1426" s="147" t="s">
        <v>3374</v>
      </c>
      <c r="I1426" s="8" t="s">
        <v>349</v>
      </c>
      <c r="J1426" s="8" t="s">
        <v>332</v>
      </c>
      <c r="K1426" s="8" t="s">
        <v>349</v>
      </c>
      <c r="L1426" s="55">
        <v>45237</v>
      </c>
      <c r="M1426" s="8" t="s">
        <v>349</v>
      </c>
      <c r="N1426" s="8" t="s">
        <v>4121</v>
      </c>
      <c r="O1426" s="12" t="s">
        <v>326</v>
      </c>
      <c r="P1426" s="8"/>
      <c r="Q1426" s="8"/>
      <c r="R1426" s="10"/>
      <c r="S1426" s="10"/>
    </row>
    <row r="1427" spans="2:19" ht="14" outlineLevel="1">
      <c r="B1427" s="225"/>
      <c r="C1427" s="225"/>
      <c r="D1427" s="225"/>
      <c r="E1427" s="225"/>
      <c r="F1427" s="9"/>
      <c r="G1427" s="21"/>
      <c r="H1427" s="147" t="s">
        <v>3374</v>
      </c>
      <c r="I1427" s="8">
        <v>4</v>
      </c>
      <c r="J1427" s="8" t="s">
        <v>332</v>
      </c>
      <c r="K1427" s="8" t="s">
        <v>349</v>
      </c>
      <c r="L1427" s="55">
        <v>45258</v>
      </c>
      <c r="M1427" s="8" t="s">
        <v>349</v>
      </c>
      <c r="N1427" s="8" t="s">
        <v>4140</v>
      </c>
      <c r="O1427" s="12" t="s">
        <v>326</v>
      </c>
      <c r="P1427" s="8"/>
      <c r="Q1427" s="8"/>
      <c r="R1427" s="10"/>
      <c r="S1427" s="10"/>
    </row>
    <row r="1428" spans="2:19" ht="14" outlineLevel="1">
      <c r="B1428" s="225"/>
      <c r="C1428" s="225"/>
      <c r="D1428" s="225"/>
      <c r="E1428" s="225"/>
      <c r="F1428" s="9"/>
      <c r="G1428" s="21" t="s">
        <v>181</v>
      </c>
      <c r="H1428" s="147" t="s">
        <v>3375</v>
      </c>
      <c r="I1428" s="8" t="s">
        <v>349</v>
      </c>
      <c r="J1428" s="8" t="s">
        <v>332</v>
      </c>
      <c r="K1428" s="8" t="s">
        <v>349</v>
      </c>
      <c r="L1428" s="55">
        <v>45237</v>
      </c>
      <c r="M1428" s="8" t="s">
        <v>349</v>
      </c>
      <c r="N1428" s="8" t="s">
        <v>4121</v>
      </c>
      <c r="O1428" s="12" t="s">
        <v>326</v>
      </c>
      <c r="P1428" s="8"/>
      <c r="Q1428" s="8"/>
      <c r="R1428" s="10"/>
      <c r="S1428" s="10"/>
    </row>
    <row r="1429" spans="2:19" outlineLevel="1">
      <c r="B1429" s="225"/>
      <c r="C1429" s="225"/>
      <c r="D1429" s="225"/>
      <c r="E1429" s="225"/>
      <c r="F1429" s="9"/>
      <c r="G1429" s="21"/>
      <c r="H1429" s="54"/>
      <c r="I1429" s="8"/>
      <c r="J1429" s="8"/>
      <c r="K1429" s="8"/>
      <c r="L1429" s="55"/>
      <c r="M1429" s="8"/>
      <c r="N1429" s="8"/>
      <c r="O1429" s="12"/>
      <c r="P1429" s="8"/>
      <c r="Q1429" s="8"/>
      <c r="R1429" s="10"/>
      <c r="S1429" s="10"/>
    </row>
    <row r="1430" spans="2:19" ht="14" outlineLevel="1">
      <c r="B1430" s="225"/>
      <c r="C1430" s="225"/>
      <c r="D1430" s="225"/>
      <c r="E1430" s="225"/>
      <c r="F1430" s="9" t="s">
        <v>35</v>
      </c>
      <c r="G1430" s="21"/>
      <c r="H1430" s="54" t="s">
        <v>2034</v>
      </c>
      <c r="I1430" s="8" t="s">
        <v>349</v>
      </c>
      <c r="J1430" s="8" t="s">
        <v>332</v>
      </c>
      <c r="K1430" s="8" t="s">
        <v>349</v>
      </c>
      <c r="L1430" s="55">
        <v>44635</v>
      </c>
      <c r="M1430" s="8" t="s">
        <v>349</v>
      </c>
      <c r="N1430" s="8" t="s">
        <v>2764</v>
      </c>
      <c r="O1430" s="12" t="s">
        <v>326</v>
      </c>
      <c r="P1430" s="8"/>
      <c r="Q1430" s="8"/>
      <c r="R1430" s="10"/>
      <c r="S1430" s="10"/>
    </row>
    <row r="1431" spans="2:19" outlineLevel="1">
      <c r="B1431" s="225"/>
      <c r="C1431" s="225"/>
      <c r="D1431" s="225"/>
      <c r="E1431" s="225"/>
      <c r="F1431" s="9"/>
      <c r="G1431" s="21"/>
      <c r="H1431" s="54"/>
      <c r="I1431" s="8"/>
      <c r="J1431" s="8"/>
      <c r="K1431" s="8"/>
      <c r="L1431" s="55"/>
      <c r="M1431" s="8"/>
      <c r="N1431" s="8"/>
      <c r="O1431" s="12"/>
      <c r="P1431" s="8"/>
      <c r="Q1431" s="8"/>
      <c r="R1431" s="10"/>
      <c r="S1431" s="10"/>
    </row>
    <row r="1432" spans="2:19" ht="14" outlineLevel="1">
      <c r="B1432" s="225"/>
      <c r="C1432" s="225"/>
      <c r="D1432" s="225"/>
      <c r="E1432" s="225"/>
      <c r="F1432" s="9" t="s">
        <v>36</v>
      </c>
      <c r="G1432" s="21"/>
      <c r="H1432" s="54" t="s">
        <v>2918</v>
      </c>
      <c r="I1432" s="8" t="s">
        <v>349</v>
      </c>
      <c r="J1432" s="8" t="s">
        <v>333</v>
      </c>
      <c r="K1432" s="8" t="s">
        <v>349</v>
      </c>
      <c r="L1432" s="55">
        <v>44701</v>
      </c>
      <c r="M1432" s="8" t="s">
        <v>2913</v>
      </c>
      <c r="N1432" s="8" t="s">
        <v>2915</v>
      </c>
      <c r="O1432" s="12" t="s">
        <v>326</v>
      </c>
      <c r="P1432" s="8"/>
      <c r="Q1432" s="8"/>
      <c r="R1432" s="10"/>
      <c r="S1432" s="10"/>
    </row>
    <row r="1433" spans="2:19" outlineLevel="1">
      <c r="B1433" s="225"/>
      <c r="C1433" s="225"/>
      <c r="D1433" s="225"/>
      <c r="E1433" s="225"/>
      <c r="F1433" s="9"/>
      <c r="G1433" s="21"/>
      <c r="H1433" s="54"/>
      <c r="I1433" s="8"/>
      <c r="J1433" s="8"/>
      <c r="K1433" s="8"/>
      <c r="L1433" s="55"/>
      <c r="M1433" s="8"/>
      <c r="N1433" s="8"/>
      <c r="O1433" s="12"/>
      <c r="P1433" s="8"/>
      <c r="Q1433" s="8"/>
      <c r="R1433" s="10"/>
      <c r="S1433" s="10"/>
    </row>
    <row r="1434" spans="2:19" ht="14" outlineLevel="1">
      <c r="B1434" s="225"/>
      <c r="C1434" s="225"/>
      <c r="D1434" s="225"/>
      <c r="E1434" s="225"/>
      <c r="F1434" s="9" t="s">
        <v>36</v>
      </c>
      <c r="G1434" s="21"/>
      <c r="H1434" s="54" t="s">
        <v>3892</v>
      </c>
      <c r="I1434" s="8" t="s">
        <v>349</v>
      </c>
      <c r="J1434" s="8" t="s">
        <v>333</v>
      </c>
      <c r="K1434" s="8" t="s">
        <v>349</v>
      </c>
      <c r="L1434" s="55">
        <v>45216</v>
      </c>
      <c r="M1434" s="8" t="s">
        <v>3978</v>
      </c>
      <c r="N1434" s="8" t="s">
        <v>3976</v>
      </c>
      <c r="O1434" s="12" t="s">
        <v>326</v>
      </c>
      <c r="P1434" s="8"/>
      <c r="Q1434" s="8"/>
      <c r="R1434" s="10"/>
      <c r="S1434" s="10"/>
    </row>
    <row r="1435" spans="2:19" ht="14" outlineLevel="1">
      <c r="B1435" s="225"/>
      <c r="C1435" s="225"/>
      <c r="D1435" s="225"/>
      <c r="E1435" s="225"/>
      <c r="F1435" s="9" t="s">
        <v>38</v>
      </c>
      <c r="G1435" s="21"/>
      <c r="H1435" s="54" t="s">
        <v>3984</v>
      </c>
      <c r="I1435" s="8"/>
      <c r="J1435" s="8"/>
      <c r="K1435" s="8"/>
      <c r="L1435" s="55"/>
      <c r="M1435" s="8"/>
      <c r="N1435" s="8"/>
      <c r="O1435" s="12"/>
      <c r="P1435" s="8"/>
      <c r="Q1435" s="8"/>
      <c r="R1435" s="10"/>
      <c r="S1435" s="10"/>
    </row>
    <row r="1436" spans="2:19" ht="14" outlineLevel="1">
      <c r="B1436" s="225"/>
      <c r="C1436" s="225"/>
      <c r="D1436" s="225"/>
      <c r="E1436" s="225"/>
      <c r="F1436" s="9"/>
      <c r="G1436" s="21" t="s">
        <v>177</v>
      </c>
      <c r="H1436" s="147" t="s">
        <v>3985</v>
      </c>
      <c r="I1436" s="8" t="s">
        <v>349</v>
      </c>
      <c r="J1436" s="8" t="s">
        <v>333</v>
      </c>
      <c r="K1436" s="8" t="s">
        <v>349</v>
      </c>
      <c r="L1436" s="55">
        <v>45216</v>
      </c>
      <c r="M1436" s="8" t="s">
        <v>3987</v>
      </c>
      <c r="N1436" s="8" t="s">
        <v>3976</v>
      </c>
      <c r="O1436" s="12" t="s">
        <v>326</v>
      </c>
      <c r="P1436" s="8"/>
      <c r="Q1436" s="8"/>
      <c r="R1436" s="10"/>
      <c r="S1436" s="10"/>
    </row>
    <row r="1437" spans="2:19" ht="14" outlineLevel="1">
      <c r="B1437" s="225"/>
      <c r="C1437" s="225"/>
      <c r="D1437" s="225"/>
      <c r="E1437" s="225"/>
      <c r="F1437" s="9"/>
      <c r="G1437" s="21" t="s">
        <v>181</v>
      </c>
      <c r="H1437" s="147" t="s">
        <v>3986</v>
      </c>
      <c r="I1437" s="8" t="s">
        <v>349</v>
      </c>
      <c r="J1437" s="8" t="s">
        <v>333</v>
      </c>
      <c r="K1437" s="8" t="s">
        <v>349</v>
      </c>
      <c r="L1437" s="55">
        <v>45216</v>
      </c>
      <c r="M1437" s="8" t="s">
        <v>3988</v>
      </c>
      <c r="N1437" s="8" t="s">
        <v>3976</v>
      </c>
      <c r="O1437" s="12" t="s">
        <v>326</v>
      </c>
      <c r="P1437" s="8"/>
      <c r="Q1437" s="8"/>
      <c r="R1437" s="10"/>
      <c r="S1437" s="10"/>
    </row>
    <row r="1438" spans="2:19" outlineLevel="1">
      <c r="B1438" s="226"/>
      <c r="C1438" s="226"/>
      <c r="D1438" s="226"/>
      <c r="E1438" s="226"/>
      <c r="F1438" s="9"/>
      <c r="G1438" s="9"/>
      <c r="H1438" s="33"/>
      <c r="I1438" s="32"/>
      <c r="J1438" s="8"/>
      <c r="K1438" s="8"/>
      <c r="L1438" s="8"/>
      <c r="M1438" s="8"/>
      <c r="N1438" s="8"/>
      <c r="O1438" s="8"/>
      <c r="P1438" s="8"/>
      <c r="Q1438" s="8"/>
      <c r="R1438" s="10"/>
      <c r="S1438" s="10"/>
    </row>
    <row r="1439" spans="2:19" ht="12.75" customHeight="1">
      <c r="B1439" s="9" t="s">
        <v>152</v>
      </c>
      <c r="C1439" s="227" t="s">
        <v>153</v>
      </c>
      <c r="D1439" s="228"/>
      <c r="E1439" s="228"/>
      <c r="F1439" s="228"/>
      <c r="G1439" s="228"/>
      <c r="H1439" s="228"/>
      <c r="I1439" s="228"/>
      <c r="J1439" s="228"/>
      <c r="K1439" s="228"/>
      <c r="L1439" s="228"/>
      <c r="M1439" s="228"/>
      <c r="N1439" s="228"/>
      <c r="O1439" s="228"/>
      <c r="P1439" s="228"/>
      <c r="Q1439" s="228"/>
      <c r="R1439" s="229"/>
      <c r="S1439" s="10"/>
    </row>
    <row r="1440" spans="2:19" ht="28">
      <c r="B1440" s="224"/>
      <c r="C1440" s="224"/>
      <c r="D1440" s="9" t="s">
        <v>24</v>
      </c>
      <c r="E1440" s="227" t="s">
        <v>154</v>
      </c>
      <c r="F1440" s="228"/>
      <c r="G1440" s="228"/>
      <c r="H1440" s="229"/>
      <c r="I1440" s="6"/>
      <c r="J1440" s="9"/>
      <c r="K1440" s="6"/>
      <c r="L1440" s="6"/>
      <c r="M1440" s="6"/>
      <c r="N1440" s="6"/>
      <c r="O1440" s="34" t="s">
        <v>26</v>
      </c>
      <c r="P1440" s="34"/>
      <c r="Q1440" s="34" t="s">
        <v>26</v>
      </c>
      <c r="R1440" s="10"/>
      <c r="S1440" s="10"/>
    </row>
    <row r="1441" spans="2:19" ht="14" hidden="1" outlineLevel="1">
      <c r="B1441" s="225"/>
      <c r="C1441" s="225"/>
      <c r="D1441" s="224"/>
      <c r="E1441" s="232"/>
      <c r="F1441" s="9" t="s">
        <v>27</v>
      </c>
      <c r="G1441" s="6"/>
      <c r="H1441" s="6"/>
      <c r="I1441" s="6"/>
      <c r="J1441" s="9"/>
      <c r="K1441" s="6"/>
      <c r="L1441" s="6"/>
      <c r="M1441" s="6"/>
      <c r="N1441" s="6"/>
      <c r="O1441" s="11"/>
      <c r="P1441" s="8"/>
      <c r="Q1441" s="8"/>
      <c r="R1441" s="10"/>
      <c r="S1441" s="10"/>
    </row>
    <row r="1442" spans="2:19" hidden="1" outlineLevel="1">
      <c r="B1442" s="225"/>
      <c r="C1442" s="225"/>
      <c r="D1442" s="226"/>
      <c r="E1442" s="232"/>
      <c r="F1442" s="6"/>
      <c r="G1442" s="6"/>
      <c r="H1442" s="6"/>
      <c r="I1442" s="1"/>
      <c r="J1442" s="34"/>
      <c r="K1442" s="34"/>
      <c r="L1442" s="34"/>
      <c r="M1442" s="8"/>
      <c r="N1442" s="8"/>
      <c r="O1442" s="8"/>
      <c r="P1442" s="8"/>
      <c r="Q1442" s="8"/>
      <c r="R1442" s="10"/>
      <c r="S1442" s="10"/>
    </row>
    <row r="1443" spans="2:19" ht="12.75" hidden="1" customHeight="1" outlineLevel="1">
      <c r="B1443" s="225"/>
      <c r="C1443" s="225"/>
      <c r="D1443" s="9" t="s">
        <v>31</v>
      </c>
      <c r="E1443" s="227" t="s">
        <v>142</v>
      </c>
      <c r="F1443" s="228"/>
      <c r="G1443" s="228"/>
      <c r="H1443" s="229"/>
      <c r="I1443" s="32"/>
      <c r="J1443" s="8"/>
      <c r="K1443" s="8"/>
      <c r="L1443" s="8"/>
      <c r="M1443" s="8"/>
      <c r="N1443" s="8"/>
      <c r="O1443" s="34" t="s">
        <v>26</v>
      </c>
      <c r="P1443" s="34"/>
      <c r="Q1443" s="34" t="s">
        <v>26</v>
      </c>
      <c r="R1443" s="10"/>
      <c r="S1443" s="10"/>
    </row>
    <row r="1444" spans="2:19" ht="14" hidden="1" outlineLevel="1">
      <c r="B1444" s="225"/>
      <c r="C1444" s="225"/>
      <c r="D1444" s="224"/>
      <c r="E1444" s="232"/>
      <c r="F1444" s="9" t="s">
        <v>27</v>
      </c>
      <c r="G1444" s="6"/>
      <c r="H1444" s="6"/>
      <c r="I1444" s="32"/>
      <c r="J1444" s="8"/>
      <c r="K1444" s="8"/>
      <c r="L1444" s="8"/>
      <c r="M1444" s="8"/>
      <c r="N1444" s="8"/>
      <c r="O1444" s="11"/>
      <c r="P1444" s="8"/>
      <c r="Q1444" s="8"/>
      <c r="R1444" s="10"/>
      <c r="S1444" s="10"/>
    </row>
    <row r="1445" spans="2:19" hidden="1" outlineLevel="1">
      <c r="B1445" s="225"/>
      <c r="C1445" s="225"/>
      <c r="D1445" s="226"/>
      <c r="E1445" s="232"/>
      <c r="F1445" s="6"/>
      <c r="G1445" s="6"/>
      <c r="H1445" s="6"/>
      <c r="I1445" s="1"/>
      <c r="J1445" s="34"/>
      <c r="K1445" s="34"/>
      <c r="L1445" s="34"/>
      <c r="M1445" s="8"/>
      <c r="N1445" s="8"/>
      <c r="O1445" s="8"/>
      <c r="P1445" s="8"/>
      <c r="Q1445" s="8"/>
      <c r="R1445" s="10"/>
      <c r="S1445" s="10"/>
    </row>
    <row r="1446" spans="2:19" ht="12.75" hidden="1" customHeight="1" outlineLevel="1">
      <c r="B1446" s="225"/>
      <c r="C1446" s="225"/>
      <c r="D1446" s="9" t="s">
        <v>33</v>
      </c>
      <c r="E1446" s="227" t="s">
        <v>155</v>
      </c>
      <c r="F1446" s="228"/>
      <c r="G1446" s="228"/>
      <c r="H1446" s="229"/>
      <c r="I1446" s="32"/>
      <c r="J1446" s="8"/>
      <c r="K1446" s="8"/>
      <c r="L1446" s="8"/>
      <c r="M1446" s="8"/>
      <c r="N1446" s="8"/>
      <c r="O1446" s="34" t="s">
        <v>26</v>
      </c>
      <c r="P1446" s="34"/>
      <c r="Q1446" s="34" t="s">
        <v>26</v>
      </c>
      <c r="R1446" s="10"/>
      <c r="S1446" s="10"/>
    </row>
    <row r="1447" spans="2:19" ht="14" hidden="1" outlineLevel="1">
      <c r="B1447" s="225"/>
      <c r="C1447" s="225"/>
      <c r="D1447" s="224"/>
      <c r="E1447" s="232"/>
      <c r="F1447" s="9" t="s">
        <v>27</v>
      </c>
      <c r="G1447" s="6"/>
      <c r="H1447" s="6"/>
      <c r="I1447" s="32"/>
      <c r="J1447" s="8"/>
      <c r="K1447" s="8"/>
      <c r="L1447" s="8"/>
      <c r="M1447" s="8"/>
      <c r="N1447" s="8"/>
      <c r="O1447" s="8"/>
      <c r="P1447" s="8"/>
      <c r="Q1447" s="8"/>
      <c r="R1447" s="10"/>
      <c r="S1447" s="10"/>
    </row>
    <row r="1448" spans="2:19" hidden="1" outlineLevel="1">
      <c r="B1448" s="225"/>
      <c r="C1448" s="225"/>
      <c r="D1448" s="226"/>
      <c r="E1448" s="232"/>
      <c r="F1448" s="6"/>
      <c r="G1448" s="6"/>
      <c r="H1448" s="6"/>
      <c r="I1448" s="32"/>
      <c r="J1448" s="34"/>
      <c r="K1448" s="34"/>
      <c r="L1448" s="34"/>
      <c r="M1448" s="8"/>
      <c r="N1448" s="8"/>
      <c r="O1448" s="8"/>
      <c r="P1448" s="8"/>
      <c r="Q1448" s="8"/>
      <c r="R1448" s="10"/>
      <c r="S1448" s="10"/>
    </row>
    <row r="1449" spans="2:19" ht="12.75" hidden="1" customHeight="1" outlineLevel="1">
      <c r="B1449" s="225"/>
      <c r="C1449" s="225"/>
      <c r="D1449" s="9" t="s">
        <v>52</v>
      </c>
      <c r="E1449" s="227" t="s">
        <v>107</v>
      </c>
      <c r="F1449" s="228"/>
      <c r="G1449" s="228"/>
      <c r="H1449" s="229"/>
      <c r="I1449" s="33"/>
      <c r="J1449" s="8"/>
      <c r="K1449" s="8"/>
      <c r="L1449" s="8"/>
      <c r="M1449" s="8"/>
      <c r="N1449" s="8"/>
      <c r="O1449" s="34" t="s">
        <v>26</v>
      </c>
      <c r="P1449" s="34"/>
      <c r="Q1449" s="34" t="s">
        <v>26</v>
      </c>
      <c r="R1449" s="10"/>
      <c r="S1449" s="10"/>
    </row>
    <row r="1450" spans="2:19" ht="14" hidden="1" outlineLevel="1">
      <c r="B1450" s="225"/>
      <c r="C1450" s="225"/>
      <c r="D1450" s="224"/>
      <c r="E1450" s="232"/>
      <c r="F1450" s="9" t="s">
        <v>27</v>
      </c>
      <c r="G1450" s="6"/>
      <c r="H1450" s="6"/>
      <c r="I1450" s="32"/>
      <c r="J1450" s="8"/>
      <c r="K1450" s="8"/>
      <c r="L1450" s="8"/>
      <c r="M1450" s="8"/>
      <c r="N1450" s="8"/>
      <c r="O1450" s="8"/>
      <c r="P1450" s="8"/>
      <c r="Q1450" s="8"/>
      <c r="R1450" s="10"/>
      <c r="S1450" s="10"/>
    </row>
    <row r="1451" spans="2:19" hidden="1" outlineLevel="1">
      <c r="B1451" s="225"/>
      <c r="C1451" s="225"/>
      <c r="D1451" s="226"/>
      <c r="E1451" s="232"/>
      <c r="F1451" s="6"/>
      <c r="G1451" s="6"/>
      <c r="H1451" s="6"/>
      <c r="I1451" s="32"/>
      <c r="J1451" s="34"/>
      <c r="K1451" s="34"/>
      <c r="L1451" s="34"/>
      <c r="M1451" s="8"/>
      <c r="N1451" s="8"/>
      <c r="O1451" s="8"/>
      <c r="P1451" s="8"/>
      <c r="Q1451" s="8"/>
      <c r="R1451" s="10"/>
      <c r="S1451" s="10"/>
    </row>
    <row r="1452" spans="2:19" ht="12.75" hidden="1" customHeight="1" outlineLevel="1">
      <c r="B1452" s="225"/>
      <c r="C1452" s="225"/>
      <c r="D1452" s="9" t="s">
        <v>42</v>
      </c>
      <c r="E1452" s="227" t="s">
        <v>156</v>
      </c>
      <c r="F1452" s="228"/>
      <c r="G1452" s="228"/>
      <c r="H1452" s="229"/>
      <c r="I1452" s="32"/>
      <c r="J1452" s="8"/>
      <c r="K1452" s="8"/>
      <c r="L1452" s="8"/>
      <c r="M1452" s="8"/>
      <c r="N1452" s="8"/>
      <c r="O1452" s="34" t="s">
        <v>26</v>
      </c>
      <c r="P1452" s="34"/>
      <c r="Q1452" s="34" t="s">
        <v>26</v>
      </c>
      <c r="R1452" s="10"/>
      <c r="S1452" s="10"/>
    </row>
    <row r="1453" spans="2:19" ht="14" hidden="1" outlineLevel="1">
      <c r="B1453" s="225"/>
      <c r="C1453" s="225"/>
      <c r="D1453" s="224"/>
      <c r="E1453" s="232"/>
      <c r="F1453" s="9" t="s">
        <v>27</v>
      </c>
      <c r="G1453" s="6"/>
      <c r="H1453" s="6"/>
      <c r="I1453" s="32"/>
      <c r="J1453" s="8"/>
      <c r="K1453" s="8"/>
      <c r="L1453" s="8"/>
      <c r="M1453" s="8"/>
      <c r="N1453" s="8"/>
      <c r="O1453" s="8"/>
      <c r="P1453" s="8"/>
      <c r="Q1453" s="8"/>
      <c r="R1453" s="10"/>
      <c r="S1453" s="10"/>
    </row>
    <row r="1454" spans="2:19" hidden="1" outlineLevel="1">
      <c r="B1454" s="225"/>
      <c r="C1454" s="225"/>
      <c r="D1454" s="226"/>
      <c r="E1454" s="232"/>
      <c r="F1454" s="6"/>
      <c r="G1454" s="6"/>
      <c r="H1454" s="6"/>
      <c r="I1454" s="1"/>
      <c r="J1454" s="34"/>
      <c r="K1454" s="34"/>
      <c r="L1454" s="34"/>
      <c r="M1454" s="8"/>
      <c r="N1454" s="8"/>
      <c r="O1454" s="8"/>
      <c r="P1454" s="8"/>
      <c r="Q1454" s="8"/>
      <c r="R1454" s="10"/>
      <c r="S1454" s="10"/>
    </row>
    <row r="1455" spans="2:19" ht="12.75" hidden="1" customHeight="1" outlineLevel="1">
      <c r="B1455" s="225"/>
      <c r="C1455" s="225"/>
      <c r="D1455" s="9" t="s">
        <v>55</v>
      </c>
      <c r="E1455" s="227" t="s">
        <v>157</v>
      </c>
      <c r="F1455" s="228"/>
      <c r="G1455" s="228"/>
      <c r="H1455" s="229"/>
      <c r="I1455" s="32"/>
      <c r="J1455" s="8"/>
      <c r="K1455" s="8"/>
      <c r="L1455" s="8"/>
      <c r="M1455" s="8"/>
      <c r="N1455" s="8"/>
      <c r="O1455" s="34" t="s">
        <v>26</v>
      </c>
      <c r="P1455" s="34"/>
      <c r="Q1455" s="34" t="s">
        <v>26</v>
      </c>
      <c r="R1455" s="10"/>
      <c r="S1455" s="10"/>
    </row>
    <row r="1456" spans="2:19" ht="14" hidden="1" outlineLevel="1">
      <c r="B1456" s="225"/>
      <c r="C1456" s="225"/>
      <c r="D1456" s="224"/>
      <c r="E1456" s="232"/>
      <c r="F1456" s="9" t="s">
        <v>27</v>
      </c>
      <c r="G1456" s="6"/>
      <c r="H1456" s="6"/>
      <c r="I1456" s="32"/>
      <c r="J1456" s="8"/>
      <c r="K1456" s="8"/>
      <c r="L1456" s="8"/>
      <c r="M1456" s="8"/>
      <c r="N1456" s="8"/>
      <c r="O1456" s="8"/>
      <c r="P1456" s="8"/>
      <c r="Q1456" s="8"/>
      <c r="R1456" s="10"/>
      <c r="S1456" s="10"/>
    </row>
    <row r="1457" spans="2:19" hidden="1" outlineLevel="1">
      <c r="B1457" s="225"/>
      <c r="C1457" s="225"/>
      <c r="D1457" s="226"/>
      <c r="E1457" s="232"/>
      <c r="F1457" s="6"/>
      <c r="G1457" s="6"/>
      <c r="H1457" s="6"/>
      <c r="I1457" s="32"/>
      <c r="J1457" s="34"/>
      <c r="K1457" s="34"/>
      <c r="L1457" s="34"/>
      <c r="M1457" s="8"/>
      <c r="N1457" s="8"/>
      <c r="O1457" s="8"/>
      <c r="P1457" s="8"/>
      <c r="Q1457" s="8"/>
      <c r="R1457" s="10"/>
      <c r="S1457" s="10"/>
    </row>
    <row r="1458" spans="2:19" ht="12.75" hidden="1" customHeight="1" outlineLevel="1">
      <c r="B1458" s="225"/>
      <c r="C1458" s="225"/>
      <c r="D1458" s="9" t="s">
        <v>57</v>
      </c>
      <c r="E1458" s="227" t="s">
        <v>159</v>
      </c>
      <c r="F1458" s="228"/>
      <c r="G1458" s="228"/>
      <c r="H1458" s="229"/>
      <c r="I1458" s="32"/>
      <c r="J1458" s="8"/>
      <c r="K1458" s="8"/>
      <c r="L1458" s="8"/>
      <c r="M1458" s="8"/>
      <c r="N1458" s="8"/>
      <c r="O1458" s="34" t="s">
        <v>26</v>
      </c>
      <c r="P1458" s="34"/>
      <c r="Q1458" s="34" t="s">
        <v>26</v>
      </c>
      <c r="R1458" s="10"/>
      <c r="S1458" s="10"/>
    </row>
    <row r="1459" spans="2:19" ht="14" hidden="1" outlineLevel="1">
      <c r="B1459" s="225"/>
      <c r="C1459" s="225"/>
      <c r="D1459" s="224"/>
      <c r="E1459" s="232"/>
      <c r="F1459" s="9" t="s">
        <v>27</v>
      </c>
      <c r="G1459" s="6"/>
      <c r="H1459" s="6"/>
      <c r="I1459" s="32"/>
      <c r="J1459" s="8"/>
      <c r="K1459" s="8"/>
      <c r="L1459" s="8"/>
      <c r="M1459" s="8"/>
      <c r="N1459" s="8"/>
      <c r="O1459" s="11"/>
      <c r="P1459" s="8"/>
      <c r="Q1459" s="8"/>
      <c r="R1459" s="10"/>
      <c r="S1459" s="10"/>
    </row>
    <row r="1460" spans="2:19" hidden="1" outlineLevel="1">
      <c r="B1460" s="225"/>
      <c r="C1460" s="225"/>
      <c r="D1460" s="226"/>
      <c r="E1460" s="232"/>
      <c r="F1460" s="3"/>
      <c r="G1460" s="6"/>
      <c r="H1460" s="6"/>
      <c r="I1460" s="1"/>
      <c r="J1460" s="34"/>
      <c r="K1460" s="34"/>
      <c r="L1460" s="34"/>
      <c r="M1460" s="8"/>
      <c r="N1460" s="8"/>
      <c r="O1460" s="8"/>
      <c r="P1460" s="8"/>
      <c r="Q1460" s="8"/>
      <c r="R1460" s="10"/>
      <c r="S1460" s="10"/>
    </row>
    <row r="1461" spans="2:19" ht="12.75" hidden="1" customHeight="1" outlineLevel="1">
      <c r="B1461" s="225"/>
      <c r="C1461" s="225"/>
      <c r="D1461" s="9" t="s">
        <v>119</v>
      </c>
      <c r="E1461" s="227" t="s">
        <v>160</v>
      </c>
      <c r="F1461" s="228"/>
      <c r="G1461" s="228"/>
      <c r="H1461" s="229"/>
      <c r="I1461" s="32"/>
      <c r="J1461" s="8"/>
      <c r="K1461" s="8"/>
      <c r="L1461" s="8"/>
      <c r="M1461" s="8"/>
      <c r="N1461" s="8"/>
      <c r="O1461" s="8"/>
      <c r="P1461" s="8"/>
      <c r="Q1461" s="8"/>
      <c r="R1461" s="10"/>
      <c r="S1461" s="10"/>
    </row>
    <row r="1462" spans="2:19" ht="14" hidden="1" outlineLevel="1">
      <c r="B1462" s="225"/>
      <c r="C1462" s="225"/>
      <c r="D1462" s="224"/>
      <c r="E1462" s="232"/>
      <c r="F1462" s="9" t="s">
        <v>27</v>
      </c>
      <c r="G1462" s="6"/>
      <c r="H1462" s="6"/>
      <c r="I1462" s="1"/>
      <c r="J1462" s="8"/>
      <c r="K1462" s="8"/>
      <c r="L1462" s="8"/>
      <c r="M1462" s="8"/>
      <c r="N1462" s="8"/>
      <c r="O1462" s="8"/>
      <c r="P1462" s="8"/>
      <c r="Q1462" s="8"/>
      <c r="R1462" s="10"/>
      <c r="S1462" s="10"/>
    </row>
    <row r="1463" spans="2:19" hidden="1" outlineLevel="1">
      <c r="B1463" s="226"/>
      <c r="C1463" s="226"/>
      <c r="D1463" s="226"/>
      <c r="E1463" s="232"/>
      <c r="F1463" s="3"/>
      <c r="G1463" s="9"/>
      <c r="H1463" s="7"/>
      <c r="I1463" s="32"/>
      <c r="J1463" s="8"/>
      <c r="K1463" s="8"/>
      <c r="L1463" s="8"/>
      <c r="M1463" s="8"/>
      <c r="N1463" s="8"/>
      <c r="O1463" s="12"/>
      <c r="P1463" s="12"/>
      <c r="Q1463" s="12"/>
      <c r="R1463" s="13"/>
      <c r="S1463" s="4"/>
    </row>
    <row r="1464" spans="2:19" ht="18" customHeight="1" collapsed="1">
      <c r="B1464" s="215" t="s">
        <v>161</v>
      </c>
      <c r="C1464" s="216"/>
      <c r="D1464" s="216"/>
      <c r="E1464" s="216"/>
      <c r="F1464" s="216"/>
      <c r="G1464" s="216"/>
      <c r="H1464" s="216"/>
      <c r="I1464" s="216"/>
      <c r="J1464" s="216"/>
      <c r="K1464" s="216"/>
      <c r="L1464" s="216"/>
      <c r="M1464" s="216"/>
      <c r="N1464" s="216"/>
      <c r="O1464" s="216"/>
      <c r="P1464" s="216"/>
      <c r="Q1464" s="216"/>
      <c r="R1464" s="216"/>
      <c r="S1464" s="217"/>
    </row>
    <row r="1465" spans="2:19" ht="12.75" customHeight="1">
      <c r="B1465" s="9" t="s">
        <v>162</v>
      </c>
      <c r="C1465" s="218" t="s">
        <v>163</v>
      </c>
      <c r="D1465" s="219"/>
      <c r="E1465" s="219"/>
      <c r="F1465" s="219"/>
      <c r="G1465" s="219"/>
      <c r="H1465" s="219"/>
      <c r="I1465" s="219"/>
      <c r="J1465" s="219"/>
      <c r="K1465" s="219"/>
      <c r="L1465" s="219"/>
      <c r="M1465" s="219"/>
      <c r="N1465" s="219"/>
      <c r="O1465" s="219"/>
      <c r="P1465" s="219"/>
      <c r="Q1465" s="219"/>
      <c r="R1465" s="220"/>
      <c r="S1465" s="10"/>
    </row>
    <row r="1466" spans="2:19">
      <c r="B1466" s="12"/>
      <c r="C1466" s="3"/>
      <c r="D1466" s="12"/>
      <c r="E1466" s="3"/>
      <c r="F1466" s="12"/>
      <c r="G1466" s="12"/>
      <c r="H1466" s="4"/>
      <c r="I1466" s="31"/>
      <c r="J1466" s="12"/>
      <c r="K1466" s="12"/>
      <c r="L1466" s="12"/>
      <c r="M1466" s="12"/>
      <c r="N1466" s="12"/>
      <c r="O1466" s="12"/>
      <c r="P1466" s="12"/>
      <c r="Q1466" s="12"/>
      <c r="R1466" s="3"/>
      <c r="S1466" s="3"/>
    </row>
    <row r="1467" spans="2:19">
      <c r="B1467" s="12"/>
      <c r="C1467" s="3"/>
      <c r="D1467" s="12"/>
      <c r="E1467" s="3"/>
      <c r="F1467" s="12"/>
      <c r="G1467" s="12"/>
      <c r="H1467" s="4"/>
      <c r="I1467" s="31"/>
      <c r="J1467" s="12"/>
      <c r="K1467" s="12"/>
      <c r="L1467" s="12"/>
      <c r="M1467" s="12"/>
      <c r="N1467" s="12"/>
      <c r="O1467" s="12"/>
      <c r="P1467" s="12"/>
      <c r="Q1467" s="12"/>
      <c r="R1467" s="13"/>
      <c r="S1467" s="4"/>
    </row>
    <row r="1468" spans="2:19">
      <c r="B1468" s="12"/>
      <c r="C1468" s="3"/>
      <c r="D1468" s="12"/>
      <c r="E1468" s="3"/>
      <c r="F1468" s="12"/>
      <c r="G1468" s="12"/>
      <c r="H1468" s="4"/>
      <c r="I1468" s="31"/>
      <c r="J1468" s="12"/>
      <c r="K1468" s="12"/>
      <c r="L1468" s="12"/>
      <c r="M1468" s="12"/>
      <c r="N1468" s="12"/>
      <c r="O1468" s="12"/>
      <c r="P1468" s="12"/>
      <c r="Q1468" s="12"/>
      <c r="R1468" s="13"/>
      <c r="S1468" s="4"/>
    </row>
    <row r="1469" spans="2:19">
      <c r="B1469" s="12"/>
      <c r="C1469" s="3"/>
      <c r="D1469" s="12"/>
      <c r="E1469" s="3"/>
      <c r="F1469" s="12"/>
      <c r="G1469" s="12"/>
      <c r="H1469" s="4"/>
      <c r="I1469" s="31"/>
      <c r="J1469" s="12"/>
      <c r="K1469" s="12"/>
      <c r="L1469" s="12"/>
      <c r="M1469" s="12"/>
      <c r="N1469" s="12"/>
      <c r="O1469" s="12"/>
      <c r="P1469" s="12"/>
      <c r="Q1469" s="12"/>
      <c r="R1469" s="13"/>
      <c r="S1469" s="4"/>
    </row>
    <row r="1470" spans="2:19">
      <c r="B1470" s="12"/>
      <c r="C1470" s="3"/>
      <c r="D1470" s="12"/>
      <c r="E1470" s="3"/>
      <c r="F1470" s="12"/>
      <c r="G1470" s="12"/>
      <c r="H1470" s="4"/>
      <c r="I1470" s="31"/>
      <c r="J1470" s="12"/>
      <c r="K1470" s="12"/>
      <c r="L1470" s="12"/>
      <c r="M1470" s="12"/>
      <c r="N1470" s="12"/>
      <c r="O1470" s="12"/>
      <c r="P1470" s="12"/>
      <c r="Q1470" s="12"/>
      <c r="R1470" s="13"/>
      <c r="S1470" s="4"/>
    </row>
    <row r="1471" spans="2:19">
      <c r="B1471" s="12"/>
      <c r="C1471" s="3"/>
      <c r="D1471" s="12"/>
      <c r="E1471" s="3"/>
      <c r="F1471" s="12"/>
      <c r="G1471" s="12"/>
      <c r="H1471" s="4"/>
      <c r="I1471" s="31"/>
      <c r="J1471" s="12"/>
      <c r="K1471" s="12"/>
      <c r="L1471" s="12"/>
      <c r="M1471" s="12"/>
      <c r="N1471" s="12"/>
      <c r="O1471" s="12"/>
      <c r="P1471" s="12"/>
      <c r="Q1471" s="12"/>
      <c r="R1471" s="13"/>
      <c r="S1471" s="4"/>
    </row>
    <row r="1472" spans="2:19">
      <c r="B1472" s="12"/>
      <c r="C1472" s="3"/>
      <c r="D1472" s="12"/>
      <c r="E1472" s="3"/>
      <c r="F1472" s="12"/>
      <c r="G1472" s="12"/>
      <c r="H1472" s="4"/>
      <c r="I1472" s="31"/>
      <c r="J1472" s="12"/>
      <c r="K1472" s="12"/>
      <c r="L1472" s="12"/>
      <c r="M1472" s="12"/>
      <c r="N1472" s="12"/>
      <c r="O1472" s="12"/>
      <c r="P1472" s="12"/>
      <c r="Q1472" s="12"/>
      <c r="R1472" s="13"/>
      <c r="S1472" s="4"/>
    </row>
    <row r="1473" spans="2:19">
      <c r="B1473" s="12"/>
      <c r="C1473" s="3"/>
      <c r="D1473" s="12"/>
      <c r="E1473" s="3"/>
      <c r="F1473" s="12"/>
      <c r="G1473" s="12"/>
      <c r="H1473" s="4"/>
      <c r="I1473" s="31"/>
      <c r="J1473" s="12"/>
      <c r="K1473" s="12"/>
      <c r="L1473" s="12"/>
      <c r="M1473" s="12"/>
      <c r="N1473" s="12"/>
      <c r="O1473" s="12"/>
      <c r="P1473" s="12"/>
      <c r="Q1473" s="12"/>
      <c r="R1473" s="13"/>
      <c r="S1473" s="4"/>
    </row>
    <row r="1474" spans="2:19">
      <c r="B1474" s="12"/>
      <c r="C1474" s="3"/>
      <c r="D1474" s="12"/>
      <c r="E1474" s="3"/>
      <c r="F1474" s="12"/>
      <c r="G1474" s="12"/>
      <c r="H1474" s="4"/>
      <c r="I1474" s="31"/>
      <c r="J1474" s="12"/>
      <c r="K1474" s="12"/>
      <c r="L1474" s="12"/>
      <c r="M1474" s="12"/>
      <c r="N1474" s="12"/>
      <c r="O1474" s="12"/>
      <c r="P1474" s="12"/>
      <c r="Q1474" s="12"/>
      <c r="R1474" s="13"/>
      <c r="S1474" s="4"/>
    </row>
    <row r="1475" spans="2:19">
      <c r="B1475" s="12"/>
      <c r="C1475" s="3"/>
      <c r="D1475" s="12"/>
      <c r="E1475" s="3"/>
      <c r="F1475" s="12"/>
      <c r="G1475" s="12"/>
      <c r="H1475" s="4"/>
      <c r="I1475" s="31"/>
      <c r="J1475" s="12"/>
      <c r="K1475" s="12"/>
      <c r="L1475" s="12"/>
      <c r="M1475" s="12"/>
      <c r="N1475" s="12"/>
      <c r="O1475" s="12"/>
      <c r="P1475" s="12"/>
      <c r="Q1475" s="12"/>
      <c r="R1475" s="13"/>
      <c r="S1475" s="4"/>
    </row>
    <row r="1476" spans="2:19">
      <c r="B1476" s="12"/>
      <c r="C1476" s="3"/>
      <c r="D1476" s="12"/>
      <c r="E1476" s="3"/>
      <c r="F1476" s="12"/>
      <c r="G1476" s="12"/>
      <c r="H1476" s="4"/>
      <c r="I1476" s="31"/>
      <c r="J1476" s="12"/>
      <c r="K1476" s="12"/>
      <c r="L1476" s="12"/>
      <c r="M1476" s="12"/>
      <c r="N1476" s="12"/>
      <c r="O1476" s="12"/>
      <c r="P1476" s="12"/>
      <c r="Q1476" s="12"/>
      <c r="R1476" s="13"/>
      <c r="S1476" s="4"/>
    </row>
    <row r="1477" spans="2:19">
      <c r="B1477" s="12"/>
      <c r="C1477" s="3"/>
      <c r="D1477" s="12"/>
      <c r="E1477" s="3"/>
      <c r="F1477" s="12"/>
      <c r="G1477" s="12"/>
      <c r="H1477" s="4"/>
      <c r="I1477" s="31"/>
      <c r="J1477" s="12"/>
      <c r="K1477" s="12"/>
      <c r="L1477" s="12"/>
      <c r="M1477" s="12"/>
      <c r="N1477" s="12"/>
      <c r="O1477" s="12"/>
      <c r="P1477" s="12"/>
      <c r="Q1477" s="12"/>
      <c r="R1477" s="13"/>
      <c r="S1477" s="4"/>
    </row>
    <row r="1478" spans="2:19">
      <c r="B1478" s="12"/>
      <c r="C1478" s="3"/>
      <c r="D1478" s="12"/>
      <c r="E1478" s="3"/>
      <c r="F1478" s="12"/>
      <c r="G1478" s="12"/>
      <c r="H1478" s="4"/>
      <c r="I1478" s="31"/>
      <c r="J1478" s="12"/>
      <c r="K1478" s="12"/>
      <c r="L1478" s="12"/>
      <c r="M1478" s="12"/>
      <c r="N1478" s="12"/>
      <c r="O1478" s="12"/>
      <c r="P1478" s="12"/>
      <c r="Q1478" s="12"/>
      <c r="R1478" s="13"/>
      <c r="S1478" s="4"/>
    </row>
    <row r="1479" spans="2:19">
      <c r="B1479" s="12"/>
      <c r="C1479" s="3"/>
      <c r="D1479" s="12"/>
      <c r="E1479" s="3"/>
      <c r="F1479" s="12"/>
      <c r="G1479" s="12"/>
      <c r="H1479" s="4"/>
      <c r="I1479" s="31"/>
      <c r="J1479" s="12"/>
      <c r="K1479" s="12"/>
      <c r="L1479" s="12"/>
      <c r="M1479" s="12"/>
      <c r="N1479" s="12"/>
      <c r="O1479" s="12"/>
      <c r="P1479" s="12"/>
      <c r="Q1479" s="12"/>
      <c r="R1479" s="13"/>
      <c r="S1479" s="4"/>
    </row>
    <row r="1480" spans="2:19">
      <c r="B1480" s="12"/>
      <c r="C1480" s="3"/>
      <c r="D1480" s="12"/>
      <c r="E1480" s="3"/>
      <c r="F1480" s="12"/>
      <c r="G1480" s="12"/>
      <c r="H1480" s="4"/>
      <c r="I1480" s="31"/>
      <c r="J1480" s="12"/>
      <c r="K1480" s="12"/>
      <c r="L1480" s="12"/>
      <c r="M1480" s="12"/>
      <c r="N1480" s="12"/>
      <c r="O1480" s="12"/>
      <c r="P1480" s="12"/>
      <c r="Q1480" s="12"/>
      <c r="R1480" s="13"/>
      <c r="S1480" s="4"/>
    </row>
    <row r="1481" spans="2:19">
      <c r="B1481" s="12"/>
      <c r="C1481" s="3"/>
      <c r="D1481" s="12"/>
      <c r="E1481" s="3"/>
      <c r="F1481" s="12"/>
      <c r="G1481" s="12"/>
      <c r="H1481" s="4"/>
      <c r="I1481" s="31"/>
      <c r="J1481" s="12"/>
      <c r="K1481" s="12"/>
      <c r="L1481" s="12"/>
      <c r="M1481" s="12"/>
      <c r="N1481" s="12"/>
      <c r="O1481" s="12"/>
      <c r="P1481" s="12"/>
      <c r="Q1481" s="12"/>
      <c r="R1481" s="13"/>
      <c r="S1481" s="4"/>
    </row>
    <row r="1482" spans="2:19">
      <c r="B1482" s="12"/>
      <c r="C1482" s="3"/>
      <c r="D1482" s="12"/>
      <c r="E1482" s="3"/>
      <c r="F1482" s="12"/>
      <c r="G1482" s="12"/>
      <c r="H1482" s="4"/>
      <c r="I1482" s="31"/>
      <c r="J1482" s="12"/>
      <c r="K1482" s="12"/>
      <c r="L1482" s="12"/>
      <c r="M1482" s="12"/>
      <c r="N1482" s="12"/>
      <c r="O1482" s="12"/>
      <c r="P1482" s="12"/>
      <c r="Q1482" s="12"/>
      <c r="R1482" s="13"/>
      <c r="S1482" s="4"/>
    </row>
    <row r="1483" spans="2:19">
      <c r="B1483" s="12"/>
      <c r="C1483" s="3"/>
      <c r="D1483" s="12"/>
      <c r="E1483" s="3"/>
      <c r="F1483" s="12"/>
      <c r="G1483" s="12"/>
      <c r="H1483" s="4"/>
      <c r="I1483" s="31"/>
      <c r="J1483" s="12"/>
      <c r="K1483" s="12"/>
      <c r="L1483" s="12"/>
      <c r="M1483" s="12"/>
      <c r="N1483" s="12"/>
      <c r="O1483" s="12"/>
      <c r="P1483" s="12"/>
      <c r="Q1483" s="12"/>
      <c r="R1483" s="13"/>
      <c r="S1483" s="4"/>
    </row>
    <row r="1484" spans="2:19">
      <c r="B1484" s="12"/>
      <c r="C1484" s="3"/>
      <c r="D1484" s="12"/>
      <c r="E1484" s="3"/>
      <c r="F1484" s="12"/>
      <c r="G1484" s="12"/>
      <c r="H1484" s="4"/>
      <c r="I1484" s="31"/>
      <c r="J1484" s="12"/>
      <c r="K1484" s="12"/>
      <c r="L1484" s="12"/>
      <c r="M1484" s="12"/>
      <c r="N1484" s="12"/>
      <c r="O1484" s="12"/>
      <c r="P1484" s="12"/>
      <c r="Q1484" s="12"/>
      <c r="R1484" s="13"/>
      <c r="S1484" s="4"/>
    </row>
    <row r="1485" spans="2:19">
      <c r="B1485" s="12"/>
      <c r="C1485" s="3"/>
      <c r="D1485" s="12"/>
      <c r="E1485" s="3"/>
      <c r="F1485" s="12"/>
      <c r="G1485" s="12"/>
      <c r="H1485" s="4"/>
      <c r="I1485" s="31"/>
      <c r="J1485" s="12"/>
      <c r="K1485" s="12"/>
      <c r="L1485" s="12"/>
      <c r="M1485" s="12"/>
      <c r="N1485" s="12"/>
      <c r="O1485" s="12"/>
      <c r="P1485" s="12"/>
      <c r="Q1485" s="12"/>
      <c r="R1485" s="13"/>
      <c r="S1485" s="4"/>
    </row>
    <row r="1486" spans="2:19">
      <c r="B1486" s="12"/>
      <c r="C1486" s="3"/>
      <c r="D1486" s="12"/>
      <c r="E1486" s="3"/>
      <c r="F1486" s="12"/>
      <c r="G1486" s="12"/>
      <c r="H1486" s="4"/>
      <c r="I1486" s="31"/>
      <c r="J1486" s="12"/>
      <c r="K1486" s="12"/>
      <c r="L1486" s="12"/>
      <c r="M1486" s="12"/>
      <c r="N1486" s="12"/>
      <c r="O1486" s="12"/>
      <c r="P1486" s="12"/>
      <c r="Q1486" s="12"/>
      <c r="R1486" s="13"/>
      <c r="S1486" s="4"/>
    </row>
    <row r="1487" spans="2:19">
      <c r="B1487" s="12"/>
      <c r="C1487" s="3"/>
      <c r="D1487" s="12"/>
      <c r="E1487" s="3"/>
      <c r="F1487" s="12"/>
      <c r="G1487" s="12"/>
      <c r="H1487" s="4"/>
      <c r="I1487" s="31"/>
      <c r="J1487" s="12"/>
      <c r="K1487" s="12"/>
      <c r="L1487" s="12"/>
      <c r="M1487" s="12"/>
      <c r="N1487" s="12"/>
      <c r="O1487" s="12"/>
      <c r="P1487" s="12"/>
      <c r="Q1487" s="12"/>
      <c r="R1487" s="13"/>
      <c r="S1487" s="4"/>
    </row>
    <row r="1488" spans="2:19">
      <c r="B1488" s="12"/>
      <c r="C1488" s="3"/>
      <c r="D1488" s="12"/>
      <c r="E1488" s="3"/>
      <c r="F1488" s="12"/>
      <c r="G1488" s="12"/>
      <c r="H1488" s="4"/>
      <c r="I1488" s="31"/>
      <c r="J1488" s="12"/>
      <c r="K1488" s="12"/>
      <c r="L1488" s="12"/>
      <c r="M1488" s="12"/>
      <c r="N1488" s="12"/>
      <c r="O1488" s="12"/>
      <c r="P1488" s="12"/>
      <c r="Q1488" s="12"/>
      <c r="R1488" s="13"/>
      <c r="S1488" s="4"/>
    </row>
    <row r="1489" spans="2:19">
      <c r="B1489" s="12"/>
      <c r="C1489" s="3"/>
      <c r="D1489" s="12"/>
      <c r="E1489" s="3"/>
      <c r="F1489" s="12"/>
      <c r="G1489" s="12"/>
      <c r="H1489" s="4"/>
      <c r="I1489" s="31"/>
      <c r="J1489" s="12"/>
      <c r="K1489" s="12"/>
      <c r="L1489" s="12"/>
      <c r="M1489" s="12"/>
      <c r="N1489" s="12"/>
      <c r="O1489" s="12"/>
      <c r="P1489" s="12"/>
      <c r="Q1489" s="12"/>
      <c r="R1489" s="13"/>
      <c r="S1489" s="4"/>
    </row>
    <row r="1490" spans="2:19">
      <c r="B1490" s="12"/>
      <c r="C1490" s="3"/>
      <c r="D1490" s="12"/>
      <c r="E1490" s="3"/>
      <c r="F1490" s="12"/>
      <c r="G1490" s="12"/>
      <c r="H1490" s="4"/>
      <c r="I1490" s="31"/>
      <c r="J1490" s="12"/>
      <c r="K1490" s="12"/>
      <c r="L1490" s="12"/>
      <c r="M1490" s="12"/>
      <c r="N1490" s="12"/>
      <c r="O1490" s="12"/>
      <c r="P1490" s="12"/>
      <c r="Q1490" s="12"/>
      <c r="R1490" s="13"/>
      <c r="S1490" s="4"/>
    </row>
    <row r="1491" spans="2:19">
      <c r="B1491" s="12"/>
      <c r="C1491" s="3"/>
      <c r="D1491" s="12"/>
      <c r="E1491" s="3"/>
      <c r="F1491" s="12"/>
      <c r="G1491" s="12"/>
      <c r="H1491" s="4"/>
      <c r="I1491" s="31"/>
      <c r="J1491" s="12"/>
      <c r="K1491" s="12"/>
      <c r="L1491" s="12"/>
      <c r="M1491" s="12"/>
      <c r="N1491" s="12"/>
      <c r="O1491" s="12"/>
      <c r="P1491" s="12"/>
      <c r="Q1491" s="12"/>
      <c r="R1491" s="13"/>
      <c r="S1491" s="4"/>
    </row>
    <row r="1492" spans="2:19">
      <c r="B1492" s="12"/>
      <c r="C1492" s="3"/>
      <c r="D1492" s="12"/>
      <c r="E1492" s="3"/>
      <c r="F1492" s="12"/>
      <c r="G1492" s="12"/>
      <c r="H1492" s="4"/>
      <c r="I1492" s="31"/>
      <c r="J1492" s="12"/>
      <c r="K1492" s="12"/>
      <c r="L1492" s="12"/>
      <c r="M1492" s="12"/>
      <c r="N1492" s="12"/>
      <c r="O1492" s="12"/>
      <c r="P1492" s="12"/>
      <c r="Q1492" s="12"/>
      <c r="R1492" s="13"/>
      <c r="S1492" s="4"/>
    </row>
    <row r="1493" spans="2:19">
      <c r="B1493" s="12"/>
      <c r="C1493" s="3"/>
      <c r="D1493" s="12"/>
      <c r="E1493" s="3"/>
      <c r="F1493" s="12"/>
      <c r="G1493" s="12"/>
      <c r="H1493" s="4"/>
      <c r="I1493" s="31"/>
      <c r="J1493" s="12"/>
      <c r="K1493" s="12"/>
      <c r="L1493" s="12"/>
      <c r="M1493" s="12"/>
      <c r="N1493" s="12"/>
      <c r="O1493" s="12"/>
      <c r="P1493" s="12"/>
      <c r="Q1493" s="12"/>
      <c r="R1493" s="13"/>
      <c r="S1493" s="4"/>
    </row>
    <row r="1494" spans="2:19">
      <c r="B1494" s="12"/>
      <c r="C1494" s="3"/>
      <c r="D1494" s="12"/>
      <c r="E1494" s="3"/>
      <c r="F1494" s="12"/>
      <c r="G1494" s="12"/>
      <c r="H1494" s="4"/>
      <c r="I1494" s="31"/>
      <c r="J1494" s="12"/>
      <c r="K1494" s="12"/>
      <c r="L1494" s="12"/>
      <c r="M1494" s="12"/>
      <c r="N1494" s="12"/>
      <c r="O1494" s="12"/>
      <c r="P1494" s="12"/>
      <c r="Q1494" s="12"/>
      <c r="R1494" s="13"/>
      <c r="S1494" s="4"/>
    </row>
    <row r="1495" spans="2:19">
      <c r="B1495" s="12"/>
      <c r="C1495" s="3"/>
      <c r="D1495" s="12"/>
      <c r="E1495" s="3"/>
      <c r="F1495" s="12"/>
      <c r="G1495" s="12"/>
      <c r="H1495" s="4"/>
      <c r="I1495" s="31"/>
      <c r="J1495" s="12"/>
      <c r="K1495" s="12"/>
      <c r="L1495" s="12"/>
      <c r="M1495" s="12"/>
      <c r="N1495" s="12"/>
      <c r="O1495" s="12"/>
      <c r="P1495" s="12"/>
      <c r="Q1495" s="12"/>
      <c r="R1495" s="13"/>
      <c r="S1495" s="4"/>
    </row>
    <row r="1496" spans="2:19">
      <c r="B1496" s="12"/>
      <c r="C1496" s="3"/>
      <c r="D1496" s="12"/>
      <c r="E1496" s="3"/>
      <c r="F1496" s="12"/>
      <c r="G1496" s="12"/>
      <c r="H1496" s="4"/>
      <c r="I1496" s="31"/>
      <c r="J1496" s="12"/>
      <c r="K1496" s="12"/>
      <c r="L1496" s="12"/>
      <c r="M1496" s="12"/>
      <c r="N1496" s="12"/>
      <c r="O1496" s="12"/>
      <c r="P1496" s="12"/>
      <c r="Q1496" s="12"/>
      <c r="R1496" s="13"/>
      <c r="S1496" s="4"/>
    </row>
    <row r="1497" spans="2:19">
      <c r="B1497" s="12"/>
      <c r="C1497" s="3"/>
      <c r="D1497" s="12"/>
      <c r="E1497" s="3"/>
      <c r="F1497" s="12"/>
      <c r="G1497" s="12"/>
      <c r="H1497" s="4"/>
      <c r="I1497" s="31"/>
      <c r="J1497" s="12"/>
      <c r="K1497" s="12"/>
      <c r="L1497" s="12"/>
      <c r="M1497" s="12"/>
      <c r="N1497" s="12"/>
      <c r="O1497" s="12"/>
      <c r="P1497" s="12"/>
      <c r="Q1497" s="12"/>
      <c r="R1497" s="13"/>
      <c r="S1497" s="4"/>
    </row>
    <row r="1498" spans="2:19">
      <c r="B1498" s="12"/>
      <c r="C1498" s="3"/>
      <c r="D1498" s="12"/>
      <c r="E1498" s="3"/>
      <c r="F1498" s="12"/>
      <c r="G1498" s="12"/>
      <c r="H1498" s="4"/>
      <c r="I1498" s="31"/>
      <c r="J1498" s="12"/>
      <c r="K1498" s="12"/>
      <c r="L1498" s="12"/>
      <c r="M1498" s="12"/>
      <c r="N1498" s="12"/>
      <c r="O1498" s="12"/>
      <c r="P1498" s="12"/>
      <c r="Q1498" s="12"/>
      <c r="R1498" s="13"/>
      <c r="S1498" s="4"/>
    </row>
    <row r="1499" spans="2:19">
      <c r="B1499" s="12"/>
      <c r="C1499" s="3"/>
      <c r="D1499" s="12"/>
      <c r="E1499" s="3"/>
      <c r="F1499" s="12"/>
      <c r="G1499" s="12"/>
      <c r="H1499" s="4"/>
      <c r="I1499" s="31"/>
      <c r="J1499" s="12"/>
      <c r="K1499" s="12"/>
      <c r="L1499" s="12"/>
      <c r="M1499" s="12"/>
      <c r="N1499" s="12"/>
      <c r="O1499" s="12"/>
      <c r="P1499" s="12"/>
      <c r="Q1499" s="12"/>
      <c r="R1499" s="13"/>
      <c r="S1499" s="4"/>
    </row>
    <row r="1500" spans="2:19">
      <c r="B1500" s="12"/>
      <c r="C1500" s="3"/>
      <c r="D1500" s="12"/>
      <c r="E1500" s="3"/>
      <c r="F1500" s="12"/>
      <c r="G1500" s="12"/>
      <c r="H1500" s="4"/>
      <c r="I1500" s="31"/>
      <c r="J1500" s="12"/>
      <c r="K1500" s="12"/>
      <c r="L1500" s="12"/>
      <c r="M1500" s="12"/>
      <c r="N1500" s="12"/>
      <c r="O1500" s="12"/>
      <c r="P1500" s="12"/>
      <c r="Q1500" s="12"/>
      <c r="R1500" s="13"/>
      <c r="S1500" s="4"/>
    </row>
    <row r="1501" spans="2:19">
      <c r="B1501" s="12"/>
      <c r="C1501" s="3"/>
      <c r="D1501" s="12"/>
      <c r="E1501" s="3"/>
      <c r="F1501" s="12"/>
      <c r="G1501" s="12"/>
      <c r="H1501" s="4"/>
      <c r="I1501" s="31"/>
      <c r="J1501" s="12"/>
      <c r="K1501" s="12"/>
      <c r="L1501" s="12"/>
      <c r="M1501" s="12"/>
      <c r="N1501" s="12"/>
      <c r="O1501" s="12"/>
      <c r="P1501" s="12"/>
      <c r="Q1501" s="12"/>
      <c r="R1501" s="13"/>
      <c r="S1501" s="4"/>
    </row>
    <row r="1502" spans="2:19">
      <c r="B1502" s="12"/>
      <c r="C1502" s="3"/>
      <c r="D1502" s="12"/>
      <c r="E1502" s="3"/>
      <c r="F1502" s="12"/>
      <c r="G1502" s="12"/>
      <c r="H1502" s="4"/>
      <c r="I1502" s="31"/>
      <c r="J1502" s="12"/>
      <c r="K1502" s="12"/>
      <c r="L1502" s="12"/>
      <c r="M1502" s="12"/>
      <c r="N1502" s="12"/>
      <c r="O1502" s="12"/>
      <c r="P1502" s="12"/>
      <c r="Q1502" s="12"/>
      <c r="R1502" s="13"/>
      <c r="S1502" s="4"/>
    </row>
    <row r="1503" spans="2:19">
      <c r="B1503" s="12"/>
      <c r="C1503" s="3"/>
      <c r="D1503" s="12"/>
      <c r="E1503" s="3"/>
      <c r="F1503" s="12"/>
      <c r="G1503" s="12"/>
      <c r="H1503" s="4"/>
      <c r="I1503" s="31"/>
      <c r="J1503" s="12"/>
      <c r="K1503" s="12"/>
      <c r="L1503" s="12"/>
      <c r="M1503" s="12"/>
      <c r="N1503" s="12"/>
      <c r="O1503" s="12"/>
      <c r="P1503" s="12"/>
      <c r="Q1503" s="12"/>
      <c r="R1503" s="13"/>
      <c r="S1503" s="4"/>
    </row>
    <row r="1504" spans="2:19">
      <c r="B1504" s="12"/>
      <c r="C1504" s="3"/>
      <c r="D1504" s="12"/>
      <c r="E1504" s="3"/>
      <c r="F1504" s="12"/>
      <c r="G1504" s="12"/>
      <c r="H1504" s="4"/>
      <c r="I1504" s="31"/>
      <c r="J1504" s="12"/>
      <c r="K1504" s="12"/>
      <c r="L1504" s="12"/>
      <c r="M1504" s="12"/>
      <c r="N1504" s="12"/>
      <c r="O1504" s="12"/>
      <c r="P1504" s="12"/>
      <c r="Q1504" s="12"/>
      <c r="R1504" s="13"/>
      <c r="S1504" s="4"/>
    </row>
    <row r="1505" spans="2:19">
      <c r="B1505" s="12"/>
      <c r="C1505" s="3"/>
      <c r="D1505" s="12"/>
      <c r="E1505" s="3"/>
      <c r="F1505" s="12"/>
      <c r="G1505" s="12"/>
      <c r="H1505" s="4"/>
      <c r="I1505" s="31"/>
      <c r="J1505" s="12"/>
      <c r="K1505" s="12"/>
      <c r="L1505" s="12"/>
      <c r="M1505" s="12"/>
      <c r="N1505" s="12"/>
      <c r="O1505" s="12"/>
      <c r="P1505" s="12"/>
      <c r="Q1505" s="12"/>
      <c r="R1505" s="13"/>
      <c r="S1505" s="4"/>
    </row>
    <row r="1506" spans="2:19">
      <c r="B1506" s="12"/>
      <c r="C1506" s="3"/>
      <c r="D1506" s="12"/>
      <c r="E1506" s="3"/>
      <c r="F1506" s="12"/>
      <c r="G1506" s="12"/>
      <c r="H1506" s="4"/>
      <c r="I1506" s="31"/>
      <c r="J1506" s="12"/>
      <c r="K1506" s="12"/>
      <c r="L1506" s="12"/>
      <c r="M1506" s="12"/>
      <c r="N1506" s="12"/>
      <c r="O1506" s="12"/>
      <c r="P1506" s="12"/>
      <c r="Q1506" s="12"/>
      <c r="R1506" s="13"/>
      <c r="S1506" s="4"/>
    </row>
    <row r="1507" spans="2:19">
      <c r="B1507" s="12"/>
      <c r="C1507" s="3"/>
      <c r="D1507" s="12"/>
      <c r="E1507" s="3"/>
      <c r="F1507" s="12"/>
      <c r="G1507" s="12"/>
      <c r="H1507" s="4"/>
      <c r="I1507" s="31"/>
      <c r="J1507" s="12"/>
      <c r="K1507" s="12"/>
      <c r="L1507" s="12"/>
      <c r="M1507" s="12"/>
      <c r="N1507" s="12"/>
      <c r="O1507" s="12"/>
      <c r="P1507" s="12"/>
      <c r="Q1507" s="12"/>
      <c r="R1507" s="13"/>
      <c r="S1507" s="4"/>
    </row>
    <row r="1508" spans="2:19">
      <c r="B1508" s="12"/>
      <c r="C1508" s="3"/>
      <c r="D1508" s="12"/>
      <c r="E1508" s="3"/>
      <c r="F1508" s="12"/>
      <c r="G1508" s="12"/>
      <c r="H1508" s="4"/>
      <c r="I1508" s="31"/>
      <c r="J1508" s="12"/>
      <c r="K1508" s="12"/>
      <c r="L1508" s="12"/>
      <c r="M1508" s="12"/>
      <c r="N1508" s="12"/>
      <c r="O1508" s="12"/>
      <c r="P1508" s="12"/>
      <c r="Q1508" s="12"/>
      <c r="R1508" s="13"/>
      <c r="S1508" s="4"/>
    </row>
    <row r="1509" spans="2:19">
      <c r="B1509" s="12"/>
      <c r="C1509" s="3"/>
      <c r="D1509" s="12"/>
      <c r="E1509" s="3"/>
      <c r="F1509" s="12"/>
      <c r="G1509" s="12"/>
      <c r="H1509" s="4"/>
      <c r="I1509" s="31"/>
      <c r="J1509" s="12"/>
      <c r="K1509" s="12"/>
      <c r="L1509" s="12"/>
      <c r="M1509" s="12"/>
      <c r="N1509" s="12"/>
      <c r="O1509" s="12"/>
      <c r="P1509" s="12"/>
      <c r="Q1509" s="12"/>
      <c r="R1509" s="13"/>
      <c r="S1509" s="4"/>
    </row>
    <row r="1510" spans="2:19">
      <c r="B1510" s="12"/>
      <c r="C1510" s="3"/>
      <c r="D1510" s="12"/>
      <c r="E1510" s="3"/>
      <c r="F1510" s="12"/>
      <c r="G1510" s="12"/>
      <c r="H1510" s="4"/>
      <c r="I1510" s="31"/>
      <c r="J1510" s="12"/>
      <c r="K1510" s="12"/>
      <c r="L1510" s="12"/>
      <c r="M1510" s="12"/>
      <c r="N1510" s="12"/>
      <c r="O1510" s="12"/>
      <c r="P1510" s="12"/>
      <c r="Q1510" s="12"/>
      <c r="R1510" s="13"/>
      <c r="S1510" s="4"/>
    </row>
    <row r="1511" spans="2:19">
      <c r="B1511" s="12"/>
      <c r="C1511" s="3"/>
      <c r="D1511" s="12"/>
      <c r="E1511" s="3"/>
      <c r="F1511" s="12"/>
      <c r="G1511" s="12"/>
      <c r="H1511" s="4"/>
      <c r="I1511" s="31"/>
      <c r="J1511" s="12"/>
      <c r="K1511" s="12"/>
      <c r="L1511" s="12"/>
      <c r="M1511" s="12"/>
      <c r="N1511" s="12"/>
      <c r="O1511" s="12"/>
      <c r="P1511" s="12"/>
      <c r="Q1511" s="12"/>
      <c r="R1511" s="13"/>
      <c r="S1511" s="4"/>
    </row>
    <row r="1512" spans="2:19">
      <c r="B1512" s="12"/>
      <c r="C1512" s="3"/>
      <c r="D1512" s="12"/>
      <c r="E1512" s="3"/>
      <c r="F1512" s="12"/>
      <c r="G1512" s="12"/>
      <c r="H1512" s="4"/>
      <c r="I1512" s="31"/>
      <c r="J1512" s="12"/>
      <c r="K1512" s="12"/>
      <c r="L1512" s="12"/>
      <c r="M1512" s="12"/>
      <c r="N1512" s="12"/>
      <c r="O1512" s="12"/>
      <c r="P1512" s="12"/>
      <c r="Q1512" s="12"/>
      <c r="R1512" s="13"/>
      <c r="S1512" s="4"/>
    </row>
    <row r="1513" spans="2:19">
      <c r="B1513" s="12"/>
      <c r="C1513" s="3"/>
      <c r="D1513" s="12"/>
      <c r="E1513" s="3"/>
      <c r="F1513" s="12"/>
      <c r="G1513" s="12"/>
      <c r="H1513" s="4"/>
      <c r="I1513" s="31"/>
      <c r="J1513" s="12"/>
      <c r="K1513" s="12"/>
      <c r="L1513" s="12"/>
      <c r="M1513" s="12"/>
      <c r="N1513" s="12"/>
      <c r="O1513" s="12"/>
      <c r="P1513" s="12"/>
      <c r="Q1513" s="12"/>
      <c r="R1513" s="13"/>
      <c r="S1513" s="4"/>
    </row>
    <row r="1514" spans="2:19">
      <c r="B1514" s="12"/>
      <c r="C1514" s="3"/>
      <c r="D1514" s="12"/>
      <c r="E1514" s="3"/>
      <c r="F1514" s="12"/>
      <c r="G1514" s="12"/>
      <c r="H1514" s="4"/>
      <c r="I1514" s="31"/>
      <c r="J1514" s="12"/>
      <c r="K1514" s="12"/>
      <c r="L1514" s="12"/>
      <c r="M1514" s="12"/>
      <c r="N1514" s="12"/>
      <c r="O1514" s="12"/>
      <c r="P1514" s="12"/>
      <c r="Q1514" s="12"/>
      <c r="R1514" s="13"/>
      <c r="S1514" s="4"/>
    </row>
    <row r="1515" spans="2:19">
      <c r="B1515" s="12"/>
      <c r="C1515" s="3"/>
      <c r="D1515" s="12"/>
      <c r="E1515" s="3"/>
      <c r="F1515" s="12"/>
      <c r="G1515" s="12"/>
      <c r="H1515" s="4"/>
      <c r="I1515" s="31"/>
      <c r="J1515" s="12"/>
      <c r="K1515" s="12"/>
      <c r="L1515" s="12"/>
      <c r="M1515" s="12"/>
      <c r="N1515" s="12"/>
      <c r="O1515" s="12"/>
      <c r="P1515" s="12"/>
      <c r="Q1515" s="12"/>
      <c r="R1515" s="13"/>
      <c r="S1515" s="4"/>
    </row>
    <row r="1516" spans="2:19">
      <c r="B1516" s="12"/>
      <c r="C1516" s="3"/>
      <c r="D1516" s="12"/>
      <c r="E1516" s="3"/>
      <c r="F1516" s="12"/>
      <c r="G1516" s="12"/>
      <c r="H1516" s="4"/>
      <c r="I1516" s="31"/>
      <c r="J1516" s="12"/>
      <c r="K1516" s="12"/>
      <c r="L1516" s="12"/>
      <c r="M1516" s="12"/>
      <c r="N1516" s="12"/>
      <c r="O1516" s="12"/>
      <c r="P1516" s="12"/>
      <c r="Q1516" s="12"/>
      <c r="R1516" s="13"/>
      <c r="S1516" s="4"/>
    </row>
    <row r="1517" spans="2:19">
      <c r="B1517" s="12"/>
      <c r="C1517" s="3"/>
      <c r="D1517" s="12"/>
      <c r="E1517" s="3"/>
      <c r="F1517" s="12"/>
      <c r="G1517" s="12"/>
      <c r="H1517" s="4"/>
      <c r="I1517" s="31"/>
      <c r="J1517" s="12"/>
      <c r="K1517" s="12"/>
      <c r="L1517" s="12"/>
      <c r="M1517" s="12"/>
      <c r="N1517" s="12"/>
      <c r="O1517" s="12"/>
      <c r="P1517" s="12"/>
      <c r="Q1517" s="12"/>
      <c r="R1517" s="13"/>
      <c r="S1517" s="4"/>
    </row>
    <row r="1518" spans="2:19">
      <c r="B1518" s="12"/>
      <c r="C1518" s="3"/>
      <c r="D1518" s="12"/>
      <c r="E1518" s="3"/>
      <c r="F1518" s="12"/>
      <c r="G1518" s="12"/>
      <c r="H1518" s="4"/>
      <c r="I1518" s="31"/>
      <c r="J1518" s="12"/>
      <c r="K1518" s="12"/>
      <c r="L1518" s="12"/>
      <c r="M1518" s="12"/>
      <c r="N1518" s="12"/>
      <c r="O1518" s="12"/>
      <c r="P1518" s="12"/>
      <c r="Q1518" s="12"/>
      <c r="R1518" s="13"/>
      <c r="S1518" s="4"/>
    </row>
    <row r="1519" spans="2:19">
      <c r="B1519" s="12"/>
      <c r="C1519" s="3"/>
      <c r="D1519" s="12"/>
      <c r="E1519" s="3"/>
      <c r="F1519" s="12"/>
      <c r="G1519" s="12"/>
      <c r="H1519" s="4"/>
      <c r="I1519" s="31"/>
      <c r="J1519" s="12"/>
      <c r="K1519" s="12"/>
      <c r="L1519" s="12"/>
      <c r="M1519" s="12"/>
      <c r="N1519" s="12"/>
      <c r="O1519" s="12"/>
      <c r="P1519" s="12"/>
      <c r="Q1519" s="12"/>
      <c r="R1519" s="13"/>
      <c r="S1519" s="4"/>
    </row>
    <row r="1520" spans="2:19">
      <c r="B1520" s="12"/>
      <c r="C1520" s="3"/>
      <c r="D1520" s="12"/>
      <c r="E1520" s="3"/>
      <c r="F1520" s="12"/>
      <c r="G1520" s="12"/>
      <c r="H1520" s="4"/>
      <c r="I1520" s="31"/>
      <c r="J1520" s="12"/>
      <c r="K1520" s="12"/>
      <c r="L1520" s="12"/>
      <c r="M1520" s="12"/>
      <c r="N1520" s="12"/>
      <c r="O1520" s="12"/>
      <c r="P1520" s="12"/>
      <c r="Q1520" s="12"/>
      <c r="R1520" s="13"/>
      <c r="S1520" s="4"/>
    </row>
    <row r="1521" spans="2:19">
      <c r="B1521" s="12"/>
      <c r="C1521" s="3"/>
      <c r="D1521" s="12"/>
      <c r="E1521" s="3"/>
      <c r="F1521" s="12"/>
      <c r="G1521" s="12"/>
      <c r="H1521" s="4"/>
      <c r="I1521" s="31"/>
      <c r="J1521" s="12"/>
      <c r="K1521" s="12"/>
      <c r="L1521" s="12"/>
      <c r="M1521" s="12"/>
      <c r="N1521" s="12"/>
      <c r="O1521" s="12"/>
      <c r="P1521" s="12"/>
      <c r="Q1521" s="12"/>
      <c r="R1521" s="13"/>
      <c r="S1521" s="4"/>
    </row>
    <row r="1522" spans="2:19">
      <c r="B1522" s="12"/>
      <c r="C1522" s="3"/>
      <c r="D1522" s="12"/>
      <c r="E1522" s="3"/>
      <c r="F1522" s="12"/>
      <c r="G1522" s="12"/>
      <c r="H1522" s="4"/>
      <c r="I1522" s="31"/>
      <c r="J1522" s="12"/>
      <c r="K1522" s="12"/>
      <c r="L1522" s="12"/>
      <c r="M1522" s="12"/>
      <c r="N1522" s="12"/>
      <c r="O1522" s="12"/>
      <c r="P1522" s="12"/>
      <c r="Q1522" s="12"/>
      <c r="R1522" s="13"/>
      <c r="S1522" s="4"/>
    </row>
    <row r="1523" spans="2:19">
      <c r="B1523" s="12"/>
      <c r="C1523" s="3"/>
      <c r="D1523" s="12"/>
      <c r="E1523" s="3"/>
      <c r="F1523" s="12"/>
      <c r="G1523" s="12"/>
      <c r="H1523" s="4"/>
      <c r="I1523" s="31"/>
      <c r="J1523" s="12"/>
      <c r="K1523" s="12"/>
      <c r="L1523" s="12"/>
      <c r="M1523" s="12"/>
      <c r="N1523" s="12"/>
      <c r="O1523" s="12"/>
      <c r="P1523" s="12"/>
      <c r="Q1523" s="12"/>
      <c r="R1523" s="13"/>
      <c r="S1523" s="4"/>
    </row>
    <row r="1524" spans="2:19">
      <c r="B1524" s="12"/>
      <c r="C1524" s="3"/>
      <c r="D1524" s="12"/>
      <c r="E1524" s="3"/>
      <c r="F1524" s="12"/>
      <c r="G1524" s="12"/>
      <c r="H1524" s="4"/>
      <c r="I1524" s="31"/>
      <c r="J1524" s="12"/>
      <c r="K1524" s="12"/>
      <c r="L1524" s="12"/>
      <c r="M1524" s="12"/>
      <c r="N1524" s="12"/>
      <c r="O1524" s="12"/>
      <c r="P1524" s="12"/>
      <c r="Q1524" s="12"/>
      <c r="R1524" s="13"/>
      <c r="S1524" s="4"/>
    </row>
    <row r="1525" spans="2:19">
      <c r="B1525" s="12"/>
      <c r="C1525" s="3"/>
      <c r="D1525" s="12"/>
      <c r="E1525" s="3"/>
      <c r="F1525" s="12"/>
      <c r="G1525" s="12"/>
      <c r="H1525" s="4"/>
      <c r="I1525" s="31"/>
      <c r="J1525" s="12"/>
      <c r="K1525" s="12"/>
      <c r="L1525" s="12"/>
      <c r="M1525" s="12"/>
      <c r="N1525" s="12"/>
      <c r="O1525" s="12"/>
      <c r="P1525" s="12"/>
      <c r="Q1525" s="12"/>
      <c r="R1525" s="13"/>
      <c r="S1525" s="4"/>
    </row>
    <row r="1526" spans="2:19">
      <c r="B1526" s="12"/>
      <c r="C1526" s="3"/>
      <c r="D1526" s="12"/>
      <c r="E1526" s="3"/>
      <c r="F1526" s="12"/>
      <c r="G1526" s="12"/>
      <c r="H1526" s="4"/>
      <c r="I1526" s="31"/>
      <c r="J1526" s="12"/>
      <c r="K1526" s="12"/>
      <c r="L1526" s="12"/>
      <c r="M1526" s="12"/>
      <c r="N1526" s="12"/>
      <c r="O1526" s="12"/>
      <c r="P1526" s="12"/>
      <c r="Q1526" s="12"/>
      <c r="R1526" s="13"/>
      <c r="S1526" s="4"/>
    </row>
    <row r="1527" spans="2:19">
      <c r="B1527" s="12"/>
      <c r="C1527" s="3"/>
      <c r="D1527" s="12"/>
      <c r="E1527" s="3"/>
      <c r="F1527" s="12"/>
      <c r="G1527" s="12"/>
      <c r="H1527" s="4"/>
      <c r="I1527" s="31"/>
      <c r="J1527" s="12"/>
      <c r="K1527" s="12"/>
      <c r="L1527" s="12"/>
      <c r="M1527" s="12"/>
      <c r="N1527" s="12"/>
      <c r="O1527" s="12"/>
      <c r="P1527" s="12"/>
      <c r="Q1527" s="12"/>
      <c r="R1527" s="13"/>
      <c r="S1527" s="4"/>
    </row>
    <row r="1528" spans="2:19">
      <c r="B1528" s="12"/>
      <c r="C1528" s="3"/>
      <c r="D1528" s="12"/>
      <c r="E1528" s="3"/>
      <c r="F1528" s="12"/>
      <c r="G1528" s="12"/>
      <c r="H1528" s="4"/>
      <c r="I1528" s="31"/>
      <c r="J1528" s="12"/>
      <c r="K1528" s="12"/>
      <c r="L1528" s="12"/>
      <c r="M1528" s="12"/>
      <c r="N1528" s="12"/>
      <c r="O1528" s="12"/>
      <c r="P1528" s="12"/>
      <c r="Q1528" s="12"/>
      <c r="R1528" s="13"/>
      <c r="S1528" s="4"/>
    </row>
    <row r="1529" spans="2:19">
      <c r="B1529" s="12"/>
      <c r="C1529" s="3"/>
      <c r="D1529" s="12"/>
      <c r="E1529" s="3"/>
      <c r="F1529" s="12"/>
      <c r="G1529" s="12"/>
      <c r="H1529" s="4"/>
      <c r="I1529" s="31"/>
      <c r="J1529" s="12"/>
      <c r="K1529" s="12"/>
      <c r="L1529" s="12"/>
      <c r="M1529" s="12"/>
      <c r="N1529" s="12"/>
      <c r="O1529" s="12"/>
      <c r="P1529" s="12"/>
      <c r="Q1529" s="12"/>
      <c r="R1529" s="13"/>
      <c r="S1529" s="4"/>
    </row>
    <row r="1530" spans="2:19">
      <c r="B1530" s="12"/>
      <c r="C1530" s="3"/>
      <c r="D1530" s="12"/>
      <c r="E1530" s="3"/>
      <c r="F1530" s="12"/>
      <c r="G1530" s="12"/>
      <c r="H1530" s="4"/>
      <c r="I1530" s="31"/>
      <c r="J1530" s="12"/>
      <c r="K1530" s="12"/>
      <c r="L1530" s="12"/>
      <c r="M1530" s="12"/>
      <c r="N1530" s="12"/>
      <c r="O1530" s="12"/>
      <c r="P1530" s="12"/>
      <c r="Q1530" s="12"/>
      <c r="R1530" s="13"/>
      <c r="S1530" s="4"/>
    </row>
    <row r="1531" spans="2:19">
      <c r="B1531" s="12"/>
      <c r="C1531" s="3"/>
      <c r="D1531" s="12"/>
      <c r="E1531" s="3"/>
      <c r="F1531" s="12"/>
      <c r="G1531" s="12"/>
      <c r="H1531" s="4"/>
      <c r="I1531" s="31"/>
      <c r="J1531" s="12"/>
      <c r="K1531" s="12"/>
      <c r="L1531" s="12"/>
      <c r="M1531" s="12"/>
      <c r="N1531" s="12"/>
      <c r="O1531" s="12"/>
      <c r="P1531" s="12"/>
      <c r="Q1531" s="12"/>
      <c r="R1531" s="13"/>
      <c r="S1531" s="4"/>
    </row>
    <row r="1532" spans="2:19">
      <c r="B1532" s="12"/>
      <c r="C1532" s="3"/>
      <c r="D1532" s="12"/>
      <c r="E1532" s="3"/>
      <c r="F1532" s="12"/>
      <c r="G1532" s="12"/>
      <c r="H1532" s="4"/>
      <c r="I1532" s="31"/>
      <c r="J1532" s="12"/>
      <c r="K1532" s="12"/>
      <c r="L1532" s="12"/>
      <c r="M1532" s="12"/>
      <c r="N1532" s="12"/>
      <c r="O1532" s="12"/>
      <c r="P1532" s="12"/>
      <c r="Q1532" s="12"/>
      <c r="R1532" s="13"/>
      <c r="S1532" s="4"/>
    </row>
    <row r="1533" spans="2:19">
      <c r="B1533" s="12"/>
      <c r="C1533" s="3"/>
      <c r="D1533" s="12"/>
      <c r="E1533" s="3"/>
      <c r="F1533" s="12"/>
      <c r="G1533" s="12"/>
      <c r="H1533" s="4"/>
      <c r="I1533" s="31"/>
      <c r="J1533" s="12"/>
      <c r="K1533" s="12"/>
      <c r="L1533" s="12"/>
      <c r="M1533" s="12"/>
      <c r="N1533" s="12"/>
      <c r="O1533" s="12"/>
      <c r="P1533" s="12"/>
      <c r="Q1533" s="12"/>
      <c r="R1533" s="13"/>
      <c r="S1533" s="4"/>
    </row>
    <row r="1534" spans="2:19">
      <c r="B1534" s="12"/>
      <c r="C1534" s="3"/>
      <c r="D1534" s="12"/>
      <c r="E1534" s="3"/>
      <c r="F1534" s="12"/>
      <c r="G1534" s="12"/>
      <c r="H1534" s="4"/>
      <c r="I1534" s="31"/>
      <c r="J1534" s="12"/>
      <c r="K1534" s="12"/>
      <c r="L1534" s="12"/>
      <c r="M1534" s="12"/>
      <c r="N1534" s="12"/>
      <c r="O1534" s="12"/>
      <c r="P1534" s="12"/>
      <c r="Q1534" s="12"/>
      <c r="R1534" s="13"/>
      <c r="S1534" s="4"/>
    </row>
    <row r="1535" spans="2:19">
      <c r="B1535" s="12"/>
      <c r="C1535" s="3"/>
      <c r="D1535" s="12"/>
      <c r="E1535" s="3"/>
      <c r="F1535" s="12"/>
      <c r="G1535" s="12"/>
      <c r="H1535" s="4"/>
      <c r="I1535" s="31"/>
      <c r="J1535" s="12"/>
      <c r="K1535" s="12"/>
      <c r="L1535" s="12"/>
      <c r="M1535" s="12"/>
      <c r="N1535" s="12"/>
      <c r="O1535" s="12"/>
      <c r="P1535" s="12"/>
      <c r="Q1535" s="12"/>
      <c r="R1535" s="13"/>
      <c r="S1535" s="4"/>
    </row>
    <row r="1536" spans="2:19">
      <c r="B1536" s="12"/>
      <c r="C1536" s="3"/>
      <c r="D1536" s="12"/>
      <c r="E1536" s="3"/>
      <c r="F1536" s="12"/>
      <c r="G1536" s="12"/>
      <c r="H1536" s="4"/>
      <c r="I1536" s="31"/>
      <c r="J1536" s="12"/>
      <c r="K1536" s="12"/>
      <c r="L1536" s="12"/>
      <c r="M1536" s="12"/>
      <c r="N1536" s="12"/>
      <c r="O1536" s="12"/>
      <c r="P1536" s="12"/>
      <c r="Q1536" s="12"/>
      <c r="R1536" s="13"/>
      <c r="S1536" s="4"/>
    </row>
    <row r="1537" spans="2:19">
      <c r="B1537" s="12"/>
      <c r="C1537" s="3"/>
      <c r="D1537" s="12"/>
      <c r="E1537" s="3"/>
      <c r="F1537" s="12"/>
      <c r="G1537" s="12"/>
      <c r="H1537" s="4"/>
      <c r="I1537" s="31"/>
      <c r="J1537" s="12"/>
      <c r="K1537" s="12"/>
      <c r="L1537" s="12"/>
      <c r="M1537" s="12"/>
      <c r="N1537" s="12"/>
      <c r="O1537" s="12"/>
      <c r="P1537" s="12"/>
      <c r="Q1537" s="12"/>
      <c r="R1537" s="13"/>
      <c r="S1537" s="4"/>
    </row>
    <row r="1538" spans="2:19">
      <c r="B1538" s="12"/>
      <c r="C1538" s="3"/>
      <c r="D1538" s="12"/>
      <c r="E1538" s="3"/>
      <c r="F1538" s="12"/>
      <c r="G1538" s="12"/>
      <c r="H1538" s="4"/>
      <c r="I1538" s="31"/>
      <c r="J1538" s="12"/>
      <c r="K1538" s="12"/>
      <c r="L1538" s="12"/>
      <c r="M1538" s="12"/>
      <c r="N1538" s="12"/>
      <c r="O1538" s="12"/>
      <c r="P1538" s="12"/>
      <c r="Q1538" s="12"/>
      <c r="R1538" s="13"/>
      <c r="S1538" s="4"/>
    </row>
    <row r="1539" spans="2:19">
      <c r="B1539" s="12"/>
      <c r="C1539" s="3"/>
      <c r="D1539" s="12"/>
      <c r="E1539" s="3"/>
      <c r="F1539" s="12"/>
      <c r="G1539" s="12"/>
      <c r="H1539" s="4"/>
      <c r="I1539" s="31"/>
      <c r="J1539" s="12"/>
      <c r="K1539" s="12"/>
      <c r="L1539" s="12"/>
      <c r="M1539" s="12"/>
      <c r="N1539" s="12"/>
      <c r="O1539" s="12"/>
      <c r="P1539" s="12"/>
      <c r="Q1539" s="12"/>
      <c r="R1539" s="13"/>
      <c r="S1539" s="4"/>
    </row>
    <row r="1540" spans="2:19">
      <c r="B1540" s="12"/>
      <c r="C1540" s="3"/>
      <c r="D1540" s="12"/>
      <c r="E1540" s="3"/>
      <c r="F1540" s="12"/>
      <c r="G1540" s="12"/>
      <c r="H1540" s="4"/>
      <c r="I1540" s="31"/>
      <c r="J1540" s="12"/>
      <c r="K1540" s="12"/>
      <c r="L1540" s="12"/>
      <c r="M1540" s="12"/>
      <c r="N1540" s="12"/>
      <c r="O1540" s="12"/>
      <c r="P1540" s="12"/>
      <c r="Q1540" s="12"/>
      <c r="R1540" s="13"/>
      <c r="S1540" s="4"/>
    </row>
    <row r="1541" spans="2:19">
      <c r="B1541" s="12"/>
      <c r="C1541" s="3"/>
      <c r="D1541" s="12"/>
      <c r="E1541" s="3"/>
      <c r="F1541" s="12"/>
      <c r="G1541" s="12"/>
      <c r="H1541" s="4"/>
      <c r="I1541" s="31"/>
      <c r="J1541" s="12"/>
      <c r="K1541" s="12"/>
      <c r="L1541" s="12"/>
      <c r="M1541" s="12"/>
      <c r="N1541" s="12"/>
      <c r="O1541" s="12"/>
      <c r="P1541" s="12"/>
      <c r="Q1541" s="12"/>
      <c r="R1541" s="13"/>
      <c r="S1541" s="4"/>
    </row>
    <row r="1542" spans="2:19">
      <c r="B1542" s="12"/>
      <c r="C1542" s="3"/>
      <c r="D1542" s="12"/>
      <c r="E1542" s="3"/>
      <c r="F1542" s="12"/>
      <c r="G1542" s="12"/>
      <c r="H1542" s="4"/>
      <c r="I1542" s="31"/>
      <c r="J1542" s="12"/>
      <c r="K1542" s="12"/>
      <c r="L1542" s="12"/>
      <c r="M1542" s="12"/>
      <c r="N1542" s="12"/>
      <c r="O1542" s="12"/>
      <c r="P1542" s="12"/>
      <c r="Q1542" s="12"/>
      <c r="R1542" s="13"/>
      <c r="S1542" s="4"/>
    </row>
    <row r="1543" spans="2:19">
      <c r="B1543" s="12"/>
      <c r="C1543" s="3"/>
      <c r="D1543" s="12"/>
      <c r="E1543" s="3"/>
      <c r="F1543" s="12"/>
      <c r="G1543" s="12"/>
      <c r="H1543" s="4"/>
      <c r="I1543" s="31"/>
      <c r="J1543" s="12"/>
      <c r="K1543" s="12"/>
      <c r="L1543" s="12"/>
      <c r="M1543" s="12"/>
      <c r="N1543" s="12"/>
      <c r="O1543" s="12"/>
      <c r="P1543" s="12"/>
      <c r="Q1543" s="12"/>
      <c r="R1543" s="13"/>
      <c r="S1543" s="4"/>
    </row>
    <row r="1544" spans="2:19">
      <c r="B1544" s="12"/>
      <c r="C1544" s="3"/>
      <c r="D1544" s="12"/>
      <c r="E1544" s="3"/>
      <c r="F1544" s="12"/>
      <c r="G1544" s="12"/>
      <c r="H1544" s="4"/>
      <c r="I1544" s="31"/>
      <c r="J1544" s="12"/>
      <c r="K1544" s="12"/>
      <c r="L1544" s="12"/>
      <c r="M1544" s="12"/>
      <c r="N1544" s="12"/>
      <c r="O1544" s="12"/>
      <c r="P1544" s="12"/>
      <c r="Q1544" s="12"/>
      <c r="R1544" s="13"/>
      <c r="S1544" s="4"/>
    </row>
    <row r="1545" spans="2:19">
      <c r="B1545" s="12"/>
      <c r="C1545" s="3"/>
      <c r="D1545" s="12"/>
      <c r="E1545" s="3"/>
      <c r="F1545" s="12"/>
      <c r="G1545" s="12"/>
      <c r="H1545" s="4"/>
      <c r="I1545" s="31"/>
      <c r="J1545" s="12"/>
      <c r="K1545" s="12"/>
      <c r="L1545" s="12"/>
      <c r="M1545" s="12"/>
      <c r="N1545" s="12"/>
      <c r="O1545" s="12"/>
      <c r="P1545" s="12"/>
      <c r="Q1545" s="12"/>
      <c r="R1545" s="13"/>
      <c r="S1545" s="4"/>
    </row>
    <row r="1546" spans="2:19">
      <c r="B1546" s="12"/>
      <c r="C1546" s="3"/>
      <c r="D1546" s="12"/>
      <c r="E1546" s="3"/>
      <c r="F1546" s="12"/>
      <c r="G1546" s="12"/>
      <c r="H1546" s="4"/>
      <c r="I1546" s="31"/>
      <c r="J1546" s="12"/>
      <c r="K1546" s="12"/>
      <c r="L1546" s="12"/>
      <c r="M1546" s="12"/>
      <c r="N1546" s="12"/>
      <c r="O1546" s="12"/>
      <c r="P1546" s="12"/>
      <c r="Q1546" s="12"/>
      <c r="R1546" s="13"/>
      <c r="S1546" s="4"/>
    </row>
    <row r="1547" spans="2:19">
      <c r="B1547" s="12"/>
      <c r="C1547" s="3"/>
      <c r="D1547" s="12"/>
      <c r="E1547" s="3"/>
      <c r="F1547" s="12"/>
      <c r="G1547" s="12"/>
      <c r="H1547" s="4"/>
      <c r="I1547" s="31"/>
      <c r="J1547" s="12"/>
      <c r="K1547" s="12"/>
      <c r="L1547" s="12"/>
      <c r="M1547" s="12"/>
      <c r="N1547" s="12"/>
      <c r="O1547" s="12"/>
      <c r="P1547" s="12"/>
      <c r="Q1547" s="12"/>
      <c r="R1547" s="13"/>
      <c r="S1547" s="4"/>
    </row>
    <row r="1548" spans="2:19">
      <c r="B1548" s="12"/>
      <c r="C1548" s="3"/>
      <c r="D1548" s="12"/>
      <c r="E1548" s="3"/>
      <c r="F1548" s="12"/>
      <c r="G1548" s="12"/>
      <c r="H1548" s="4"/>
      <c r="I1548" s="31"/>
      <c r="J1548" s="12"/>
      <c r="K1548" s="12"/>
      <c r="L1548" s="12"/>
      <c r="M1548" s="12"/>
      <c r="N1548" s="12"/>
      <c r="O1548" s="12"/>
      <c r="P1548" s="12"/>
      <c r="Q1548" s="12"/>
      <c r="R1548" s="13"/>
      <c r="S1548" s="4"/>
    </row>
    <row r="1549" spans="2:19">
      <c r="B1549" s="12"/>
      <c r="C1549" s="3"/>
      <c r="D1549" s="12"/>
      <c r="E1549" s="3"/>
      <c r="F1549" s="12"/>
      <c r="G1549" s="12"/>
      <c r="H1549" s="4"/>
      <c r="I1549" s="31"/>
      <c r="J1549" s="12"/>
      <c r="K1549" s="12"/>
      <c r="L1549" s="12"/>
      <c r="M1549" s="12"/>
      <c r="N1549" s="12"/>
      <c r="O1549" s="12"/>
      <c r="P1549" s="12"/>
      <c r="Q1549" s="12"/>
      <c r="R1549" s="13"/>
      <c r="S1549" s="4"/>
    </row>
    <row r="1550" spans="2:19">
      <c r="B1550" s="12"/>
      <c r="C1550" s="3"/>
      <c r="D1550" s="12"/>
      <c r="E1550" s="3"/>
      <c r="F1550" s="12"/>
      <c r="G1550" s="12"/>
      <c r="H1550" s="4"/>
      <c r="I1550" s="31"/>
      <c r="J1550" s="12"/>
      <c r="K1550" s="12"/>
      <c r="L1550" s="12"/>
      <c r="M1550" s="12"/>
      <c r="N1550" s="12"/>
      <c r="O1550" s="12"/>
      <c r="P1550" s="12"/>
      <c r="Q1550" s="12"/>
      <c r="R1550" s="13"/>
      <c r="S1550" s="4"/>
    </row>
    <row r="1551" spans="2:19">
      <c r="B1551" s="12"/>
      <c r="C1551" s="3"/>
      <c r="D1551" s="12"/>
      <c r="E1551" s="3"/>
      <c r="F1551" s="12"/>
      <c r="G1551" s="12"/>
      <c r="H1551" s="4"/>
      <c r="I1551" s="31"/>
      <c r="J1551" s="12"/>
      <c r="K1551" s="12"/>
      <c r="L1551" s="12"/>
      <c r="M1551" s="12"/>
      <c r="N1551" s="12"/>
      <c r="O1551" s="12"/>
      <c r="P1551" s="12"/>
      <c r="Q1551" s="12"/>
      <c r="R1551" s="13"/>
      <c r="S1551" s="4"/>
    </row>
    <row r="1552" spans="2:19">
      <c r="B1552" s="12"/>
      <c r="C1552" s="3"/>
      <c r="D1552" s="12"/>
      <c r="E1552" s="3"/>
      <c r="F1552" s="12"/>
      <c r="G1552" s="12"/>
      <c r="H1552" s="4"/>
      <c r="I1552" s="31"/>
      <c r="J1552" s="12"/>
      <c r="K1552" s="12"/>
      <c r="L1552" s="12"/>
      <c r="M1552" s="12"/>
      <c r="N1552" s="12"/>
      <c r="O1552" s="12"/>
      <c r="P1552" s="12"/>
      <c r="Q1552" s="12"/>
      <c r="R1552" s="13"/>
      <c r="S1552" s="4"/>
    </row>
    <row r="1553" spans="2:19">
      <c r="B1553" s="12"/>
      <c r="C1553" s="3"/>
      <c r="D1553" s="12"/>
      <c r="E1553" s="3"/>
      <c r="F1553" s="12"/>
      <c r="G1553" s="12"/>
      <c r="H1553" s="4"/>
      <c r="I1553" s="31"/>
      <c r="J1553" s="12"/>
      <c r="K1553" s="12"/>
      <c r="L1553" s="12"/>
      <c r="M1553" s="12"/>
      <c r="N1553" s="12"/>
      <c r="O1553" s="12"/>
      <c r="P1553" s="12"/>
      <c r="Q1553" s="12"/>
      <c r="R1553" s="13"/>
      <c r="S1553" s="4"/>
    </row>
    <row r="1554" spans="2:19">
      <c r="B1554" s="12"/>
      <c r="C1554" s="3"/>
      <c r="D1554" s="12"/>
      <c r="E1554" s="3"/>
      <c r="F1554" s="12"/>
      <c r="G1554" s="12"/>
      <c r="H1554" s="4"/>
      <c r="I1554" s="31"/>
      <c r="J1554" s="12"/>
      <c r="K1554" s="12"/>
      <c r="L1554" s="12"/>
      <c r="M1554" s="12"/>
      <c r="N1554" s="12"/>
      <c r="O1554" s="12"/>
      <c r="P1554" s="12"/>
      <c r="Q1554" s="12"/>
      <c r="R1554" s="13"/>
      <c r="S1554" s="4"/>
    </row>
    <row r="1555" spans="2:19">
      <c r="B1555" s="12"/>
      <c r="C1555" s="3"/>
      <c r="D1555" s="12"/>
      <c r="E1555" s="3"/>
      <c r="F1555" s="12"/>
      <c r="G1555" s="12"/>
      <c r="H1555" s="4"/>
      <c r="I1555" s="31"/>
      <c r="J1555" s="12"/>
      <c r="K1555" s="12"/>
      <c r="L1555" s="12"/>
      <c r="M1555" s="12"/>
      <c r="N1555" s="12"/>
      <c r="O1555" s="12"/>
      <c r="P1555" s="12"/>
      <c r="Q1555" s="12"/>
      <c r="R1555" s="13"/>
      <c r="S1555" s="4"/>
    </row>
    <row r="1556" spans="2:19">
      <c r="B1556" s="12"/>
      <c r="C1556" s="3"/>
      <c r="D1556" s="12"/>
      <c r="E1556" s="3"/>
      <c r="F1556" s="12"/>
      <c r="G1556" s="12"/>
      <c r="H1556" s="4"/>
      <c r="I1556" s="31"/>
      <c r="J1556" s="12"/>
      <c r="K1556" s="12"/>
      <c r="L1556" s="12"/>
      <c r="M1556" s="12"/>
      <c r="N1556" s="12"/>
      <c r="O1556" s="12"/>
      <c r="P1556" s="12"/>
      <c r="Q1556" s="12"/>
      <c r="R1556" s="13"/>
      <c r="S1556" s="4"/>
    </row>
    <row r="1557" spans="2:19">
      <c r="B1557" s="12"/>
      <c r="C1557" s="3"/>
      <c r="D1557" s="12"/>
      <c r="E1557" s="3"/>
      <c r="F1557" s="12"/>
      <c r="G1557" s="12"/>
      <c r="H1557" s="4"/>
      <c r="I1557" s="31"/>
      <c r="J1557" s="12"/>
      <c r="K1557" s="12"/>
      <c r="L1557" s="12"/>
      <c r="M1557" s="12"/>
      <c r="N1557" s="12"/>
      <c r="O1557" s="12"/>
      <c r="P1557" s="12"/>
      <c r="Q1557" s="12"/>
      <c r="R1557" s="13"/>
      <c r="S1557" s="4"/>
    </row>
    <row r="1558" spans="2:19">
      <c r="B1558" s="12"/>
      <c r="C1558" s="3"/>
      <c r="D1558" s="12"/>
      <c r="E1558" s="3"/>
      <c r="F1558" s="12"/>
      <c r="G1558" s="12"/>
      <c r="H1558" s="4"/>
      <c r="I1558" s="31"/>
      <c r="J1558" s="12"/>
      <c r="K1558" s="12"/>
      <c r="L1558" s="12"/>
      <c r="M1558" s="12"/>
      <c r="N1558" s="12"/>
      <c r="O1558" s="12"/>
      <c r="P1558" s="12"/>
      <c r="Q1558" s="12"/>
      <c r="R1558" s="13"/>
      <c r="S1558" s="4"/>
    </row>
    <row r="1559" spans="2:19">
      <c r="B1559" s="12"/>
      <c r="C1559" s="3"/>
      <c r="D1559" s="12"/>
      <c r="E1559" s="3"/>
      <c r="F1559" s="12"/>
      <c r="G1559" s="12"/>
      <c r="H1559" s="4"/>
      <c r="I1559" s="31"/>
      <c r="J1559" s="12"/>
      <c r="K1559" s="12"/>
      <c r="L1559" s="12"/>
      <c r="M1559" s="12"/>
      <c r="N1559" s="12"/>
      <c r="O1559" s="12"/>
      <c r="P1559" s="12"/>
      <c r="Q1559" s="12"/>
      <c r="R1559" s="13"/>
      <c r="S1559" s="4"/>
    </row>
    <row r="1560" spans="2:19">
      <c r="B1560" s="12"/>
      <c r="C1560" s="3"/>
      <c r="D1560" s="12"/>
      <c r="E1560" s="3"/>
      <c r="F1560" s="12"/>
      <c r="G1560" s="12"/>
      <c r="H1560" s="4"/>
      <c r="I1560" s="31"/>
      <c r="J1560" s="12"/>
      <c r="K1560" s="12"/>
      <c r="L1560" s="12"/>
      <c r="M1560" s="12"/>
      <c r="N1560" s="12"/>
      <c r="O1560" s="12"/>
      <c r="P1560" s="12"/>
      <c r="Q1560" s="12"/>
      <c r="R1560" s="13"/>
      <c r="S1560" s="4"/>
    </row>
    <row r="1561" spans="2:19">
      <c r="B1561" s="12"/>
      <c r="C1561" s="3"/>
      <c r="D1561" s="12"/>
      <c r="E1561" s="3"/>
      <c r="F1561" s="12"/>
      <c r="G1561" s="12"/>
      <c r="H1561" s="4"/>
      <c r="I1561" s="31"/>
      <c r="J1561" s="12"/>
      <c r="K1561" s="12"/>
      <c r="L1561" s="12"/>
      <c r="M1561" s="12"/>
      <c r="N1561" s="12"/>
      <c r="O1561" s="12"/>
      <c r="P1561" s="12"/>
      <c r="Q1561" s="12"/>
      <c r="R1561" s="13"/>
      <c r="S1561" s="4"/>
    </row>
    <row r="1562" spans="2:19">
      <c r="B1562" s="12"/>
      <c r="C1562" s="3"/>
      <c r="D1562" s="12"/>
      <c r="E1562" s="3"/>
      <c r="F1562" s="12"/>
      <c r="G1562" s="12"/>
      <c r="H1562" s="4"/>
      <c r="I1562" s="31"/>
      <c r="J1562" s="12"/>
      <c r="K1562" s="12"/>
      <c r="L1562" s="12"/>
      <c r="M1562" s="12"/>
      <c r="N1562" s="12"/>
      <c r="O1562" s="12"/>
      <c r="P1562" s="12"/>
      <c r="Q1562" s="12"/>
      <c r="R1562" s="13"/>
      <c r="S1562" s="4"/>
    </row>
    <row r="1563" spans="2:19">
      <c r="B1563" s="12"/>
      <c r="C1563" s="3"/>
      <c r="D1563" s="12"/>
      <c r="E1563" s="3"/>
      <c r="F1563" s="12"/>
      <c r="G1563" s="12"/>
      <c r="H1563" s="4"/>
      <c r="I1563" s="31"/>
      <c r="J1563" s="12"/>
      <c r="K1563" s="12"/>
      <c r="L1563" s="12"/>
      <c r="M1563" s="12"/>
      <c r="N1563" s="12"/>
      <c r="O1563" s="12"/>
      <c r="P1563" s="12"/>
      <c r="Q1563" s="12"/>
      <c r="R1563" s="13"/>
      <c r="S1563" s="4"/>
    </row>
    <row r="1564" spans="2:19">
      <c r="B1564" s="12"/>
      <c r="C1564" s="3"/>
      <c r="D1564" s="12"/>
      <c r="E1564" s="3"/>
      <c r="F1564" s="12"/>
      <c r="G1564" s="12"/>
      <c r="H1564" s="4"/>
      <c r="I1564" s="31"/>
      <c r="J1564" s="12"/>
      <c r="K1564" s="12"/>
      <c r="L1564" s="12"/>
      <c r="M1564" s="12"/>
      <c r="N1564" s="12"/>
      <c r="O1564" s="12"/>
      <c r="P1564" s="12"/>
      <c r="Q1564" s="12"/>
      <c r="R1564" s="13"/>
      <c r="S1564" s="4"/>
    </row>
    <row r="1565" spans="2:19">
      <c r="B1565" s="12"/>
      <c r="C1565" s="3"/>
      <c r="D1565" s="12"/>
      <c r="E1565" s="3"/>
      <c r="F1565" s="12"/>
      <c r="G1565" s="12"/>
      <c r="H1565" s="4"/>
      <c r="I1565" s="31"/>
      <c r="J1565" s="12"/>
      <c r="K1565" s="12"/>
      <c r="L1565" s="12"/>
      <c r="M1565" s="12"/>
      <c r="N1565" s="12"/>
      <c r="O1565" s="12"/>
      <c r="P1565" s="12"/>
      <c r="Q1565" s="12"/>
      <c r="R1565" s="13"/>
      <c r="S1565" s="4"/>
    </row>
    <row r="1566" spans="2:19">
      <c r="B1566" s="12"/>
      <c r="C1566" s="3"/>
      <c r="D1566" s="12"/>
      <c r="E1566" s="3"/>
      <c r="F1566" s="12"/>
      <c r="G1566" s="12"/>
      <c r="H1566" s="4"/>
      <c r="I1566" s="31"/>
      <c r="J1566" s="12"/>
      <c r="K1566" s="12"/>
      <c r="L1566" s="12"/>
      <c r="M1566" s="12"/>
      <c r="N1566" s="12"/>
      <c r="O1566" s="12"/>
      <c r="P1566" s="12"/>
      <c r="Q1566" s="12"/>
      <c r="R1566" s="13"/>
      <c r="S1566" s="4"/>
    </row>
    <row r="1567" spans="2:19">
      <c r="B1567" s="12"/>
      <c r="C1567" s="3"/>
      <c r="D1567" s="12"/>
      <c r="E1567" s="3"/>
      <c r="F1567" s="12"/>
      <c r="G1567" s="12"/>
      <c r="H1567" s="4"/>
      <c r="I1567" s="31"/>
      <c r="J1567" s="12"/>
      <c r="K1567" s="12"/>
      <c r="L1567" s="12"/>
      <c r="M1567" s="12"/>
      <c r="N1567" s="12"/>
      <c r="O1567" s="12"/>
      <c r="P1567" s="12"/>
      <c r="Q1567" s="12"/>
      <c r="R1567" s="13"/>
      <c r="S1567" s="4"/>
    </row>
    <row r="1568" spans="2:19">
      <c r="B1568" s="12"/>
      <c r="C1568" s="3"/>
      <c r="D1568" s="12"/>
      <c r="E1568" s="3"/>
      <c r="F1568" s="12"/>
      <c r="G1568" s="12"/>
      <c r="H1568" s="4"/>
      <c r="I1568" s="31"/>
      <c r="J1568" s="12"/>
      <c r="K1568" s="12"/>
      <c r="L1568" s="12"/>
      <c r="M1568" s="12"/>
      <c r="N1568" s="12"/>
      <c r="O1568" s="12"/>
      <c r="P1568" s="12"/>
      <c r="Q1568" s="12"/>
      <c r="R1568" s="13"/>
      <c r="S1568" s="4"/>
    </row>
    <row r="1569" spans="2:19">
      <c r="B1569" s="12"/>
      <c r="C1569" s="3"/>
      <c r="D1569" s="12"/>
      <c r="E1569" s="3"/>
      <c r="F1569" s="12"/>
      <c r="G1569" s="12"/>
      <c r="H1569" s="4"/>
      <c r="I1569" s="31"/>
      <c r="J1569" s="12"/>
      <c r="K1569" s="12"/>
      <c r="L1569" s="12"/>
      <c r="M1569" s="12"/>
      <c r="N1569" s="12"/>
      <c r="O1569" s="12"/>
      <c r="P1569" s="12"/>
      <c r="Q1569" s="12"/>
      <c r="R1569" s="13"/>
      <c r="S1569" s="4"/>
    </row>
    <row r="1570" spans="2:19">
      <c r="B1570" s="12"/>
      <c r="C1570" s="3"/>
      <c r="D1570" s="12"/>
      <c r="E1570" s="3"/>
      <c r="F1570" s="12"/>
      <c r="G1570" s="12"/>
      <c r="H1570" s="4"/>
      <c r="I1570" s="31"/>
      <c r="J1570" s="12"/>
      <c r="K1570" s="12"/>
      <c r="L1570" s="12"/>
      <c r="M1570" s="12"/>
      <c r="N1570" s="12"/>
      <c r="O1570" s="12"/>
      <c r="P1570" s="12"/>
      <c r="Q1570" s="12"/>
      <c r="R1570" s="13"/>
      <c r="S1570" s="4"/>
    </row>
    <row r="1571" spans="2:19">
      <c r="B1571" s="12"/>
      <c r="C1571" s="3"/>
      <c r="D1571" s="12"/>
      <c r="E1571" s="3"/>
      <c r="F1571" s="12"/>
      <c r="G1571" s="12"/>
      <c r="H1571" s="4"/>
      <c r="I1571" s="31"/>
      <c r="J1571" s="12"/>
      <c r="K1571" s="12"/>
      <c r="L1571" s="12"/>
      <c r="M1571" s="12"/>
      <c r="N1571" s="12"/>
      <c r="O1571" s="12"/>
      <c r="P1571" s="12"/>
      <c r="Q1571" s="12"/>
      <c r="R1571" s="13"/>
      <c r="S1571" s="4"/>
    </row>
    <row r="1572" spans="2:19">
      <c r="B1572" s="12"/>
      <c r="C1572" s="3"/>
      <c r="D1572" s="12"/>
      <c r="E1572" s="3"/>
      <c r="F1572" s="12"/>
      <c r="G1572" s="12"/>
      <c r="H1572" s="4"/>
      <c r="I1572" s="31"/>
      <c r="J1572" s="12"/>
      <c r="K1572" s="12"/>
      <c r="L1572" s="12"/>
      <c r="M1572" s="12"/>
      <c r="N1572" s="12"/>
      <c r="O1572" s="12"/>
      <c r="P1572" s="12"/>
      <c r="Q1572" s="12"/>
      <c r="R1572" s="13"/>
      <c r="S1572" s="4"/>
    </row>
    <row r="1573" spans="2:19">
      <c r="B1573" s="12"/>
      <c r="C1573" s="3"/>
      <c r="D1573" s="12"/>
      <c r="E1573" s="3"/>
      <c r="F1573" s="12"/>
      <c r="G1573" s="12"/>
      <c r="H1573" s="4"/>
      <c r="I1573" s="31"/>
      <c r="J1573" s="12"/>
      <c r="K1573" s="12"/>
      <c r="L1573" s="12"/>
      <c r="M1573" s="12"/>
      <c r="N1573" s="12"/>
      <c r="O1573" s="12"/>
      <c r="P1573" s="12"/>
      <c r="Q1573" s="12"/>
      <c r="R1573" s="13"/>
      <c r="S1573" s="4"/>
    </row>
    <row r="1574" spans="2:19">
      <c r="B1574" s="12"/>
      <c r="C1574" s="3"/>
      <c r="D1574" s="12"/>
      <c r="E1574" s="3"/>
      <c r="F1574" s="12"/>
      <c r="G1574" s="12"/>
      <c r="H1574" s="4"/>
      <c r="I1574" s="31"/>
      <c r="J1574" s="12"/>
      <c r="K1574" s="12"/>
      <c r="L1574" s="12"/>
      <c r="M1574" s="12"/>
      <c r="N1574" s="12"/>
      <c r="O1574" s="12"/>
      <c r="P1574" s="12"/>
      <c r="Q1574" s="12"/>
      <c r="R1574" s="13"/>
      <c r="S1574" s="4"/>
    </row>
    <row r="1575" spans="2:19">
      <c r="B1575" s="12"/>
      <c r="C1575" s="3"/>
      <c r="D1575" s="12"/>
      <c r="E1575" s="3"/>
      <c r="F1575" s="12"/>
      <c r="G1575" s="12"/>
      <c r="H1575" s="4"/>
      <c r="I1575" s="31"/>
      <c r="J1575" s="12"/>
      <c r="K1575" s="12"/>
      <c r="L1575" s="12"/>
      <c r="M1575" s="12"/>
      <c r="N1575" s="12"/>
      <c r="O1575" s="12"/>
      <c r="P1575" s="12"/>
      <c r="Q1575" s="12"/>
      <c r="R1575" s="13"/>
      <c r="S1575" s="4"/>
    </row>
    <row r="1576" spans="2:19">
      <c r="B1576" s="12"/>
      <c r="C1576" s="3"/>
      <c r="D1576" s="12"/>
      <c r="E1576" s="3"/>
      <c r="F1576" s="12"/>
      <c r="G1576" s="12"/>
      <c r="H1576" s="4"/>
      <c r="I1576" s="31"/>
      <c r="J1576" s="12"/>
      <c r="K1576" s="12"/>
      <c r="L1576" s="12"/>
      <c r="M1576" s="12"/>
      <c r="N1576" s="12"/>
      <c r="O1576" s="12"/>
      <c r="P1576" s="12"/>
      <c r="Q1576" s="12"/>
      <c r="R1576" s="13"/>
      <c r="S1576" s="4"/>
    </row>
    <row r="1577" spans="2:19">
      <c r="B1577" s="12"/>
      <c r="C1577" s="3"/>
      <c r="D1577" s="12"/>
      <c r="E1577" s="3"/>
      <c r="F1577" s="12"/>
      <c r="G1577" s="12"/>
      <c r="H1577" s="4"/>
      <c r="I1577" s="31"/>
      <c r="J1577" s="12"/>
      <c r="K1577" s="12"/>
      <c r="L1577" s="12"/>
      <c r="M1577" s="12"/>
      <c r="N1577" s="12"/>
      <c r="O1577" s="12"/>
      <c r="P1577" s="12"/>
      <c r="Q1577" s="12"/>
      <c r="R1577" s="13"/>
      <c r="S1577" s="4"/>
    </row>
    <row r="1578" spans="2:19">
      <c r="B1578" s="12"/>
      <c r="C1578" s="3"/>
      <c r="D1578" s="12"/>
      <c r="E1578" s="3"/>
      <c r="F1578" s="12"/>
      <c r="G1578" s="12"/>
      <c r="H1578" s="4"/>
      <c r="I1578" s="31"/>
      <c r="J1578" s="12"/>
      <c r="K1578" s="12"/>
      <c r="L1578" s="12"/>
      <c r="M1578" s="12"/>
      <c r="N1578" s="12"/>
      <c r="O1578" s="12"/>
      <c r="P1578" s="12"/>
      <c r="Q1578" s="12"/>
      <c r="R1578" s="13"/>
      <c r="S1578" s="4"/>
    </row>
    <row r="1579" spans="2:19">
      <c r="B1579" s="12"/>
      <c r="C1579" s="3"/>
      <c r="D1579" s="12"/>
      <c r="E1579" s="3"/>
      <c r="F1579" s="12"/>
      <c r="G1579" s="12"/>
      <c r="H1579" s="4"/>
      <c r="I1579" s="31"/>
      <c r="J1579" s="12"/>
      <c r="K1579" s="12"/>
      <c r="L1579" s="12"/>
      <c r="M1579" s="12"/>
      <c r="N1579" s="12"/>
      <c r="O1579" s="12"/>
      <c r="P1579" s="12"/>
      <c r="Q1579" s="12"/>
      <c r="R1579" s="13"/>
      <c r="S1579" s="4"/>
    </row>
    <row r="1580" spans="2:19">
      <c r="B1580" s="12"/>
      <c r="C1580" s="3"/>
      <c r="D1580" s="12"/>
      <c r="E1580" s="3"/>
      <c r="F1580" s="12"/>
      <c r="G1580" s="12"/>
      <c r="H1580" s="4"/>
      <c r="I1580" s="31"/>
      <c r="J1580" s="12"/>
      <c r="K1580" s="12"/>
      <c r="L1580" s="12"/>
      <c r="M1580" s="12"/>
      <c r="N1580" s="12"/>
      <c r="O1580" s="12"/>
      <c r="P1580" s="12"/>
      <c r="Q1580" s="12"/>
      <c r="R1580" s="13"/>
      <c r="S1580" s="4"/>
    </row>
    <row r="1581" spans="2:19">
      <c r="B1581" s="12"/>
      <c r="C1581" s="3"/>
      <c r="D1581" s="12"/>
      <c r="E1581" s="3"/>
      <c r="F1581" s="12"/>
      <c r="G1581" s="12"/>
      <c r="H1581" s="4"/>
      <c r="I1581" s="31"/>
      <c r="J1581" s="12"/>
      <c r="K1581" s="12"/>
      <c r="L1581" s="12"/>
      <c r="M1581" s="12"/>
      <c r="N1581" s="12"/>
      <c r="O1581" s="12"/>
      <c r="P1581" s="12"/>
      <c r="Q1581" s="12"/>
      <c r="R1581" s="13"/>
      <c r="S1581" s="4"/>
    </row>
    <row r="1582" spans="2:19">
      <c r="B1582" s="12"/>
      <c r="C1582" s="3"/>
      <c r="D1582" s="12"/>
      <c r="E1582" s="3"/>
      <c r="F1582" s="12"/>
      <c r="G1582" s="12"/>
      <c r="H1582" s="4"/>
      <c r="I1582" s="31"/>
      <c r="J1582" s="12"/>
      <c r="K1582" s="12"/>
      <c r="L1582" s="12"/>
      <c r="M1582" s="12"/>
      <c r="N1582" s="12"/>
      <c r="O1582" s="12"/>
      <c r="P1582" s="12"/>
      <c r="Q1582" s="12"/>
      <c r="R1582" s="13"/>
      <c r="S1582" s="4"/>
    </row>
    <row r="1583" spans="2:19">
      <c r="B1583" s="12"/>
      <c r="C1583" s="3"/>
      <c r="D1583" s="12"/>
      <c r="E1583" s="3"/>
      <c r="F1583" s="12"/>
      <c r="G1583" s="12"/>
      <c r="H1583" s="4"/>
      <c r="I1583" s="31"/>
      <c r="J1583" s="12"/>
      <c r="K1583" s="12"/>
      <c r="L1583" s="12"/>
      <c r="M1583" s="12"/>
      <c r="N1583" s="12"/>
      <c r="O1583" s="12"/>
      <c r="P1583" s="12"/>
      <c r="Q1583" s="12"/>
      <c r="R1583" s="13"/>
      <c r="S1583" s="4"/>
    </row>
    <row r="1584" spans="2:19">
      <c r="B1584" s="12"/>
      <c r="C1584" s="3"/>
      <c r="D1584" s="12"/>
      <c r="E1584" s="3"/>
      <c r="F1584" s="12"/>
      <c r="G1584" s="12"/>
      <c r="H1584" s="4"/>
      <c r="I1584" s="31"/>
      <c r="J1584" s="12"/>
      <c r="K1584" s="12"/>
      <c r="L1584" s="12"/>
      <c r="M1584" s="12"/>
      <c r="N1584" s="12"/>
      <c r="O1584" s="12"/>
      <c r="P1584" s="12"/>
      <c r="Q1584" s="12"/>
      <c r="R1584" s="13"/>
      <c r="S1584" s="4"/>
    </row>
    <row r="1585" spans="2:19">
      <c r="B1585" s="12"/>
      <c r="C1585" s="3"/>
      <c r="D1585" s="12"/>
      <c r="E1585" s="3"/>
      <c r="F1585" s="12"/>
      <c r="G1585" s="12"/>
      <c r="H1585" s="4"/>
      <c r="I1585" s="31"/>
      <c r="J1585" s="12"/>
      <c r="K1585" s="12"/>
      <c r="L1585" s="12"/>
      <c r="M1585" s="12"/>
      <c r="N1585" s="12"/>
      <c r="O1585" s="12"/>
      <c r="P1585" s="12"/>
      <c r="Q1585" s="12"/>
      <c r="R1585" s="13"/>
      <c r="S1585" s="4"/>
    </row>
    <row r="1586" spans="2:19">
      <c r="B1586" s="12"/>
      <c r="C1586" s="3"/>
      <c r="D1586" s="12"/>
      <c r="E1586" s="3"/>
      <c r="F1586" s="12"/>
      <c r="G1586" s="12"/>
      <c r="H1586" s="4"/>
      <c r="I1586" s="31"/>
      <c r="J1586" s="12"/>
      <c r="K1586" s="12"/>
      <c r="L1586" s="12"/>
      <c r="M1586" s="12"/>
      <c r="N1586" s="12"/>
      <c r="O1586" s="12"/>
      <c r="P1586" s="12"/>
      <c r="Q1586" s="12"/>
      <c r="R1586" s="13"/>
      <c r="S1586" s="4"/>
    </row>
    <row r="1587" spans="2:19">
      <c r="B1587" s="12"/>
      <c r="C1587" s="3"/>
      <c r="D1587" s="12"/>
      <c r="E1587" s="3"/>
      <c r="F1587" s="12"/>
      <c r="G1587" s="12"/>
      <c r="H1587" s="4"/>
      <c r="I1587" s="31"/>
      <c r="J1587" s="12"/>
      <c r="K1587" s="12"/>
      <c r="L1587" s="12"/>
      <c r="M1587" s="12"/>
      <c r="N1587" s="12"/>
      <c r="O1587" s="12"/>
      <c r="P1587" s="12"/>
      <c r="Q1587" s="12"/>
      <c r="R1587" s="13"/>
      <c r="S1587" s="4"/>
    </row>
    <row r="1588" spans="2:19">
      <c r="B1588" s="12"/>
      <c r="C1588" s="3"/>
      <c r="D1588" s="12"/>
      <c r="E1588" s="3"/>
      <c r="F1588" s="12"/>
      <c r="G1588" s="12"/>
      <c r="H1588" s="4"/>
      <c r="I1588" s="31"/>
      <c r="J1588" s="12"/>
      <c r="K1588" s="12"/>
      <c r="L1588" s="12"/>
      <c r="M1588" s="12"/>
      <c r="N1588" s="12"/>
      <c r="O1588" s="12"/>
      <c r="P1588" s="12"/>
      <c r="Q1588" s="12"/>
      <c r="R1588" s="13"/>
      <c r="S1588" s="4"/>
    </row>
    <row r="1589" spans="2:19">
      <c r="B1589" s="12"/>
      <c r="C1589" s="3"/>
      <c r="D1589" s="12"/>
      <c r="E1589" s="3"/>
      <c r="F1589" s="12"/>
      <c r="G1589" s="12"/>
      <c r="H1589" s="4"/>
      <c r="I1589" s="31"/>
      <c r="J1589" s="12"/>
      <c r="K1589" s="12"/>
      <c r="L1589" s="12"/>
      <c r="M1589" s="12"/>
      <c r="N1589" s="12"/>
      <c r="O1589" s="12"/>
      <c r="P1589" s="12"/>
      <c r="Q1589" s="12"/>
      <c r="R1589" s="13"/>
      <c r="S1589" s="4"/>
    </row>
    <row r="1590" spans="2:19">
      <c r="B1590" s="12"/>
      <c r="C1590" s="3"/>
      <c r="D1590" s="12"/>
      <c r="E1590" s="3"/>
      <c r="F1590" s="12"/>
      <c r="G1590" s="12"/>
      <c r="H1590" s="4"/>
      <c r="I1590" s="31"/>
      <c r="J1590" s="12"/>
      <c r="K1590" s="12"/>
      <c r="L1590" s="12"/>
      <c r="M1590" s="12"/>
      <c r="N1590" s="12"/>
      <c r="O1590" s="12"/>
      <c r="P1590" s="12"/>
      <c r="Q1590" s="12"/>
      <c r="R1590" s="13"/>
      <c r="S1590" s="4"/>
    </row>
    <row r="1591" spans="2:19">
      <c r="B1591" s="12"/>
      <c r="C1591" s="3"/>
      <c r="D1591" s="12"/>
      <c r="E1591" s="3"/>
      <c r="F1591" s="12"/>
      <c r="G1591" s="12"/>
      <c r="H1591" s="4"/>
      <c r="I1591" s="31"/>
      <c r="J1591" s="12"/>
      <c r="K1591" s="12"/>
      <c r="L1591" s="12"/>
      <c r="M1591" s="12"/>
      <c r="N1591" s="12"/>
      <c r="O1591" s="12"/>
      <c r="P1591" s="12"/>
      <c r="Q1591" s="12"/>
      <c r="R1591" s="13"/>
      <c r="S1591" s="4"/>
    </row>
    <row r="1592" spans="2:19">
      <c r="B1592" s="12"/>
      <c r="C1592" s="3"/>
      <c r="D1592" s="12"/>
      <c r="E1592" s="3"/>
      <c r="F1592" s="12"/>
      <c r="G1592" s="12"/>
      <c r="H1592" s="4"/>
      <c r="I1592" s="31"/>
      <c r="J1592" s="12"/>
      <c r="K1592" s="12"/>
      <c r="L1592" s="12"/>
      <c r="M1592" s="12"/>
      <c r="N1592" s="12"/>
      <c r="O1592" s="12"/>
      <c r="P1592" s="12"/>
      <c r="Q1592" s="12"/>
      <c r="R1592" s="13"/>
      <c r="S1592" s="4"/>
    </row>
    <row r="1593" spans="2:19">
      <c r="B1593" s="12"/>
      <c r="C1593" s="3"/>
      <c r="D1593" s="12"/>
      <c r="E1593" s="3"/>
      <c r="F1593" s="12"/>
      <c r="G1593" s="12"/>
      <c r="H1593" s="4"/>
      <c r="I1593" s="31"/>
      <c r="J1593" s="12"/>
      <c r="K1593" s="12"/>
      <c r="L1593" s="12"/>
      <c r="M1593" s="12"/>
      <c r="N1593" s="12"/>
      <c r="O1593" s="12"/>
      <c r="P1593" s="12"/>
      <c r="Q1593" s="12"/>
      <c r="R1593" s="13"/>
      <c r="S1593" s="4"/>
    </row>
    <row r="1594" spans="2:19">
      <c r="B1594" s="12"/>
      <c r="C1594" s="3"/>
      <c r="D1594" s="12"/>
      <c r="E1594" s="3"/>
      <c r="F1594" s="12"/>
      <c r="G1594" s="12"/>
      <c r="H1594" s="4"/>
      <c r="I1594" s="31"/>
      <c r="J1594" s="12"/>
      <c r="K1594" s="12"/>
      <c r="L1594" s="12"/>
      <c r="M1594" s="12"/>
      <c r="N1594" s="12"/>
      <c r="O1594" s="12"/>
      <c r="P1594" s="12"/>
      <c r="Q1594" s="12"/>
      <c r="R1594" s="13"/>
      <c r="S1594" s="4"/>
    </row>
    <row r="1595" spans="2:19">
      <c r="B1595" s="12"/>
      <c r="C1595" s="3"/>
      <c r="D1595" s="12"/>
      <c r="E1595" s="3"/>
      <c r="F1595" s="12"/>
      <c r="G1595" s="12"/>
      <c r="H1595" s="4"/>
      <c r="I1595" s="31"/>
      <c r="J1595" s="12"/>
      <c r="K1595" s="12"/>
      <c r="L1595" s="12"/>
      <c r="M1595" s="12"/>
      <c r="N1595" s="12"/>
      <c r="O1595" s="12"/>
      <c r="P1595" s="12"/>
      <c r="Q1595" s="12"/>
      <c r="R1595" s="13"/>
      <c r="S1595" s="4"/>
    </row>
    <row r="1596" spans="2:19">
      <c r="B1596" s="12"/>
      <c r="C1596" s="3"/>
      <c r="D1596" s="12"/>
      <c r="E1596" s="3"/>
      <c r="F1596" s="12"/>
      <c r="G1596" s="12"/>
      <c r="H1596" s="4"/>
      <c r="I1596" s="31"/>
      <c r="J1596" s="12"/>
      <c r="K1596" s="12"/>
      <c r="L1596" s="12"/>
      <c r="M1596" s="12"/>
      <c r="N1596" s="12"/>
      <c r="O1596" s="12"/>
      <c r="P1596" s="12"/>
      <c r="Q1596" s="12"/>
      <c r="R1596" s="13"/>
      <c r="S1596" s="4"/>
    </row>
  </sheetData>
  <mergeCells count="230">
    <mergeCell ref="B390:B405"/>
    <mergeCell ref="C390:C405"/>
    <mergeCell ref="D391:D405"/>
    <mergeCell ref="E391:E405"/>
    <mergeCell ref="D761:D855"/>
    <mergeCell ref="E761:E855"/>
    <mergeCell ref="D723:D759"/>
    <mergeCell ref="E723:E759"/>
    <mergeCell ref="D1462:D1463"/>
    <mergeCell ref="E1462:E1463"/>
    <mergeCell ref="E1368:H1368"/>
    <mergeCell ref="B1440:B1463"/>
    <mergeCell ref="C1440:C1463"/>
    <mergeCell ref="D1444:D1445"/>
    <mergeCell ref="E1444:E1445"/>
    <mergeCell ref="D1459:D1460"/>
    <mergeCell ref="E1459:E1460"/>
    <mergeCell ref="D1447:D1448"/>
    <mergeCell ref="E1447:E1448"/>
    <mergeCell ref="E1441:E1442"/>
    <mergeCell ref="D1456:D1457"/>
    <mergeCell ref="E1456:E1457"/>
    <mergeCell ref="E1461:H1461"/>
    <mergeCell ref="B584:B1438"/>
    <mergeCell ref="C204:R204"/>
    <mergeCell ref="E592:H592"/>
    <mergeCell ref="E588:H588"/>
    <mergeCell ref="E584:H584"/>
    <mergeCell ref="E970:H970"/>
    <mergeCell ref="E962:H962"/>
    <mergeCell ref="E910:H910"/>
    <mergeCell ref="G1387:H1387"/>
    <mergeCell ref="D1387:D1438"/>
    <mergeCell ref="E1387:E1438"/>
    <mergeCell ref="G1369:H1369"/>
    <mergeCell ref="E1386:H1386"/>
    <mergeCell ref="D1344:D1367"/>
    <mergeCell ref="E1344:E1367"/>
    <mergeCell ref="D593:D665"/>
    <mergeCell ref="E593:E665"/>
    <mergeCell ref="E589:E591"/>
    <mergeCell ref="D857:D909"/>
    <mergeCell ref="D1336:D1342"/>
    <mergeCell ref="E1336:E1342"/>
    <mergeCell ref="E258:H258"/>
    <mergeCell ref="E248:H248"/>
    <mergeCell ref="E223:H223"/>
    <mergeCell ref="E209:H209"/>
    <mergeCell ref="B408:B413"/>
    <mergeCell ref="C258:C388"/>
    <mergeCell ref="C408:C413"/>
    <mergeCell ref="B415:B475"/>
    <mergeCell ref="E1335:H1335"/>
    <mergeCell ref="E998:F998"/>
    <mergeCell ref="D1105:D1334"/>
    <mergeCell ref="E668:H668"/>
    <mergeCell ref="D478:D522"/>
    <mergeCell ref="E478:E522"/>
    <mergeCell ref="C526:R526"/>
    <mergeCell ref="E523:H523"/>
    <mergeCell ref="E477:H477"/>
    <mergeCell ref="E722:H722"/>
    <mergeCell ref="G998:H998"/>
    <mergeCell ref="D578:D579"/>
    <mergeCell ref="E578:E579"/>
    <mergeCell ref="D589:D591"/>
    <mergeCell ref="E666:H666"/>
    <mergeCell ref="D669:D721"/>
    <mergeCell ref="E669:E721"/>
    <mergeCell ref="E857:E909"/>
    <mergeCell ref="E856:H856"/>
    <mergeCell ref="E760:H760"/>
    <mergeCell ref="D386:D388"/>
    <mergeCell ref="E386:E388"/>
    <mergeCell ref="C476:R476"/>
    <mergeCell ref="C414:R414"/>
    <mergeCell ref="E464:H464"/>
    <mergeCell ref="E462:H462"/>
    <mergeCell ref="E458:H458"/>
    <mergeCell ref="E415:H415"/>
    <mergeCell ref="E417:H417"/>
    <mergeCell ref="E422:H422"/>
    <mergeCell ref="E424:H424"/>
    <mergeCell ref="D474:D475"/>
    <mergeCell ref="E465:E472"/>
    <mergeCell ref="C415:C475"/>
    <mergeCell ref="E454:H454"/>
    <mergeCell ref="E473:H473"/>
    <mergeCell ref="B254:B256"/>
    <mergeCell ref="C254:C256"/>
    <mergeCell ref="B205:B252"/>
    <mergeCell ref="C205:C252"/>
    <mergeCell ref="D249:D252"/>
    <mergeCell ref="E249:E252"/>
    <mergeCell ref="C253:R253"/>
    <mergeCell ref="E254:H254"/>
    <mergeCell ref="C257:R257"/>
    <mergeCell ref="E205:H205"/>
    <mergeCell ref="D206:D208"/>
    <mergeCell ref="E206:E208"/>
    <mergeCell ref="D210:D222"/>
    <mergeCell ref="E210:E222"/>
    <mergeCell ref="D224:D247"/>
    <mergeCell ref="E224:E247"/>
    <mergeCell ref="B2:C2"/>
    <mergeCell ref="B4:B32"/>
    <mergeCell ref="C4:C32"/>
    <mergeCell ref="D15:D17"/>
    <mergeCell ref="E15:E17"/>
    <mergeCell ref="D19:D28"/>
    <mergeCell ref="E19:E28"/>
    <mergeCell ref="E4:H4"/>
    <mergeCell ref="E14:H14"/>
    <mergeCell ref="E18:H18"/>
    <mergeCell ref="E29:H29"/>
    <mergeCell ref="D2:E2"/>
    <mergeCell ref="D30:D32"/>
    <mergeCell ref="E30:E32"/>
    <mergeCell ref="C3:R3"/>
    <mergeCell ref="F10:F11"/>
    <mergeCell ref="C33:R33"/>
    <mergeCell ref="D5:D13"/>
    <mergeCell ref="E5:E13"/>
    <mergeCell ref="B258:B388"/>
    <mergeCell ref="E263:E324"/>
    <mergeCell ref="D326:D384"/>
    <mergeCell ref="E474:E475"/>
    <mergeCell ref="D455:D457"/>
    <mergeCell ref="D409:D410"/>
    <mergeCell ref="E409:E410"/>
    <mergeCell ref="E455:E457"/>
    <mergeCell ref="E418:E421"/>
    <mergeCell ref="D425:D453"/>
    <mergeCell ref="E425:E453"/>
    <mergeCell ref="E459:E461"/>
    <mergeCell ref="D418:D421"/>
    <mergeCell ref="D459:D461"/>
    <mergeCell ref="D412:D413"/>
    <mergeCell ref="E412:E413"/>
    <mergeCell ref="D255:D256"/>
    <mergeCell ref="E255:E256"/>
    <mergeCell ref="B34:B86"/>
    <mergeCell ref="C34:C86"/>
    <mergeCell ref="E34:H34"/>
    <mergeCell ref="D191:D203"/>
    <mergeCell ref="E191:E203"/>
    <mergeCell ref="D91:D92"/>
    <mergeCell ref="E91:E92"/>
    <mergeCell ref="D76:D86"/>
    <mergeCell ref="E76:E86"/>
    <mergeCell ref="B88:S88"/>
    <mergeCell ref="D35:D64"/>
    <mergeCell ref="C89:R89"/>
    <mergeCell ref="D94:D124"/>
    <mergeCell ref="E94:E124"/>
    <mergeCell ref="E190:H190"/>
    <mergeCell ref="E35:E64"/>
    <mergeCell ref="B90:B203"/>
    <mergeCell ref="C90:C203"/>
    <mergeCell ref="E90:H90"/>
    <mergeCell ref="E93:H93"/>
    <mergeCell ref="E125:H125"/>
    <mergeCell ref="D126:D189"/>
    <mergeCell ref="E126:E189"/>
    <mergeCell ref="E1105:E1334"/>
    <mergeCell ref="B527:B582"/>
    <mergeCell ref="C527:C582"/>
    <mergeCell ref="D528:D529"/>
    <mergeCell ref="E528:E529"/>
    <mergeCell ref="D531:D532"/>
    <mergeCell ref="E531:E532"/>
    <mergeCell ref="D534:D576"/>
    <mergeCell ref="E534:E576"/>
    <mergeCell ref="D581:D582"/>
    <mergeCell ref="E581:E582"/>
    <mergeCell ref="E530:H530"/>
    <mergeCell ref="E527:H527"/>
    <mergeCell ref="G581:H581"/>
    <mergeCell ref="C584:C1438"/>
    <mergeCell ref="D585:D587"/>
    <mergeCell ref="E585:E587"/>
    <mergeCell ref="D999:D1103"/>
    <mergeCell ref="D259:D261"/>
    <mergeCell ref="E259:E261"/>
    <mergeCell ref="D263:D324"/>
    <mergeCell ref="E999:E1103"/>
    <mergeCell ref="E1104:H1104"/>
    <mergeCell ref="D971:D997"/>
    <mergeCell ref="D911:D961"/>
    <mergeCell ref="E911:E961"/>
    <mergeCell ref="E580:H580"/>
    <mergeCell ref="E577:H577"/>
    <mergeCell ref="E533:H533"/>
    <mergeCell ref="C583:R583"/>
    <mergeCell ref="C477:C525"/>
    <mergeCell ref="E524:E525"/>
    <mergeCell ref="D524:D525"/>
    <mergeCell ref="E971:E997"/>
    <mergeCell ref="E262:H262"/>
    <mergeCell ref="C407:R407"/>
    <mergeCell ref="E385:H385"/>
    <mergeCell ref="E325:H325"/>
    <mergeCell ref="E326:E384"/>
    <mergeCell ref="C389:R389"/>
    <mergeCell ref="E390:H390"/>
    <mergeCell ref="B406:S406"/>
    <mergeCell ref="B477:B525"/>
    <mergeCell ref="D465:D472"/>
    <mergeCell ref="B1464:S1464"/>
    <mergeCell ref="C1465:R1465"/>
    <mergeCell ref="D963:D969"/>
    <mergeCell ref="E963:E969"/>
    <mergeCell ref="D1369:D1385"/>
    <mergeCell ref="E1369:E1385"/>
    <mergeCell ref="E1343:H1343"/>
    <mergeCell ref="C1439:R1439"/>
    <mergeCell ref="E1440:H1440"/>
    <mergeCell ref="E1443:H1443"/>
    <mergeCell ref="E1446:H1446"/>
    <mergeCell ref="E1449:H1449"/>
    <mergeCell ref="E1452:H1452"/>
    <mergeCell ref="E1455:H1455"/>
    <mergeCell ref="E1458:H1458"/>
    <mergeCell ref="G1376:H1376"/>
    <mergeCell ref="G1381:H1381"/>
    <mergeCell ref="D1453:D1454"/>
    <mergeCell ref="E1453:E1454"/>
    <mergeCell ref="D1450:D1451"/>
    <mergeCell ref="E1450:E1451"/>
    <mergeCell ref="D1441:D1442"/>
  </mergeCells>
  <phoneticPr fontId="22" type="noConversion"/>
  <pageMargins left="0.27559055118110232" right="0.27559055118110232" top="1.0629921259842521" bottom="1.1811023622047243" header="0.4724409448818897" footer="0.19685039370078738"/>
  <pageSetup scale="44" fitToHeight="0" orientation="landscape" r:id="rId1"/>
  <headerFooter alignWithMargins="0">
    <oddHeader>&amp;R&amp;G&amp;L&amp;G</oddHeader>
    <oddFooter>&amp;L_x000D_Contract Document and Drawing List_x000D_&amp;F_x000D__x000D_&amp;C_x000D__x000D_© 2021 GENERAL ELECTRIC COMPANY AND/OR ITS AFFILIATES. All rights reserved._x000D_&amp;RCLASS II (GE INTERNAL NON-CRITICAL)_x000D_V0P01C01_x000D_Rev002_x000D_2021-09-30_x000D_Page &amp;P / &amp;N</oddFooter>
  </headerFooter>
  <rowBreaks count="5" manualBreakCount="5">
    <brk id="87" min="1" max="18" man="1"/>
    <brk id="203" min="1" max="18" man="1"/>
    <brk id="405" min="1" max="18" man="1"/>
    <brk id="582" min="1" max="18" man="1"/>
    <brk id="1438" min="1" max="18" man="1"/>
  </rowBreaks>
  <ignoredErrors>
    <ignoredError sqref="I220:I221 I162 I973:I974 M1344 I645 I459 I1375:I1385 I127:I136 I769:I771 I95:I97 I217:I218 I225:I228 I192:I198 I155:I160 I8:I11 I21:I23 I321 I624:I631 I298 I300 I302:I304 I319 I104:I124 I921:I924 I1040:I1043 I515:I517 I647 G1167:G1186 I928:I932 I1105 I519:I521 I427:I452 I211:I215 I169:I172 I1008:I1016 I1018:I1037 I200:I202 I35:I42 I741 I993:I994 I498:I504 I44:I59 I5:I6 I760:I767 I947 I594:I599 I607:I612 I615:I621 I636:I642 I174:I176 I648:K648 O648 I266 I264 G1189:G1208 I150:I153 I353:I354 I508:I509 I1078:I1079 I1365:I1366 I951:I952 I754 I817 I356 I730:I734 I1081 I310:I317 I935:I936 I61 I364 I367 I377 I909:I919 I535:I574 I490:I494 I649:I651 I339:I351 I478:I488 I380:I383 I724:I725 I327:I330 I245:I246 I939:I940 I820 G1211:G1230 G1233:G1252 I230:I243 I943:I944 I849 I138:I148 I178:I185 I99:I102 I306:I307 I962:I968 I1370:I1371 I1373 I1388:I1423 I860:I876 I896:I897 I991 I1363 I323 I956:I960 I268:I296 G1255:G1275 I1358 I1360 I1359 I1361:I1362 I333:I335 I331:I332 I336" numberStoredAsText="1"/>
  </ignoredError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3EDD-388F-4F79-96D2-6176FA25D6E5}">
  <sheetPr codeName="Sheet3"/>
  <dimension ref="B1:U1288"/>
  <sheetViews>
    <sheetView zoomScale="115" zoomScaleNormal="115" zoomScaleSheetLayoutView="85" workbookViewId="0">
      <pane ySplit="3" topLeftCell="A31" activePane="bottomLeft" state="frozen"/>
      <selection pane="bottomLeft" activeCell="N52" sqref="N52"/>
    </sheetView>
  </sheetViews>
  <sheetFormatPr baseColWidth="10" defaultColWidth="9.19921875" defaultRowHeight="13" outlineLevelRow="1"/>
  <cols>
    <col min="1" max="1" width="1.59765625" style="22" customWidth="1"/>
    <col min="2" max="2" width="4.59765625" style="22" bestFit="1" customWidth="1"/>
    <col min="3" max="3" width="3.3984375" style="22" customWidth="1"/>
    <col min="4" max="4" width="4.3984375" style="26" bestFit="1" customWidth="1"/>
    <col min="5" max="5" width="4.19921875" style="22" customWidth="1"/>
    <col min="6" max="6" width="4.3984375" style="22" bestFit="1" customWidth="1"/>
    <col min="7" max="7" width="4.3984375" style="22" customWidth="1"/>
    <col min="8" max="8" width="11.3984375" style="22" bestFit="1" customWidth="1"/>
    <col min="9" max="9" width="3" style="22" customWidth="1"/>
    <col min="10" max="10" width="45.3984375" style="22" bestFit="1" customWidth="1"/>
    <col min="11" max="11" width="14" style="26" bestFit="1" customWidth="1"/>
    <col min="12" max="12" width="13.3984375" style="26" bestFit="1" customWidth="1"/>
    <col min="13" max="13" width="13.59765625" style="22" bestFit="1" customWidth="1"/>
    <col min="14" max="14" width="13.59765625" style="26" bestFit="1" customWidth="1"/>
    <col min="15" max="15" width="26.19921875" style="26" bestFit="1" customWidth="1"/>
    <col min="16" max="17" width="18.19921875" style="26" customWidth="1"/>
    <col min="18" max="18" width="9.19921875" style="26"/>
    <col min="19" max="19" width="12.19921875" style="22" hidden="1" customWidth="1"/>
    <col min="20" max="20" width="69.59765625" style="22" bestFit="1" customWidth="1"/>
    <col min="21" max="21" width="47.3984375" style="22" customWidth="1"/>
    <col min="22" max="16384" width="9.19921875" style="22"/>
  </cols>
  <sheetData>
    <row r="1" spans="2:21" ht="6" customHeight="1" thickBot="1"/>
    <row r="2" spans="2:21" ht="43" thickBot="1">
      <c r="B2" s="276" t="s">
        <v>164</v>
      </c>
      <c r="C2" s="277"/>
      <c r="D2" s="277" t="s">
        <v>165</v>
      </c>
      <c r="E2" s="277"/>
      <c r="F2" s="243" t="s">
        <v>166</v>
      </c>
      <c r="G2" s="242"/>
      <c r="H2" s="40" t="s">
        <v>167</v>
      </c>
      <c r="I2" s="40"/>
      <c r="J2" s="40" t="s">
        <v>14</v>
      </c>
      <c r="K2" s="23" t="s">
        <v>15</v>
      </c>
      <c r="L2" s="23" t="s">
        <v>331</v>
      </c>
      <c r="M2" s="24" t="s">
        <v>168</v>
      </c>
      <c r="N2" s="24" t="s">
        <v>313</v>
      </c>
      <c r="O2" s="23" t="s">
        <v>16</v>
      </c>
      <c r="P2" s="23" t="s">
        <v>17</v>
      </c>
      <c r="Q2" s="23" t="s">
        <v>562</v>
      </c>
      <c r="R2" s="23" t="s">
        <v>20</v>
      </c>
      <c r="S2" s="24" t="s">
        <v>168</v>
      </c>
      <c r="T2" s="25" t="s">
        <v>21</v>
      </c>
      <c r="U2" s="25" t="s">
        <v>169</v>
      </c>
    </row>
    <row r="3" spans="2:21" ht="28">
      <c r="B3" s="28" t="s">
        <v>162</v>
      </c>
      <c r="C3" s="278" t="s">
        <v>170</v>
      </c>
      <c r="D3" s="278"/>
      <c r="E3" s="278"/>
      <c r="F3" s="278"/>
      <c r="G3" s="278"/>
      <c r="H3" s="278"/>
      <c r="I3" s="278"/>
      <c r="J3" s="278"/>
      <c r="K3" s="278"/>
      <c r="L3" s="278"/>
      <c r="M3" s="278"/>
      <c r="N3" s="278"/>
      <c r="O3" s="278"/>
      <c r="P3" s="278"/>
      <c r="Q3" s="278"/>
      <c r="R3" s="278"/>
      <c r="S3" s="278"/>
      <c r="T3" s="278"/>
    </row>
    <row r="4" spans="2:21">
      <c r="B4" s="232"/>
      <c r="C4" s="232"/>
      <c r="D4" s="39" t="s">
        <v>24</v>
      </c>
      <c r="E4" s="265" t="s">
        <v>171</v>
      </c>
      <c r="F4" s="265"/>
      <c r="G4" s="265"/>
      <c r="H4" s="265"/>
      <c r="I4" s="265"/>
      <c r="J4" s="265"/>
      <c r="K4" s="265"/>
      <c r="L4" s="265"/>
      <c r="M4" s="265"/>
      <c r="N4" s="265"/>
      <c r="O4" s="265"/>
      <c r="P4" s="265"/>
      <c r="Q4" s="265"/>
      <c r="R4" s="265"/>
      <c r="S4" s="265"/>
      <c r="T4" s="265"/>
    </row>
    <row r="5" spans="2:21">
      <c r="B5" s="232"/>
      <c r="C5" s="232"/>
      <c r="D5" s="255"/>
      <c r="E5" s="255"/>
      <c r="F5" s="21" t="s">
        <v>27</v>
      </c>
      <c r="G5" s="265" t="s">
        <v>172</v>
      </c>
      <c r="H5" s="265"/>
      <c r="I5" s="265"/>
      <c r="J5" s="265"/>
      <c r="K5" s="265"/>
      <c r="L5" s="265"/>
      <c r="M5" s="265"/>
      <c r="N5" s="265"/>
      <c r="O5" s="265"/>
      <c r="P5" s="38"/>
      <c r="Q5" s="38"/>
      <c r="R5" s="39" t="s">
        <v>26</v>
      </c>
      <c r="S5" s="21"/>
      <c r="T5" s="21"/>
      <c r="U5" s="21"/>
    </row>
    <row r="6" spans="2:21">
      <c r="B6" s="232"/>
      <c r="C6" s="232"/>
      <c r="D6" s="255"/>
      <c r="E6" s="255"/>
      <c r="F6" s="255"/>
      <c r="G6" s="255"/>
      <c r="H6" s="21" t="s">
        <v>176</v>
      </c>
      <c r="I6" s="21"/>
      <c r="J6" s="33" t="s">
        <v>306</v>
      </c>
      <c r="K6" s="56" t="s">
        <v>3</v>
      </c>
      <c r="L6" s="35" t="s">
        <v>332</v>
      </c>
      <c r="M6" s="53">
        <v>44081</v>
      </c>
      <c r="N6" s="53">
        <v>44081</v>
      </c>
      <c r="O6" s="35" t="s">
        <v>1624</v>
      </c>
      <c r="P6" s="35" t="s">
        <v>393</v>
      </c>
      <c r="Q6" s="35"/>
      <c r="R6" s="39"/>
      <c r="S6" s="21"/>
      <c r="T6" s="21"/>
      <c r="U6" s="21"/>
    </row>
    <row r="7" spans="2:21">
      <c r="B7" s="232"/>
      <c r="C7" s="232"/>
      <c r="D7" s="255"/>
      <c r="E7" s="255"/>
      <c r="F7" s="255"/>
      <c r="G7" s="255"/>
      <c r="H7" s="21"/>
      <c r="I7" s="21"/>
      <c r="J7" s="33" t="s">
        <v>306</v>
      </c>
      <c r="K7" s="56" t="s">
        <v>512</v>
      </c>
      <c r="L7" s="35" t="s">
        <v>332</v>
      </c>
      <c r="M7" s="53" t="s">
        <v>349</v>
      </c>
      <c r="N7" s="53">
        <v>44138</v>
      </c>
      <c r="O7" s="35" t="s">
        <v>1624</v>
      </c>
      <c r="P7" s="35" t="s">
        <v>584</v>
      </c>
      <c r="Q7" s="35"/>
      <c r="R7" s="39"/>
      <c r="S7" s="21"/>
      <c r="T7" s="21"/>
      <c r="U7" s="21"/>
    </row>
    <row r="8" spans="2:21">
      <c r="B8" s="232"/>
      <c r="C8" s="232"/>
      <c r="D8" s="255"/>
      <c r="E8" s="255"/>
      <c r="F8" s="255"/>
      <c r="G8" s="255"/>
      <c r="H8" s="21"/>
      <c r="I8" s="21"/>
      <c r="J8" s="33" t="s">
        <v>306</v>
      </c>
      <c r="K8" s="56" t="s">
        <v>654</v>
      </c>
      <c r="L8" s="35" t="s">
        <v>332</v>
      </c>
      <c r="M8" s="53" t="s">
        <v>349</v>
      </c>
      <c r="N8" s="53">
        <v>44283</v>
      </c>
      <c r="O8" s="35" t="s">
        <v>1624</v>
      </c>
      <c r="P8" s="35" t="s">
        <v>1356</v>
      </c>
      <c r="Q8" s="35"/>
      <c r="R8" s="39"/>
      <c r="S8" s="21"/>
      <c r="T8" s="21"/>
      <c r="U8" s="21"/>
    </row>
    <row r="9" spans="2:21">
      <c r="B9" s="232"/>
      <c r="C9" s="232"/>
      <c r="D9" s="255"/>
      <c r="E9" s="255"/>
      <c r="F9" s="255"/>
      <c r="G9" s="255"/>
      <c r="H9" s="21"/>
      <c r="I9" s="21"/>
      <c r="J9" s="33" t="s">
        <v>306</v>
      </c>
      <c r="K9" s="56" t="s">
        <v>729</v>
      </c>
      <c r="L9" s="35" t="s">
        <v>332</v>
      </c>
      <c r="M9" s="53" t="s">
        <v>349</v>
      </c>
      <c r="N9" s="53">
        <v>44319</v>
      </c>
      <c r="O9" s="35" t="s">
        <v>1624</v>
      </c>
      <c r="P9" s="35" t="s">
        <v>1622</v>
      </c>
      <c r="Q9" s="35"/>
      <c r="R9" s="39"/>
      <c r="S9" s="21"/>
      <c r="T9" s="21"/>
      <c r="U9" s="21"/>
    </row>
    <row r="10" spans="2:21">
      <c r="B10" s="232"/>
      <c r="C10" s="232"/>
      <c r="D10" s="255"/>
      <c r="E10" s="255"/>
      <c r="F10" s="255"/>
      <c r="G10" s="255"/>
      <c r="H10" s="21"/>
      <c r="I10" s="21"/>
      <c r="J10" s="33" t="s">
        <v>306</v>
      </c>
      <c r="K10" s="56" t="s">
        <v>730</v>
      </c>
      <c r="L10" s="35" t="s">
        <v>332</v>
      </c>
      <c r="M10" s="53" t="s">
        <v>349</v>
      </c>
      <c r="N10" s="53">
        <v>44497</v>
      </c>
      <c r="O10" s="35" t="s">
        <v>1624</v>
      </c>
      <c r="P10" s="35" t="s">
        <v>2379</v>
      </c>
      <c r="Q10" s="35"/>
      <c r="R10" s="39"/>
      <c r="S10" s="21"/>
      <c r="T10" s="21"/>
      <c r="U10" s="21"/>
    </row>
    <row r="11" spans="2:21">
      <c r="B11" s="232"/>
      <c r="C11" s="232"/>
      <c r="D11" s="255"/>
      <c r="E11" s="255"/>
      <c r="F11" s="255"/>
      <c r="G11" s="255"/>
      <c r="H11" s="21"/>
      <c r="I11" s="21"/>
      <c r="J11" s="33" t="s">
        <v>306</v>
      </c>
      <c r="K11" s="56" t="s">
        <v>1161</v>
      </c>
      <c r="L11" s="35" t="s">
        <v>332</v>
      </c>
      <c r="M11" s="53" t="s">
        <v>349</v>
      </c>
      <c r="N11" s="53">
        <v>44973</v>
      </c>
      <c r="O11" s="35" t="s">
        <v>1624</v>
      </c>
      <c r="P11" s="35" t="s">
        <v>3588</v>
      </c>
      <c r="Q11" s="35"/>
      <c r="R11" s="39"/>
      <c r="S11" s="21"/>
      <c r="T11" s="21"/>
      <c r="U11" s="21"/>
    </row>
    <row r="12" spans="2:21">
      <c r="B12" s="232"/>
      <c r="C12" s="232"/>
      <c r="D12" s="255"/>
      <c r="E12" s="255"/>
      <c r="F12" s="255"/>
      <c r="G12" s="255"/>
      <c r="H12" s="21"/>
      <c r="I12" s="21"/>
      <c r="J12" s="33" t="s">
        <v>306</v>
      </c>
      <c r="K12" s="56" t="s">
        <v>917</v>
      </c>
      <c r="L12" s="35" t="s">
        <v>332</v>
      </c>
      <c r="M12" s="53" t="s">
        <v>349</v>
      </c>
      <c r="N12" s="53">
        <v>45216</v>
      </c>
      <c r="O12" s="35" t="s">
        <v>1624</v>
      </c>
      <c r="P12" s="35" t="s">
        <v>3976</v>
      </c>
      <c r="Q12" s="35"/>
      <c r="R12" s="39"/>
      <c r="S12" s="21"/>
      <c r="T12" s="21"/>
      <c r="U12" s="21"/>
    </row>
    <row r="13" spans="2:21">
      <c r="B13" s="232"/>
      <c r="C13" s="232"/>
      <c r="D13" s="255"/>
      <c r="E13" s="255"/>
      <c r="F13" s="255"/>
      <c r="G13" s="255"/>
      <c r="H13" s="21"/>
      <c r="I13" s="21"/>
      <c r="J13" s="33"/>
      <c r="K13" s="56"/>
      <c r="L13" s="35"/>
      <c r="M13" s="53"/>
      <c r="N13" s="53"/>
      <c r="O13" s="35"/>
      <c r="P13" s="35"/>
      <c r="Q13" s="35"/>
      <c r="R13" s="39"/>
      <c r="S13" s="21"/>
      <c r="T13" s="21"/>
      <c r="U13" s="21"/>
    </row>
    <row r="14" spans="2:21">
      <c r="B14" s="232"/>
      <c r="C14" s="232"/>
      <c r="D14" s="255"/>
      <c r="E14" s="255"/>
      <c r="F14" s="255"/>
      <c r="G14" s="255"/>
      <c r="H14" s="21" t="s">
        <v>177</v>
      </c>
      <c r="I14" s="21"/>
      <c r="J14" s="33" t="s">
        <v>305</v>
      </c>
      <c r="K14" s="56" t="s">
        <v>3</v>
      </c>
      <c r="L14" s="35" t="s">
        <v>332</v>
      </c>
      <c r="M14" s="53">
        <v>44134</v>
      </c>
      <c r="N14" s="53">
        <v>44081</v>
      </c>
      <c r="O14" s="35" t="s">
        <v>1624</v>
      </c>
      <c r="P14" s="35" t="s">
        <v>393</v>
      </c>
      <c r="Q14" s="35"/>
      <c r="R14" s="39"/>
      <c r="S14" s="21"/>
      <c r="T14" s="21"/>
      <c r="U14" s="21"/>
    </row>
    <row r="15" spans="2:21">
      <c r="B15" s="232"/>
      <c r="C15" s="232"/>
      <c r="D15" s="255"/>
      <c r="E15" s="255"/>
      <c r="F15" s="255"/>
      <c r="G15" s="255"/>
      <c r="H15" s="21"/>
      <c r="I15" s="21"/>
      <c r="J15" s="33" t="s">
        <v>305</v>
      </c>
      <c r="K15" s="56" t="s">
        <v>512</v>
      </c>
      <c r="L15" s="35" t="s">
        <v>332</v>
      </c>
      <c r="M15" s="53" t="s">
        <v>349</v>
      </c>
      <c r="N15" s="53">
        <v>44138</v>
      </c>
      <c r="O15" s="35" t="s">
        <v>1624</v>
      </c>
      <c r="P15" s="35" t="s">
        <v>584</v>
      </c>
      <c r="Q15" s="35"/>
      <c r="R15" s="39"/>
      <c r="S15" s="21"/>
      <c r="T15" s="21"/>
      <c r="U15" s="21"/>
    </row>
    <row r="16" spans="2:21">
      <c r="B16" s="232"/>
      <c r="C16" s="232"/>
      <c r="D16" s="255"/>
      <c r="E16" s="255"/>
      <c r="F16" s="255"/>
      <c r="G16" s="255"/>
      <c r="H16" s="21"/>
      <c r="I16" s="21"/>
      <c r="J16" s="33" t="s">
        <v>305</v>
      </c>
      <c r="K16" s="56" t="s">
        <v>654</v>
      </c>
      <c r="L16" s="35" t="s">
        <v>332</v>
      </c>
      <c r="M16" s="53" t="s">
        <v>349</v>
      </c>
      <c r="N16" s="53">
        <v>44283</v>
      </c>
      <c r="O16" s="35" t="s">
        <v>1624</v>
      </c>
      <c r="P16" s="35" t="s">
        <v>1356</v>
      </c>
      <c r="Q16" s="35"/>
      <c r="R16" s="39"/>
      <c r="S16" s="21"/>
      <c r="T16" s="21"/>
      <c r="U16" s="21"/>
    </row>
    <row r="17" spans="2:21">
      <c r="B17" s="232"/>
      <c r="C17" s="232"/>
      <c r="D17" s="255"/>
      <c r="E17" s="255"/>
      <c r="F17" s="255"/>
      <c r="G17" s="255"/>
      <c r="H17" s="21"/>
      <c r="I17" s="21"/>
      <c r="J17" s="33" t="s">
        <v>305</v>
      </c>
      <c r="K17" s="56" t="s">
        <v>729</v>
      </c>
      <c r="L17" s="35" t="s">
        <v>332</v>
      </c>
      <c r="M17" s="53" t="s">
        <v>349</v>
      </c>
      <c r="N17" s="53">
        <v>44319</v>
      </c>
      <c r="O17" s="35" t="s">
        <v>1624</v>
      </c>
      <c r="P17" s="35" t="s">
        <v>1622</v>
      </c>
      <c r="Q17" s="35"/>
      <c r="R17" s="39"/>
      <c r="S17" s="21"/>
      <c r="T17" s="21"/>
      <c r="U17" s="21"/>
    </row>
    <row r="18" spans="2:21">
      <c r="B18" s="232"/>
      <c r="C18" s="232"/>
      <c r="D18" s="255"/>
      <c r="E18" s="255"/>
      <c r="F18" s="255"/>
      <c r="G18" s="255"/>
      <c r="H18" s="21"/>
      <c r="I18" s="21"/>
      <c r="J18" s="176" t="s">
        <v>3982</v>
      </c>
      <c r="K18" s="56"/>
      <c r="L18" s="35"/>
      <c r="M18" s="53"/>
      <c r="N18" s="53"/>
      <c r="O18" s="35"/>
      <c r="P18" s="35"/>
      <c r="Q18" s="35"/>
      <c r="R18" s="39"/>
      <c r="S18" s="21"/>
      <c r="T18" s="21"/>
      <c r="U18" s="21"/>
    </row>
    <row r="19" spans="2:21">
      <c r="B19" s="232"/>
      <c r="C19" s="232"/>
      <c r="D19" s="255"/>
      <c r="E19" s="255"/>
      <c r="F19" s="255"/>
      <c r="G19" s="255"/>
      <c r="H19" s="21"/>
      <c r="I19" s="21"/>
      <c r="J19" s="33"/>
      <c r="K19" s="56"/>
      <c r="L19" s="35"/>
      <c r="M19" s="53"/>
      <c r="N19" s="53"/>
      <c r="O19" s="35"/>
      <c r="P19" s="35"/>
      <c r="Q19" s="35"/>
      <c r="R19" s="39"/>
      <c r="S19" s="21"/>
      <c r="T19" s="21"/>
      <c r="U19" s="21"/>
    </row>
    <row r="20" spans="2:21">
      <c r="B20" s="232"/>
      <c r="C20" s="232"/>
      <c r="D20" s="255"/>
      <c r="E20" s="255"/>
      <c r="F20" s="255"/>
      <c r="G20" s="255"/>
      <c r="H20" s="21" t="s">
        <v>181</v>
      </c>
      <c r="I20" s="165"/>
      <c r="J20" s="60" t="s">
        <v>728</v>
      </c>
      <c r="K20" s="56" t="s">
        <v>3</v>
      </c>
      <c r="L20" s="35" t="s">
        <v>332</v>
      </c>
      <c r="M20" s="53" t="s">
        <v>349</v>
      </c>
      <c r="N20" s="53">
        <v>44188</v>
      </c>
      <c r="O20" s="35" t="s">
        <v>1623</v>
      </c>
      <c r="P20" s="35" t="s">
        <v>848</v>
      </c>
      <c r="Q20" s="35"/>
      <c r="R20" s="58" t="s">
        <v>324</v>
      </c>
      <c r="S20" s="21"/>
      <c r="T20" s="21" t="s">
        <v>2488</v>
      </c>
      <c r="U20" s="21"/>
    </row>
    <row r="21" spans="2:21">
      <c r="B21" s="232"/>
      <c r="C21" s="232"/>
      <c r="D21" s="255"/>
      <c r="E21" s="255"/>
      <c r="F21" s="255"/>
      <c r="G21" s="255"/>
      <c r="H21" s="21"/>
      <c r="I21" s="165"/>
      <c r="J21" s="60"/>
      <c r="K21" s="56"/>
      <c r="L21" s="35"/>
      <c r="M21" s="53"/>
      <c r="N21" s="53"/>
      <c r="O21" s="35"/>
      <c r="P21" s="35"/>
      <c r="Q21" s="35"/>
      <c r="R21" s="39"/>
      <c r="S21" s="21"/>
      <c r="T21" s="21"/>
      <c r="U21" s="21"/>
    </row>
    <row r="22" spans="2:21">
      <c r="B22" s="232"/>
      <c r="C22" s="232"/>
      <c r="D22" s="255"/>
      <c r="E22" s="255"/>
      <c r="F22" s="255"/>
      <c r="G22" s="255"/>
      <c r="H22" s="21"/>
      <c r="I22" s="177" t="s">
        <v>807</v>
      </c>
      <c r="J22" s="78" t="s">
        <v>2487</v>
      </c>
      <c r="K22" s="56" t="s">
        <v>654</v>
      </c>
      <c r="L22" s="35" t="s">
        <v>332</v>
      </c>
      <c r="M22" s="53" t="s">
        <v>349</v>
      </c>
      <c r="N22" s="53">
        <v>44532</v>
      </c>
      <c r="O22" s="35" t="s">
        <v>2486</v>
      </c>
      <c r="P22" s="35" t="s">
        <v>2516</v>
      </c>
      <c r="Q22" s="35"/>
      <c r="R22" s="58" t="s">
        <v>324</v>
      </c>
      <c r="S22" s="21"/>
      <c r="T22" s="21"/>
      <c r="U22" s="21"/>
    </row>
    <row r="23" spans="2:21">
      <c r="B23" s="232"/>
      <c r="C23" s="232"/>
      <c r="D23" s="255"/>
      <c r="E23" s="255"/>
      <c r="F23" s="255"/>
      <c r="G23" s="255"/>
      <c r="H23" s="21"/>
      <c r="I23" s="177"/>
      <c r="J23" s="78" t="s">
        <v>2487</v>
      </c>
      <c r="K23" s="56" t="s">
        <v>729</v>
      </c>
      <c r="L23" s="35" t="s">
        <v>332</v>
      </c>
      <c r="M23" s="53" t="s">
        <v>349</v>
      </c>
      <c r="N23" s="53">
        <v>44816</v>
      </c>
      <c r="O23" s="35" t="s">
        <v>2486</v>
      </c>
      <c r="P23" s="35" t="s">
        <v>3259</v>
      </c>
      <c r="Q23" s="35"/>
      <c r="R23" s="58"/>
      <c r="S23" s="21"/>
      <c r="T23" s="21"/>
      <c r="U23" s="21"/>
    </row>
    <row r="24" spans="2:21">
      <c r="B24" s="232"/>
      <c r="C24" s="232"/>
      <c r="D24" s="255"/>
      <c r="E24" s="255"/>
      <c r="F24" s="255"/>
      <c r="G24" s="255"/>
      <c r="H24" s="21"/>
      <c r="I24" s="177" t="s">
        <v>808</v>
      </c>
      <c r="J24" s="109" t="s">
        <v>2489</v>
      </c>
      <c r="K24" s="56" t="s">
        <v>512</v>
      </c>
      <c r="L24" s="35" t="s">
        <v>332</v>
      </c>
      <c r="M24" s="53" t="s">
        <v>349</v>
      </c>
      <c r="N24" s="53">
        <v>44532</v>
      </c>
      <c r="O24" s="35" t="s">
        <v>2505</v>
      </c>
      <c r="P24" s="35" t="s">
        <v>2516</v>
      </c>
      <c r="Q24" s="35"/>
      <c r="R24" s="58" t="s">
        <v>324</v>
      </c>
      <c r="S24" s="21"/>
      <c r="T24" s="21"/>
      <c r="U24" s="21"/>
    </row>
    <row r="25" spans="2:21">
      <c r="B25" s="232"/>
      <c r="C25" s="232"/>
      <c r="D25" s="255"/>
      <c r="E25" s="255"/>
      <c r="F25" s="255"/>
      <c r="G25" s="255"/>
      <c r="H25" s="21"/>
      <c r="I25" s="177"/>
      <c r="J25" s="109" t="s">
        <v>2489</v>
      </c>
      <c r="K25" s="56" t="s">
        <v>654</v>
      </c>
      <c r="L25" s="35" t="s">
        <v>332</v>
      </c>
      <c r="M25" s="53" t="s">
        <v>349</v>
      </c>
      <c r="N25" s="53">
        <v>44701</v>
      </c>
      <c r="O25" s="35" t="s">
        <v>2505</v>
      </c>
      <c r="P25" s="35" t="s">
        <v>2930</v>
      </c>
      <c r="Q25" s="35"/>
      <c r="R25" s="58"/>
      <c r="S25" s="21"/>
      <c r="T25" s="21"/>
      <c r="U25" s="21"/>
    </row>
    <row r="26" spans="2:21">
      <c r="B26" s="232"/>
      <c r="C26" s="232"/>
      <c r="D26" s="255"/>
      <c r="E26" s="255"/>
      <c r="F26" s="255"/>
      <c r="G26" s="255"/>
      <c r="H26" s="21"/>
      <c r="I26" s="177"/>
      <c r="J26" s="109" t="s">
        <v>2489</v>
      </c>
      <c r="K26" s="56" t="s">
        <v>729</v>
      </c>
      <c r="L26" s="35" t="s">
        <v>332</v>
      </c>
      <c r="M26" s="53" t="s">
        <v>349</v>
      </c>
      <c r="N26" s="53">
        <v>45216</v>
      </c>
      <c r="O26" s="35" t="s">
        <v>2505</v>
      </c>
      <c r="P26" s="35" t="s">
        <v>4020</v>
      </c>
      <c r="Q26" s="35"/>
      <c r="R26" s="58"/>
      <c r="S26" s="21"/>
      <c r="T26" s="21"/>
      <c r="U26" s="21"/>
    </row>
    <row r="27" spans="2:21">
      <c r="B27" s="232"/>
      <c r="C27" s="232"/>
      <c r="D27" s="255"/>
      <c r="E27" s="255"/>
      <c r="F27" s="255"/>
      <c r="G27" s="255"/>
      <c r="H27" s="21"/>
      <c r="I27" s="177" t="s">
        <v>809</v>
      </c>
      <c r="J27" s="109" t="s">
        <v>2498</v>
      </c>
      <c r="K27" s="56" t="s">
        <v>512</v>
      </c>
      <c r="L27" s="35" t="s">
        <v>332</v>
      </c>
      <c r="M27" s="53" t="s">
        <v>349</v>
      </c>
      <c r="N27" s="53">
        <v>44532</v>
      </c>
      <c r="O27" s="35" t="s">
        <v>2506</v>
      </c>
      <c r="P27" s="35" t="s">
        <v>2516</v>
      </c>
      <c r="Q27" s="35"/>
      <c r="R27" s="58" t="s">
        <v>324</v>
      </c>
      <c r="S27" s="21"/>
      <c r="T27" s="21"/>
      <c r="U27" s="21"/>
    </row>
    <row r="28" spans="2:21">
      <c r="B28" s="232"/>
      <c r="C28" s="232"/>
      <c r="D28" s="255"/>
      <c r="E28" s="255"/>
      <c r="F28" s="255"/>
      <c r="G28" s="255"/>
      <c r="H28" s="21"/>
      <c r="I28" s="177"/>
      <c r="J28" s="109" t="s">
        <v>2498</v>
      </c>
      <c r="K28" s="56" t="s">
        <v>654</v>
      </c>
      <c r="L28" s="35" t="s">
        <v>332</v>
      </c>
      <c r="M28" s="53" t="s">
        <v>349</v>
      </c>
      <c r="N28" s="53">
        <v>44701</v>
      </c>
      <c r="O28" s="35" t="s">
        <v>2506</v>
      </c>
      <c r="P28" s="35" t="s">
        <v>2930</v>
      </c>
      <c r="Q28" s="35"/>
      <c r="R28" s="58"/>
      <c r="S28" s="21"/>
      <c r="T28" s="21"/>
      <c r="U28" s="21"/>
    </row>
    <row r="29" spans="2:21">
      <c r="B29" s="232"/>
      <c r="C29" s="232"/>
      <c r="D29" s="255"/>
      <c r="E29" s="255"/>
      <c r="F29" s="255"/>
      <c r="G29" s="255"/>
      <c r="H29" s="21"/>
      <c r="I29" s="177"/>
      <c r="J29" s="109" t="s">
        <v>2498</v>
      </c>
      <c r="K29" s="56" t="s">
        <v>729</v>
      </c>
      <c r="L29" s="35" t="s">
        <v>332</v>
      </c>
      <c r="M29" s="53" t="s">
        <v>349</v>
      </c>
      <c r="N29" s="53">
        <v>45216</v>
      </c>
      <c r="O29" s="35" t="s">
        <v>2506</v>
      </c>
      <c r="P29" s="35" t="s">
        <v>4020</v>
      </c>
      <c r="Q29" s="35"/>
      <c r="R29" s="58"/>
      <c r="S29" s="21"/>
      <c r="T29" s="21"/>
      <c r="U29" s="21"/>
    </row>
    <row r="30" spans="2:21">
      <c r="B30" s="232"/>
      <c r="C30" s="232"/>
      <c r="D30" s="255"/>
      <c r="E30" s="255"/>
      <c r="F30" s="255"/>
      <c r="G30" s="255"/>
      <c r="H30" s="21"/>
      <c r="I30" s="177" t="s">
        <v>810</v>
      </c>
      <c r="J30" s="109" t="s">
        <v>2490</v>
      </c>
      <c r="K30" s="56" t="s">
        <v>512</v>
      </c>
      <c r="L30" s="35" t="s">
        <v>332</v>
      </c>
      <c r="M30" s="53" t="s">
        <v>349</v>
      </c>
      <c r="N30" s="53">
        <v>44532</v>
      </c>
      <c r="O30" s="35" t="s">
        <v>2507</v>
      </c>
      <c r="P30" s="35" t="s">
        <v>2516</v>
      </c>
      <c r="Q30" s="35"/>
      <c r="R30" s="58" t="s">
        <v>324</v>
      </c>
      <c r="S30" s="21"/>
      <c r="T30" s="21"/>
      <c r="U30" s="21"/>
    </row>
    <row r="31" spans="2:21">
      <c r="B31" s="232"/>
      <c r="C31" s="232"/>
      <c r="D31" s="255"/>
      <c r="E31" s="255"/>
      <c r="F31" s="255"/>
      <c r="G31" s="255"/>
      <c r="H31" s="21"/>
      <c r="I31" s="177"/>
      <c r="J31" s="109" t="s">
        <v>2490</v>
      </c>
      <c r="K31" s="56" t="s">
        <v>654</v>
      </c>
      <c r="L31" s="35" t="s">
        <v>332</v>
      </c>
      <c r="M31" s="53" t="s">
        <v>349</v>
      </c>
      <c r="N31" s="53">
        <v>44701</v>
      </c>
      <c r="O31" s="35" t="s">
        <v>2507</v>
      </c>
      <c r="P31" s="35" t="s">
        <v>2930</v>
      </c>
      <c r="Q31" s="35"/>
      <c r="R31" s="58"/>
      <c r="S31" s="21"/>
      <c r="T31" s="21"/>
      <c r="U31" s="21"/>
    </row>
    <row r="32" spans="2:21">
      <c r="B32" s="232"/>
      <c r="C32" s="232"/>
      <c r="D32" s="255"/>
      <c r="E32" s="255"/>
      <c r="F32" s="255"/>
      <c r="G32" s="255"/>
      <c r="H32" s="21"/>
      <c r="I32" s="177"/>
      <c r="J32" s="109" t="s">
        <v>2490</v>
      </c>
      <c r="K32" s="56" t="s">
        <v>729</v>
      </c>
      <c r="L32" s="35" t="s">
        <v>332</v>
      </c>
      <c r="M32" s="53" t="s">
        <v>349</v>
      </c>
      <c r="N32" s="53">
        <v>45216</v>
      </c>
      <c r="O32" s="35" t="s">
        <v>2507</v>
      </c>
      <c r="P32" s="35" t="s">
        <v>4020</v>
      </c>
      <c r="Q32" s="35"/>
      <c r="R32" s="58"/>
      <c r="S32" s="21"/>
      <c r="T32" s="21"/>
      <c r="U32" s="21"/>
    </row>
    <row r="33" spans="2:21">
      <c r="B33" s="232"/>
      <c r="C33" s="232"/>
      <c r="D33" s="255"/>
      <c r="E33" s="255"/>
      <c r="F33" s="255"/>
      <c r="G33" s="255"/>
      <c r="H33" s="21"/>
      <c r="I33" s="177" t="s">
        <v>811</v>
      </c>
      <c r="J33" s="109" t="s">
        <v>2491</v>
      </c>
      <c r="K33" s="56" t="s">
        <v>512</v>
      </c>
      <c r="L33" s="35" t="s">
        <v>332</v>
      </c>
      <c r="M33" s="53" t="s">
        <v>349</v>
      </c>
      <c r="N33" s="53">
        <v>44532</v>
      </c>
      <c r="O33" s="35" t="s">
        <v>2508</v>
      </c>
      <c r="P33" s="35" t="s">
        <v>2516</v>
      </c>
      <c r="Q33" s="35"/>
      <c r="R33" s="58" t="s">
        <v>324</v>
      </c>
      <c r="S33" s="21"/>
      <c r="T33" s="21"/>
      <c r="U33" s="21"/>
    </row>
    <row r="34" spans="2:21">
      <c r="B34" s="232"/>
      <c r="C34" s="232"/>
      <c r="D34" s="255"/>
      <c r="E34" s="255"/>
      <c r="F34" s="255"/>
      <c r="G34" s="255"/>
      <c r="H34" s="21"/>
      <c r="I34" s="177"/>
      <c r="J34" s="109" t="s">
        <v>2491</v>
      </c>
      <c r="K34" s="56" t="s">
        <v>654</v>
      </c>
      <c r="L34" s="35" t="s">
        <v>332</v>
      </c>
      <c r="M34" s="53"/>
      <c r="N34" s="53">
        <v>44701</v>
      </c>
      <c r="O34" s="35" t="s">
        <v>2508</v>
      </c>
      <c r="P34" s="35" t="s">
        <v>2930</v>
      </c>
      <c r="Q34" s="35"/>
      <c r="R34" s="58"/>
      <c r="S34" s="21"/>
      <c r="T34" s="21"/>
      <c r="U34" s="21"/>
    </row>
    <row r="35" spans="2:21">
      <c r="B35" s="232"/>
      <c r="C35" s="232"/>
      <c r="D35" s="255"/>
      <c r="E35" s="255"/>
      <c r="F35" s="255"/>
      <c r="G35" s="255"/>
      <c r="H35" s="21"/>
      <c r="I35" s="177" t="s">
        <v>1101</v>
      </c>
      <c r="J35" s="109" t="s">
        <v>2492</v>
      </c>
      <c r="K35" s="56" t="s">
        <v>512</v>
      </c>
      <c r="L35" s="35" t="s">
        <v>332</v>
      </c>
      <c r="M35" s="53" t="s">
        <v>349</v>
      </c>
      <c r="N35" s="53">
        <v>44532</v>
      </c>
      <c r="O35" s="35" t="s">
        <v>2509</v>
      </c>
      <c r="P35" s="35" t="s">
        <v>2516</v>
      </c>
      <c r="Q35" s="35"/>
      <c r="R35" s="58" t="s">
        <v>324</v>
      </c>
      <c r="S35" s="21"/>
      <c r="T35" s="21"/>
      <c r="U35" s="21"/>
    </row>
    <row r="36" spans="2:21">
      <c r="B36" s="232"/>
      <c r="C36" s="232"/>
      <c r="D36" s="255"/>
      <c r="E36" s="255"/>
      <c r="F36" s="255"/>
      <c r="G36" s="255"/>
      <c r="H36" s="21"/>
      <c r="I36" s="177" t="s">
        <v>1102</v>
      </c>
      <c r="J36" s="109" t="s">
        <v>2493</v>
      </c>
      <c r="K36" s="56" t="s">
        <v>512</v>
      </c>
      <c r="L36" s="35" t="s">
        <v>332</v>
      </c>
      <c r="M36" s="53" t="s">
        <v>349</v>
      </c>
      <c r="N36" s="53">
        <v>44532</v>
      </c>
      <c r="O36" s="35" t="s">
        <v>2510</v>
      </c>
      <c r="P36" s="35" t="s">
        <v>2516</v>
      </c>
      <c r="Q36" s="35"/>
      <c r="R36" s="58" t="s">
        <v>324</v>
      </c>
      <c r="S36" s="21"/>
      <c r="T36" s="21"/>
      <c r="U36" s="21"/>
    </row>
    <row r="37" spans="2:21">
      <c r="B37" s="232"/>
      <c r="C37" s="232"/>
      <c r="D37" s="255"/>
      <c r="E37" s="255"/>
      <c r="F37" s="255"/>
      <c r="G37" s="255"/>
      <c r="H37" s="21"/>
      <c r="I37" s="177" t="s">
        <v>1103</v>
      </c>
      <c r="J37" s="109" t="s">
        <v>2494</v>
      </c>
      <c r="K37" s="56" t="s">
        <v>512</v>
      </c>
      <c r="L37" s="35" t="s">
        <v>332</v>
      </c>
      <c r="M37" s="53" t="s">
        <v>349</v>
      </c>
      <c r="N37" s="53">
        <v>44532</v>
      </c>
      <c r="O37" s="35" t="s">
        <v>2511</v>
      </c>
      <c r="P37" s="35" t="s">
        <v>2516</v>
      </c>
      <c r="Q37" s="35"/>
      <c r="R37" s="58" t="s">
        <v>324</v>
      </c>
      <c r="S37" s="21"/>
      <c r="T37" s="21"/>
      <c r="U37" s="21"/>
    </row>
    <row r="38" spans="2:21">
      <c r="B38" s="232"/>
      <c r="C38" s="232"/>
      <c r="D38" s="255"/>
      <c r="E38" s="255"/>
      <c r="F38" s="255"/>
      <c r="G38" s="255"/>
      <c r="H38" s="21"/>
      <c r="I38" s="177"/>
      <c r="J38" s="109" t="s">
        <v>2494</v>
      </c>
      <c r="K38" s="56" t="s">
        <v>654</v>
      </c>
      <c r="L38" s="35" t="s">
        <v>332</v>
      </c>
      <c r="M38" s="53" t="s">
        <v>349</v>
      </c>
      <c r="N38" s="53">
        <v>44701</v>
      </c>
      <c r="O38" s="35" t="s">
        <v>2511</v>
      </c>
      <c r="P38" s="35" t="s">
        <v>2930</v>
      </c>
      <c r="Q38" s="35"/>
      <c r="R38" s="58"/>
      <c r="S38" s="21"/>
      <c r="T38" s="21"/>
      <c r="U38" s="21"/>
    </row>
    <row r="39" spans="2:21">
      <c r="B39" s="232"/>
      <c r="C39" s="232"/>
      <c r="D39" s="255"/>
      <c r="E39" s="255"/>
      <c r="F39" s="255"/>
      <c r="G39" s="255"/>
      <c r="H39" s="21"/>
      <c r="I39" s="177"/>
      <c r="J39" s="109" t="s">
        <v>2494</v>
      </c>
      <c r="K39" s="56" t="s">
        <v>729</v>
      </c>
      <c r="L39" s="35" t="s">
        <v>332</v>
      </c>
      <c r="M39" s="53" t="s">
        <v>349</v>
      </c>
      <c r="N39" s="53">
        <v>45216</v>
      </c>
      <c r="O39" s="35" t="s">
        <v>2511</v>
      </c>
      <c r="P39" s="35" t="s">
        <v>4020</v>
      </c>
      <c r="Q39" s="35"/>
      <c r="R39" s="58"/>
      <c r="S39" s="21"/>
      <c r="T39" s="21"/>
      <c r="U39" s="21"/>
    </row>
    <row r="40" spans="2:21">
      <c r="B40" s="232"/>
      <c r="C40" s="232"/>
      <c r="D40" s="255"/>
      <c r="E40" s="255"/>
      <c r="F40" s="255"/>
      <c r="G40" s="255"/>
      <c r="H40" s="21"/>
      <c r="I40" s="177" t="s">
        <v>1104</v>
      </c>
      <c r="J40" s="109" t="s">
        <v>2495</v>
      </c>
      <c r="K40" s="56" t="s">
        <v>512</v>
      </c>
      <c r="L40" s="35" t="s">
        <v>332</v>
      </c>
      <c r="M40" s="53" t="s">
        <v>349</v>
      </c>
      <c r="N40" s="53">
        <v>44532</v>
      </c>
      <c r="O40" s="35" t="s">
        <v>2512</v>
      </c>
      <c r="P40" s="35" t="s">
        <v>2516</v>
      </c>
      <c r="Q40" s="35"/>
      <c r="R40" s="58" t="s">
        <v>324</v>
      </c>
      <c r="S40" s="21"/>
      <c r="T40" s="21"/>
      <c r="U40" s="21"/>
    </row>
    <row r="41" spans="2:21">
      <c r="B41" s="232"/>
      <c r="C41" s="232"/>
      <c r="D41" s="255"/>
      <c r="E41" s="255"/>
      <c r="F41" s="255"/>
      <c r="G41" s="255"/>
      <c r="H41" s="21"/>
      <c r="I41" s="177" t="s">
        <v>1105</v>
      </c>
      <c r="J41" s="109" t="s">
        <v>2496</v>
      </c>
      <c r="K41" s="56" t="s">
        <v>512</v>
      </c>
      <c r="L41" s="35" t="s">
        <v>332</v>
      </c>
      <c r="M41" s="53" t="s">
        <v>349</v>
      </c>
      <c r="N41" s="53">
        <v>44532</v>
      </c>
      <c r="O41" s="35" t="s">
        <v>2513</v>
      </c>
      <c r="P41" s="35" t="s">
        <v>2516</v>
      </c>
      <c r="Q41" s="35"/>
      <c r="R41" s="58" t="s">
        <v>324</v>
      </c>
      <c r="S41" s="21"/>
      <c r="T41" s="21"/>
      <c r="U41" s="21"/>
    </row>
    <row r="42" spans="2:21">
      <c r="B42" s="232"/>
      <c r="C42" s="232"/>
      <c r="D42" s="255"/>
      <c r="E42" s="255"/>
      <c r="F42" s="255"/>
      <c r="G42" s="255"/>
      <c r="H42" s="21"/>
      <c r="I42" s="177"/>
      <c r="J42" s="109" t="s">
        <v>2496</v>
      </c>
      <c r="K42" s="56" t="s">
        <v>654</v>
      </c>
      <c r="L42" s="35" t="s">
        <v>332</v>
      </c>
      <c r="M42" s="53" t="s">
        <v>349</v>
      </c>
      <c r="N42" s="53">
        <v>44701</v>
      </c>
      <c r="O42" s="35" t="s">
        <v>2513</v>
      </c>
      <c r="P42" s="35" t="s">
        <v>2930</v>
      </c>
      <c r="Q42" s="35"/>
      <c r="R42" s="58"/>
      <c r="S42" s="21"/>
      <c r="T42" s="21"/>
      <c r="U42" s="21"/>
    </row>
    <row r="43" spans="2:21">
      <c r="B43" s="232"/>
      <c r="C43" s="232"/>
      <c r="D43" s="255"/>
      <c r="E43" s="255"/>
      <c r="F43" s="255"/>
      <c r="G43" s="255"/>
      <c r="H43" s="21"/>
      <c r="I43" s="177"/>
      <c r="J43" s="109" t="s">
        <v>2496</v>
      </c>
      <c r="K43" s="56" t="s">
        <v>729</v>
      </c>
      <c r="L43" s="35" t="s">
        <v>332</v>
      </c>
      <c r="M43" s="53" t="s">
        <v>349</v>
      </c>
      <c r="N43" s="53">
        <v>45216</v>
      </c>
      <c r="O43" s="35" t="s">
        <v>2513</v>
      </c>
      <c r="P43" s="35" t="s">
        <v>4020</v>
      </c>
      <c r="Q43" s="35"/>
      <c r="R43" s="58"/>
      <c r="S43" s="21"/>
      <c r="T43" s="21"/>
      <c r="U43" s="21"/>
    </row>
    <row r="44" spans="2:21">
      <c r="B44" s="232"/>
      <c r="C44" s="232"/>
      <c r="D44" s="255"/>
      <c r="E44" s="255"/>
      <c r="F44" s="255"/>
      <c r="G44" s="255"/>
      <c r="H44" s="21"/>
      <c r="I44" s="177" t="s">
        <v>1106</v>
      </c>
      <c r="J44" s="109" t="s">
        <v>2497</v>
      </c>
      <c r="K44" s="56" t="s">
        <v>512</v>
      </c>
      <c r="L44" s="35" t="s">
        <v>332</v>
      </c>
      <c r="M44" s="53" t="s">
        <v>349</v>
      </c>
      <c r="N44" s="53">
        <v>44532</v>
      </c>
      <c r="O44" s="35" t="s">
        <v>2514</v>
      </c>
      <c r="P44" s="35" t="s">
        <v>2516</v>
      </c>
      <c r="Q44" s="35"/>
      <c r="R44" s="58" t="s">
        <v>324</v>
      </c>
      <c r="S44" s="21"/>
      <c r="T44" s="21"/>
      <c r="U44" s="21"/>
    </row>
    <row r="45" spans="2:21">
      <c r="B45" s="232"/>
      <c r="C45" s="232"/>
      <c r="D45" s="255"/>
      <c r="E45" s="255"/>
      <c r="F45" s="255"/>
      <c r="G45" s="255"/>
      <c r="H45" s="21"/>
      <c r="I45" s="177"/>
      <c r="J45" s="109" t="s">
        <v>2497</v>
      </c>
      <c r="K45" s="56" t="s">
        <v>654</v>
      </c>
      <c r="L45" s="35" t="s">
        <v>332</v>
      </c>
      <c r="M45" s="53" t="s">
        <v>349</v>
      </c>
      <c r="N45" s="53">
        <v>44701</v>
      </c>
      <c r="O45" s="35" t="s">
        <v>2514</v>
      </c>
      <c r="P45" s="35" t="s">
        <v>2930</v>
      </c>
      <c r="Q45" s="35"/>
      <c r="R45" s="58"/>
      <c r="S45" s="21"/>
      <c r="T45" s="21"/>
      <c r="U45" s="21"/>
    </row>
    <row r="46" spans="2:21">
      <c r="B46" s="232"/>
      <c r="C46" s="232"/>
      <c r="D46" s="255"/>
      <c r="E46" s="255"/>
      <c r="F46" s="255"/>
      <c r="G46" s="255"/>
      <c r="H46" s="21"/>
      <c r="I46" s="177"/>
      <c r="J46" s="109" t="s">
        <v>2497</v>
      </c>
      <c r="K46" s="56" t="s">
        <v>729</v>
      </c>
      <c r="L46" s="35" t="s">
        <v>332</v>
      </c>
      <c r="M46" s="53" t="s">
        <v>349</v>
      </c>
      <c r="N46" s="53">
        <v>45216</v>
      </c>
      <c r="O46" s="35" t="s">
        <v>2514</v>
      </c>
      <c r="P46" s="35" t="s">
        <v>4020</v>
      </c>
      <c r="Q46" s="35"/>
      <c r="R46" s="58"/>
      <c r="S46" s="21"/>
      <c r="T46" s="21"/>
      <c r="U46" s="21"/>
    </row>
    <row r="47" spans="2:21">
      <c r="B47" s="232"/>
      <c r="C47" s="232"/>
      <c r="D47" s="255"/>
      <c r="E47" s="255"/>
      <c r="F47" s="255"/>
      <c r="G47" s="255"/>
      <c r="H47" s="21"/>
      <c r="I47" s="177" t="s">
        <v>1107</v>
      </c>
      <c r="J47" s="109" t="s">
        <v>2499</v>
      </c>
      <c r="K47" s="56" t="s">
        <v>512</v>
      </c>
      <c r="L47" s="35" t="s">
        <v>332</v>
      </c>
      <c r="M47" s="53" t="s">
        <v>349</v>
      </c>
      <c r="N47" s="53">
        <v>44532</v>
      </c>
      <c r="O47" s="35" t="s">
        <v>2515</v>
      </c>
      <c r="P47" s="35" t="s">
        <v>2516</v>
      </c>
      <c r="Q47" s="35"/>
      <c r="R47" s="58" t="s">
        <v>324</v>
      </c>
      <c r="S47" s="21"/>
      <c r="T47" s="21"/>
      <c r="U47" s="21"/>
    </row>
    <row r="48" spans="2:21">
      <c r="B48" s="232"/>
      <c r="C48" s="232"/>
      <c r="D48" s="255"/>
      <c r="E48" s="255"/>
      <c r="F48" s="255"/>
      <c r="G48" s="255"/>
      <c r="H48" s="21"/>
      <c r="I48" s="177"/>
      <c r="J48" s="109" t="s">
        <v>2499</v>
      </c>
      <c r="K48" s="56" t="s">
        <v>654</v>
      </c>
      <c r="L48" s="35" t="s">
        <v>332</v>
      </c>
      <c r="M48" s="53" t="s">
        <v>349</v>
      </c>
      <c r="N48" s="53">
        <v>45216</v>
      </c>
      <c r="O48" s="35" t="s">
        <v>2515</v>
      </c>
      <c r="P48" s="35" t="s">
        <v>4020</v>
      </c>
      <c r="Q48" s="35"/>
      <c r="R48" s="58"/>
      <c r="S48" s="21"/>
      <c r="T48" s="21"/>
      <c r="U48" s="21"/>
    </row>
    <row r="49" spans="2:21">
      <c r="B49" s="232"/>
      <c r="C49" s="232"/>
      <c r="D49" s="255"/>
      <c r="E49" s="255"/>
      <c r="F49" s="255"/>
      <c r="G49" s="255"/>
      <c r="H49" s="21"/>
      <c r="I49" s="166"/>
      <c r="J49" s="109"/>
      <c r="K49" s="56"/>
      <c r="L49" s="35"/>
      <c r="M49" s="53"/>
      <c r="N49" s="53"/>
      <c r="O49" s="35"/>
      <c r="P49" s="35"/>
      <c r="Q49" s="35"/>
      <c r="R49" s="58"/>
      <c r="S49" s="21"/>
      <c r="T49" s="21"/>
      <c r="U49" s="21"/>
    </row>
    <row r="50" spans="2:21">
      <c r="B50" s="232"/>
      <c r="C50" s="232"/>
      <c r="D50" s="255"/>
      <c r="E50" s="255"/>
      <c r="F50" s="255"/>
      <c r="G50" s="255"/>
      <c r="H50" s="21" t="s">
        <v>183</v>
      </c>
      <c r="I50" s="165"/>
      <c r="J50" s="60" t="s">
        <v>909</v>
      </c>
      <c r="K50" s="56" t="s">
        <v>512</v>
      </c>
      <c r="L50" s="35" t="s">
        <v>332</v>
      </c>
      <c r="M50" s="53" t="s">
        <v>349</v>
      </c>
      <c r="N50" s="53">
        <v>44319</v>
      </c>
      <c r="O50" s="35" t="s">
        <v>1628</v>
      </c>
      <c r="P50" s="35" t="s">
        <v>1629</v>
      </c>
      <c r="Q50" s="35"/>
      <c r="R50" s="58" t="s">
        <v>324</v>
      </c>
      <c r="S50" s="21"/>
      <c r="T50" s="21"/>
      <c r="U50" s="21"/>
    </row>
    <row r="51" spans="2:21">
      <c r="B51" s="232"/>
      <c r="C51" s="232"/>
      <c r="D51" s="255"/>
      <c r="E51" s="255"/>
      <c r="F51" s="255"/>
      <c r="G51" s="255"/>
      <c r="H51" s="21"/>
      <c r="I51" s="165"/>
      <c r="J51" s="60"/>
      <c r="K51" s="56" t="s">
        <v>654</v>
      </c>
      <c r="L51" s="35" t="s">
        <v>332</v>
      </c>
      <c r="M51" s="53" t="s">
        <v>349</v>
      </c>
      <c r="N51" s="53">
        <v>44875</v>
      </c>
      <c r="O51" s="35" t="s">
        <v>1628</v>
      </c>
      <c r="P51" s="35" t="s">
        <v>3333</v>
      </c>
      <c r="Q51" s="35"/>
      <c r="R51" s="58" t="s">
        <v>324</v>
      </c>
      <c r="S51" s="21"/>
      <c r="T51" s="21"/>
      <c r="U51" s="21"/>
    </row>
    <row r="52" spans="2:21">
      <c r="B52" s="232"/>
      <c r="C52" s="232"/>
      <c r="D52" s="255"/>
      <c r="E52" s="255"/>
      <c r="F52" s="255"/>
      <c r="G52" s="255"/>
      <c r="H52" s="21"/>
      <c r="I52" s="165"/>
      <c r="J52" s="60"/>
      <c r="K52" s="56" t="s">
        <v>729</v>
      </c>
      <c r="L52" s="35" t="s">
        <v>332</v>
      </c>
      <c r="M52" s="53" t="s">
        <v>349</v>
      </c>
      <c r="N52" s="53">
        <v>44963</v>
      </c>
      <c r="O52" s="35" t="s">
        <v>1628</v>
      </c>
      <c r="P52" s="35" t="s">
        <v>3513</v>
      </c>
      <c r="Q52" s="35"/>
      <c r="R52" s="58" t="s">
        <v>324</v>
      </c>
      <c r="S52" s="21"/>
      <c r="T52" s="21"/>
      <c r="U52" s="21"/>
    </row>
    <row r="53" spans="2:21">
      <c r="B53" s="232"/>
      <c r="C53" s="232"/>
      <c r="D53" s="255"/>
      <c r="E53" s="255"/>
      <c r="F53" s="255"/>
      <c r="G53" s="255"/>
      <c r="H53" s="21"/>
      <c r="I53" s="165"/>
      <c r="J53" s="60"/>
      <c r="K53" s="56" t="s">
        <v>730</v>
      </c>
      <c r="L53" s="35" t="s">
        <v>332</v>
      </c>
      <c r="M53" s="53" t="s">
        <v>349</v>
      </c>
      <c r="N53" s="53">
        <v>45356</v>
      </c>
      <c r="O53" s="35" t="s">
        <v>4256</v>
      </c>
      <c r="P53" s="35" t="s">
        <v>4257</v>
      </c>
      <c r="Q53" s="35"/>
      <c r="R53" s="58" t="s">
        <v>324</v>
      </c>
      <c r="S53" s="21"/>
      <c r="T53" s="21"/>
      <c r="U53" s="21"/>
    </row>
    <row r="54" spans="2:21">
      <c r="B54" s="232"/>
      <c r="C54" s="232"/>
      <c r="D54" s="255"/>
      <c r="E54" s="255"/>
      <c r="F54" s="255"/>
      <c r="G54" s="255"/>
      <c r="H54" s="21"/>
      <c r="I54" s="165"/>
      <c r="J54" s="21"/>
      <c r="K54" s="39"/>
      <c r="L54" s="39"/>
      <c r="M54" s="21"/>
      <c r="N54" s="39"/>
      <c r="O54" s="35"/>
      <c r="P54" s="35"/>
      <c r="Q54" s="35"/>
      <c r="R54" s="39"/>
      <c r="S54" s="21"/>
      <c r="T54" s="21"/>
      <c r="U54" s="21"/>
    </row>
    <row r="55" spans="2:21">
      <c r="B55" s="232"/>
      <c r="C55" s="232"/>
      <c r="D55" s="255"/>
      <c r="E55" s="255"/>
      <c r="F55" s="21" t="s">
        <v>29</v>
      </c>
      <c r="G55" s="265" t="s">
        <v>173</v>
      </c>
      <c r="H55" s="265"/>
      <c r="I55" s="265"/>
      <c r="J55" s="265"/>
      <c r="K55" s="265"/>
      <c r="L55" s="265"/>
      <c r="M55" s="265"/>
      <c r="N55" s="265"/>
      <c r="O55" s="265"/>
      <c r="P55" s="38"/>
      <c r="Q55" s="38"/>
      <c r="R55" s="39"/>
      <c r="S55" s="21"/>
      <c r="T55" s="21"/>
      <c r="U55" s="21"/>
    </row>
    <row r="56" spans="2:21">
      <c r="B56" s="232"/>
      <c r="C56" s="232"/>
      <c r="D56" s="255"/>
      <c r="E56" s="255"/>
      <c r="F56" s="263"/>
      <c r="G56" s="263"/>
      <c r="H56" s="256" t="s">
        <v>176</v>
      </c>
      <c r="I56" s="258"/>
      <c r="J56" s="60" t="s">
        <v>563</v>
      </c>
      <c r="K56" s="38"/>
      <c r="L56" s="39"/>
      <c r="M56" s="58"/>
      <c r="N56" s="39"/>
      <c r="O56" s="38"/>
      <c r="P56" s="38"/>
      <c r="Q56" s="38"/>
      <c r="R56" s="39"/>
      <c r="S56" s="21"/>
      <c r="T56" s="21"/>
      <c r="U56" s="21"/>
    </row>
    <row r="57" spans="2:21">
      <c r="B57" s="232"/>
      <c r="C57" s="232"/>
      <c r="D57" s="255"/>
      <c r="E57" s="255"/>
      <c r="F57" s="262"/>
      <c r="G57" s="262"/>
      <c r="H57" s="263"/>
      <c r="I57" s="178" t="s">
        <v>807</v>
      </c>
      <c r="J57" s="78" t="s">
        <v>1108</v>
      </c>
      <c r="K57" s="56" t="s">
        <v>512</v>
      </c>
      <c r="L57" s="35" t="s">
        <v>332</v>
      </c>
      <c r="M57" s="53" t="s">
        <v>349</v>
      </c>
      <c r="N57" s="53">
        <v>44253</v>
      </c>
      <c r="O57" s="58" t="s">
        <v>1120</v>
      </c>
      <c r="P57" s="35" t="s">
        <v>1132</v>
      </c>
      <c r="Q57" s="38"/>
      <c r="R57" s="39"/>
      <c r="S57" s="21"/>
      <c r="T57" s="21"/>
      <c r="U57" s="21"/>
    </row>
    <row r="58" spans="2:21">
      <c r="B58" s="232"/>
      <c r="C58" s="232"/>
      <c r="D58" s="255"/>
      <c r="E58" s="255"/>
      <c r="F58" s="262"/>
      <c r="G58" s="262"/>
      <c r="H58" s="262"/>
      <c r="I58" s="178"/>
      <c r="J58" s="78"/>
      <c r="K58" s="56" t="s">
        <v>654</v>
      </c>
      <c r="L58" s="35" t="s">
        <v>333</v>
      </c>
      <c r="M58" s="53" t="s">
        <v>349</v>
      </c>
      <c r="N58" s="53">
        <v>44480</v>
      </c>
      <c r="O58" s="58" t="s">
        <v>1120</v>
      </c>
      <c r="P58" s="35" t="s">
        <v>2354</v>
      </c>
      <c r="Q58" s="38"/>
      <c r="R58" s="39"/>
      <c r="S58" s="21"/>
      <c r="T58" s="21" t="s">
        <v>2446</v>
      </c>
      <c r="U58" s="21"/>
    </row>
    <row r="59" spans="2:21">
      <c r="B59" s="232"/>
      <c r="C59" s="232"/>
      <c r="D59" s="255"/>
      <c r="E59" s="255"/>
      <c r="F59" s="262"/>
      <c r="G59" s="262"/>
      <c r="H59" s="262"/>
      <c r="I59" s="178"/>
      <c r="J59" s="78"/>
      <c r="K59" s="56" t="s">
        <v>654</v>
      </c>
      <c r="L59" s="35" t="s">
        <v>332</v>
      </c>
      <c r="M59" s="53" t="s">
        <v>349</v>
      </c>
      <c r="N59" s="53">
        <v>44515</v>
      </c>
      <c r="O59" s="58" t="s">
        <v>1120</v>
      </c>
      <c r="P59" s="35" t="s">
        <v>2445</v>
      </c>
      <c r="Q59" s="38"/>
      <c r="R59" s="39"/>
      <c r="S59" s="21"/>
      <c r="T59" s="21"/>
      <c r="U59" s="21"/>
    </row>
    <row r="60" spans="2:21">
      <c r="B60" s="232"/>
      <c r="C60" s="232"/>
      <c r="D60" s="255"/>
      <c r="E60" s="255"/>
      <c r="F60" s="262"/>
      <c r="G60" s="262"/>
      <c r="H60" s="262"/>
      <c r="I60" s="178"/>
      <c r="J60" s="78"/>
      <c r="K60" s="56" t="s">
        <v>654</v>
      </c>
      <c r="L60" s="35" t="s">
        <v>332</v>
      </c>
      <c r="M60" s="53" t="s">
        <v>349</v>
      </c>
      <c r="N60" s="53">
        <v>44523</v>
      </c>
      <c r="O60" s="58" t="s">
        <v>1120</v>
      </c>
      <c r="P60" s="35" t="s">
        <v>2468</v>
      </c>
      <c r="Q60" s="38"/>
      <c r="R60" s="39"/>
      <c r="S60" s="21"/>
      <c r="T60" s="21" t="s">
        <v>2469</v>
      </c>
      <c r="U60" s="21"/>
    </row>
    <row r="61" spans="2:21">
      <c r="B61" s="232"/>
      <c r="C61" s="232"/>
      <c r="D61" s="255"/>
      <c r="E61" s="255"/>
      <c r="F61" s="262"/>
      <c r="G61" s="262"/>
      <c r="H61" s="262"/>
      <c r="I61" s="178"/>
      <c r="J61" s="78"/>
      <c r="K61" s="56" t="s">
        <v>729</v>
      </c>
      <c r="L61" s="35" t="s">
        <v>332</v>
      </c>
      <c r="M61" s="53" t="s">
        <v>349</v>
      </c>
      <c r="N61" s="53">
        <v>44536</v>
      </c>
      <c r="O61" s="58" t="s">
        <v>1120</v>
      </c>
      <c r="P61" s="35" t="s">
        <v>2532</v>
      </c>
      <c r="Q61" s="38"/>
      <c r="R61" s="39"/>
      <c r="S61" s="21"/>
      <c r="T61" s="21"/>
      <c r="U61" s="21"/>
    </row>
    <row r="62" spans="2:21">
      <c r="B62" s="232"/>
      <c r="C62" s="232"/>
      <c r="D62" s="255"/>
      <c r="E62" s="255"/>
      <c r="F62" s="262"/>
      <c r="G62" s="262"/>
      <c r="H62" s="262"/>
      <c r="I62" s="178"/>
      <c r="J62" s="78"/>
      <c r="K62" s="56" t="s">
        <v>730</v>
      </c>
      <c r="L62" s="35" t="s">
        <v>332</v>
      </c>
      <c r="M62" s="53" t="s">
        <v>349</v>
      </c>
      <c r="N62" s="53">
        <v>44732</v>
      </c>
      <c r="O62" s="58" t="s">
        <v>1120</v>
      </c>
      <c r="P62" s="35" t="s">
        <v>3042</v>
      </c>
      <c r="Q62" s="38"/>
      <c r="R62" s="39"/>
      <c r="S62" s="21"/>
      <c r="T62" s="21"/>
      <c r="U62" s="21"/>
    </row>
    <row r="63" spans="2:21">
      <c r="B63" s="232"/>
      <c r="C63" s="232"/>
      <c r="D63" s="255"/>
      <c r="E63" s="255"/>
      <c r="F63" s="262"/>
      <c r="G63" s="262"/>
      <c r="H63" s="262"/>
      <c r="I63" s="178"/>
      <c r="J63" s="78"/>
      <c r="K63" s="56" t="s">
        <v>1161</v>
      </c>
      <c r="L63" s="35" t="s">
        <v>332</v>
      </c>
      <c r="M63" s="53" t="s">
        <v>349</v>
      </c>
      <c r="N63" s="53">
        <v>44806</v>
      </c>
      <c r="O63" s="58" t="s">
        <v>1120</v>
      </c>
      <c r="P63" s="35" t="s">
        <v>3248</v>
      </c>
      <c r="Q63" s="38"/>
      <c r="R63" s="39"/>
      <c r="S63" s="21"/>
      <c r="T63" s="21"/>
      <c r="U63" s="21"/>
    </row>
    <row r="64" spans="2:21">
      <c r="B64" s="232"/>
      <c r="C64" s="232"/>
      <c r="D64" s="255"/>
      <c r="E64" s="255"/>
      <c r="F64" s="262"/>
      <c r="G64" s="262"/>
      <c r="H64" s="262"/>
      <c r="I64" s="178"/>
      <c r="J64" s="78"/>
      <c r="K64" s="56" t="s">
        <v>917</v>
      </c>
      <c r="L64" s="35" t="s">
        <v>332</v>
      </c>
      <c r="M64" s="53" t="s">
        <v>349</v>
      </c>
      <c r="N64" s="53">
        <v>45216</v>
      </c>
      <c r="O64" s="58" t="s">
        <v>1120</v>
      </c>
      <c r="P64" s="35" t="s">
        <v>4020</v>
      </c>
      <c r="Q64" s="38"/>
      <c r="R64" s="39"/>
      <c r="S64" s="21"/>
      <c r="T64" s="21"/>
      <c r="U64" s="21"/>
    </row>
    <row r="65" spans="2:21">
      <c r="B65" s="232"/>
      <c r="C65" s="232"/>
      <c r="D65" s="255"/>
      <c r="E65" s="255"/>
      <c r="F65" s="262"/>
      <c r="G65" s="262"/>
      <c r="H65" s="262"/>
      <c r="I65" s="178"/>
      <c r="J65" s="78"/>
      <c r="K65" s="56" t="s">
        <v>1221</v>
      </c>
      <c r="L65" s="35" t="s">
        <v>332</v>
      </c>
      <c r="M65" s="53" t="s">
        <v>349</v>
      </c>
      <c r="N65" s="53">
        <v>45222</v>
      </c>
      <c r="O65" s="58" t="s">
        <v>1120</v>
      </c>
      <c r="P65" s="35" t="s">
        <v>4073</v>
      </c>
      <c r="Q65" s="38"/>
      <c r="R65" s="39"/>
      <c r="S65" s="21"/>
      <c r="T65" s="21"/>
      <c r="U65" s="21"/>
    </row>
    <row r="66" spans="2:21">
      <c r="B66" s="232"/>
      <c r="C66" s="232"/>
      <c r="D66" s="255"/>
      <c r="E66" s="255"/>
      <c r="F66" s="262"/>
      <c r="G66" s="262"/>
      <c r="H66" s="262"/>
      <c r="I66" s="178"/>
      <c r="J66" s="78"/>
      <c r="K66" s="56" t="s">
        <v>2082</v>
      </c>
      <c r="L66" s="35" t="s">
        <v>332</v>
      </c>
      <c r="M66" s="53" t="s">
        <v>349</v>
      </c>
      <c r="N66" s="53">
        <v>45314</v>
      </c>
      <c r="O66" s="58" t="s">
        <v>1120</v>
      </c>
      <c r="P66" s="35" t="s">
        <v>4217</v>
      </c>
      <c r="Q66" s="38"/>
      <c r="R66" s="39"/>
      <c r="S66" s="21"/>
      <c r="T66" s="21"/>
      <c r="U66" s="21"/>
    </row>
    <row r="67" spans="2:21">
      <c r="B67" s="232"/>
      <c r="C67" s="232"/>
      <c r="D67" s="255"/>
      <c r="E67" s="255"/>
      <c r="F67" s="262"/>
      <c r="G67" s="262"/>
      <c r="H67" s="262"/>
      <c r="I67" s="178"/>
      <c r="J67" s="78"/>
      <c r="K67" s="56"/>
      <c r="L67" s="35"/>
      <c r="M67" s="53"/>
      <c r="N67" s="163"/>
      <c r="O67" s="58"/>
      <c r="P67" s="35"/>
      <c r="Q67" s="38"/>
      <c r="R67" s="39"/>
      <c r="S67" s="21"/>
      <c r="T67" s="21"/>
      <c r="U67" s="21"/>
    </row>
    <row r="68" spans="2:21">
      <c r="B68" s="232"/>
      <c r="C68" s="232"/>
      <c r="D68" s="255"/>
      <c r="E68" s="255"/>
      <c r="F68" s="262"/>
      <c r="G68" s="262"/>
      <c r="H68" s="262"/>
      <c r="I68" s="178" t="s">
        <v>808</v>
      </c>
      <c r="J68" s="78" t="s">
        <v>1109</v>
      </c>
      <c r="K68" s="56" t="s">
        <v>512</v>
      </c>
      <c r="L68" s="35" t="s">
        <v>332</v>
      </c>
      <c r="M68" s="53" t="s">
        <v>349</v>
      </c>
      <c r="N68" s="163">
        <v>44253</v>
      </c>
      <c r="O68" s="58" t="s">
        <v>1121</v>
      </c>
      <c r="P68" s="35" t="s">
        <v>1132</v>
      </c>
      <c r="Q68" s="38"/>
      <c r="R68" s="39"/>
      <c r="S68" s="21"/>
      <c r="T68" s="21"/>
      <c r="U68" s="21"/>
    </row>
    <row r="69" spans="2:21">
      <c r="B69" s="232"/>
      <c r="C69" s="232"/>
      <c r="D69" s="255"/>
      <c r="E69" s="255"/>
      <c r="F69" s="262"/>
      <c r="G69" s="262"/>
      <c r="H69" s="262"/>
      <c r="I69" s="178"/>
      <c r="J69" s="78"/>
      <c r="K69" s="56" t="s">
        <v>654</v>
      </c>
      <c r="L69" s="35" t="s">
        <v>332</v>
      </c>
      <c r="M69" s="53" t="s">
        <v>349</v>
      </c>
      <c r="N69" s="163">
        <v>44550</v>
      </c>
      <c r="O69" s="58" t="s">
        <v>1121</v>
      </c>
      <c r="P69" s="35" t="s">
        <v>2591</v>
      </c>
      <c r="Q69" s="38"/>
      <c r="R69" s="39"/>
      <c r="S69" s="21"/>
      <c r="T69" s="21"/>
      <c r="U69" s="21"/>
    </row>
    <row r="70" spans="2:21">
      <c r="B70" s="232"/>
      <c r="C70" s="232"/>
      <c r="D70" s="255"/>
      <c r="E70" s="255"/>
      <c r="F70" s="262"/>
      <c r="G70" s="262"/>
      <c r="H70" s="262"/>
      <c r="I70" s="178"/>
      <c r="J70" s="78"/>
      <c r="K70" s="56" t="s">
        <v>729</v>
      </c>
      <c r="L70" s="35" t="s">
        <v>332</v>
      </c>
      <c r="M70" s="53" t="s">
        <v>349</v>
      </c>
      <c r="N70" s="53">
        <v>44732</v>
      </c>
      <c r="O70" s="58" t="s">
        <v>1121</v>
      </c>
      <c r="P70" s="35" t="s">
        <v>3042</v>
      </c>
      <c r="Q70" s="38"/>
      <c r="R70" s="39"/>
      <c r="S70" s="21"/>
      <c r="T70" s="21"/>
      <c r="U70" s="21"/>
    </row>
    <row r="71" spans="2:21">
      <c r="B71" s="232"/>
      <c r="C71" s="232"/>
      <c r="D71" s="255"/>
      <c r="E71" s="255"/>
      <c r="F71" s="262"/>
      <c r="G71" s="262"/>
      <c r="H71" s="262"/>
      <c r="I71" s="178"/>
      <c r="J71" s="78"/>
      <c r="K71" s="56" t="s">
        <v>730</v>
      </c>
      <c r="L71" s="35" t="s">
        <v>332</v>
      </c>
      <c r="M71" s="53" t="s">
        <v>349</v>
      </c>
      <c r="N71" s="53">
        <v>44806</v>
      </c>
      <c r="O71" s="58" t="s">
        <v>1121</v>
      </c>
      <c r="P71" s="35" t="s">
        <v>3248</v>
      </c>
      <c r="Q71" s="38"/>
      <c r="R71" s="39"/>
      <c r="S71" s="21"/>
      <c r="T71" s="21"/>
      <c r="U71" s="21"/>
    </row>
    <row r="72" spans="2:21">
      <c r="B72" s="232"/>
      <c r="C72" s="232"/>
      <c r="D72" s="255"/>
      <c r="E72" s="255"/>
      <c r="F72" s="262"/>
      <c r="G72" s="262"/>
      <c r="H72" s="262"/>
      <c r="I72" s="178"/>
      <c r="J72" s="78"/>
      <c r="K72" s="56" t="s">
        <v>1161</v>
      </c>
      <c r="L72" s="35" t="s">
        <v>332</v>
      </c>
      <c r="M72" s="53" t="s">
        <v>349</v>
      </c>
      <c r="N72" s="53">
        <v>45216</v>
      </c>
      <c r="O72" s="58" t="s">
        <v>1121</v>
      </c>
      <c r="P72" s="35" t="s">
        <v>4020</v>
      </c>
      <c r="Q72" s="38"/>
      <c r="R72" s="39"/>
      <c r="S72" s="21"/>
      <c r="T72" s="21"/>
      <c r="U72" s="21"/>
    </row>
    <row r="73" spans="2:21">
      <c r="B73" s="232"/>
      <c r="C73" s="232"/>
      <c r="D73" s="255"/>
      <c r="E73" s="255"/>
      <c r="F73" s="262"/>
      <c r="G73" s="262"/>
      <c r="H73" s="262"/>
      <c r="I73" s="178"/>
      <c r="J73" s="78"/>
      <c r="K73" s="56"/>
      <c r="L73" s="35"/>
      <c r="M73" s="53"/>
      <c r="N73" s="163"/>
      <c r="O73" s="58"/>
      <c r="P73" s="35"/>
      <c r="Q73" s="38"/>
      <c r="R73" s="39"/>
      <c r="S73" s="21"/>
      <c r="T73" s="21"/>
      <c r="U73" s="21"/>
    </row>
    <row r="74" spans="2:21">
      <c r="B74" s="232"/>
      <c r="C74" s="232"/>
      <c r="D74" s="255"/>
      <c r="E74" s="255"/>
      <c r="F74" s="262"/>
      <c r="G74" s="262"/>
      <c r="H74" s="262"/>
      <c r="I74" s="178" t="s">
        <v>809</v>
      </c>
      <c r="J74" s="78" t="s">
        <v>1110</v>
      </c>
      <c r="K74" s="56" t="s">
        <v>512</v>
      </c>
      <c r="L74" s="35" t="s">
        <v>332</v>
      </c>
      <c r="M74" s="53" t="s">
        <v>349</v>
      </c>
      <c r="N74" s="163">
        <v>44253</v>
      </c>
      <c r="O74" s="58" t="s">
        <v>1122</v>
      </c>
      <c r="P74" s="35" t="s">
        <v>1132</v>
      </c>
      <c r="Q74" s="38"/>
      <c r="R74" s="39"/>
      <c r="S74" s="21"/>
      <c r="T74" s="21"/>
      <c r="U74" s="21"/>
    </row>
    <row r="75" spans="2:21">
      <c r="B75" s="232"/>
      <c r="C75" s="232"/>
      <c r="D75" s="255"/>
      <c r="E75" s="255"/>
      <c r="F75" s="262"/>
      <c r="G75" s="262"/>
      <c r="H75" s="262"/>
      <c r="I75" s="178"/>
      <c r="J75" s="78"/>
      <c r="K75" s="56" t="s">
        <v>654</v>
      </c>
      <c r="L75" s="35" t="s">
        <v>332</v>
      </c>
      <c r="M75" s="53" t="s">
        <v>349</v>
      </c>
      <c r="N75" s="163">
        <v>44550</v>
      </c>
      <c r="O75" s="58" t="s">
        <v>1122</v>
      </c>
      <c r="P75" s="35" t="s">
        <v>2591</v>
      </c>
      <c r="Q75" s="38"/>
      <c r="R75" s="39"/>
      <c r="S75" s="21"/>
      <c r="T75" s="21"/>
      <c r="U75" s="21"/>
    </row>
    <row r="76" spans="2:21">
      <c r="B76" s="232"/>
      <c r="C76" s="232"/>
      <c r="D76" s="255"/>
      <c r="E76" s="255"/>
      <c r="F76" s="262"/>
      <c r="G76" s="262"/>
      <c r="H76" s="262"/>
      <c r="I76" s="178"/>
      <c r="J76" s="78"/>
      <c r="K76" s="56" t="s">
        <v>729</v>
      </c>
      <c r="L76" s="35" t="s">
        <v>332</v>
      </c>
      <c r="M76" s="53" t="s">
        <v>349</v>
      </c>
      <c r="N76" s="53">
        <v>44732</v>
      </c>
      <c r="O76" s="58" t="s">
        <v>1122</v>
      </c>
      <c r="P76" s="35" t="s">
        <v>3042</v>
      </c>
      <c r="Q76" s="38"/>
      <c r="R76" s="39"/>
      <c r="S76" s="21"/>
      <c r="T76" s="21"/>
      <c r="U76" s="21"/>
    </row>
    <row r="77" spans="2:21">
      <c r="B77" s="232"/>
      <c r="C77" s="232"/>
      <c r="D77" s="255"/>
      <c r="E77" s="255"/>
      <c r="F77" s="262"/>
      <c r="G77" s="262"/>
      <c r="H77" s="262"/>
      <c r="I77" s="178"/>
      <c r="J77" s="78"/>
      <c r="K77" s="56" t="s">
        <v>730</v>
      </c>
      <c r="L77" s="35" t="s">
        <v>332</v>
      </c>
      <c r="M77" s="53" t="s">
        <v>349</v>
      </c>
      <c r="N77" s="53">
        <v>44806</v>
      </c>
      <c r="O77" s="58" t="s">
        <v>1122</v>
      </c>
      <c r="P77" s="35" t="s">
        <v>3248</v>
      </c>
      <c r="Q77" s="38"/>
      <c r="R77" s="39"/>
      <c r="S77" s="21"/>
      <c r="T77" s="21"/>
      <c r="U77" s="21"/>
    </row>
    <row r="78" spans="2:21">
      <c r="B78" s="232"/>
      <c r="C78" s="232"/>
      <c r="D78" s="255"/>
      <c r="E78" s="255"/>
      <c r="F78" s="262"/>
      <c r="G78" s="262"/>
      <c r="H78" s="262"/>
      <c r="I78" s="178"/>
      <c r="J78" s="78"/>
      <c r="K78" s="56" t="s">
        <v>1161</v>
      </c>
      <c r="L78" s="35" t="s">
        <v>332</v>
      </c>
      <c r="M78" s="53" t="s">
        <v>349</v>
      </c>
      <c r="N78" s="53">
        <v>45216</v>
      </c>
      <c r="O78" s="58" t="s">
        <v>1122</v>
      </c>
      <c r="P78" s="35" t="s">
        <v>4020</v>
      </c>
      <c r="Q78" s="38"/>
      <c r="R78" s="39"/>
      <c r="S78" s="21"/>
      <c r="T78" s="21"/>
      <c r="U78" s="21"/>
    </row>
    <row r="79" spans="2:21">
      <c r="B79" s="232"/>
      <c r="C79" s="232"/>
      <c r="D79" s="255"/>
      <c r="E79" s="255"/>
      <c r="F79" s="262"/>
      <c r="G79" s="262"/>
      <c r="H79" s="262"/>
      <c r="I79" s="178"/>
      <c r="J79" s="78"/>
      <c r="K79" s="56"/>
      <c r="L79" s="35"/>
      <c r="M79" s="53"/>
      <c r="N79" s="163"/>
      <c r="O79" s="58"/>
      <c r="P79" s="35"/>
      <c r="Q79" s="38"/>
      <c r="R79" s="39"/>
      <c r="S79" s="21"/>
      <c r="T79" s="21"/>
      <c r="U79" s="21"/>
    </row>
    <row r="80" spans="2:21">
      <c r="B80" s="232"/>
      <c r="C80" s="232"/>
      <c r="D80" s="255"/>
      <c r="E80" s="255"/>
      <c r="F80" s="262"/>
      <c r="G80" s="262"/>
      <c r="H80" s="262"/>
      <c r="I80" s="178" t="s">
        <v>810</v>
      </c>
      <c r="J80" s="78" t="s">
        <v>1111</v>
      </c>
      <c r="K80" s="56" t="s">
        <v>512</v>
      </c>
      <c r="L80" s="35" t="s">
        <v>332</v>
      </c>
      <c r="M80" s="53" t="s">
        <v>349</v>
      </c>
      <c r="N80" s="163">
        <v>44253</v>
      </c>
      <c r="O80" s="58" t="s">
        <v>1123</v>
      </c>
      <c r="P80" s="35" t="s">
        <v>1132</v>
      </c>
      <c r="Q80" s="38"/>
      <c r="R80" s="39"/>
      <c r="S80" s="21"/>
      <c r="T80" s="21"/>
      <c r="U80" s="21"/>
    </row>
    <row r="81" spans="2:21">
      <c r="B81" s="232"/>
      <c r="C81" s="232"/>
      <c r="D81" s="255"/>
      <c r="E81" s="255"/>
      <c r="F81" s="262"/>
      <c r="G81" s="262"/>
      <c r="H81" s="262"/>
      <c r="I81" s="178"/>
      <c r="J81" s="78"/>
      <c r="K81" s="56" t="s">
        <v>654</v>
      </c>
      <c r="L81" s="35" t="s">
        <v>332</v>
      </c>
      <c r="M81" s="53" t="s">
        <v>349</v>
      </c>
      <c r="N81" s="163">
        <v>44550</v>
      </c>
      <c r="O81" s="58" t="s">
        <v>1123</v>
      </c>
      <c r="P81" s="35" t="s">
        <v>2591</v>
      </c>
      <c r="Q81" s="38"/>
      <c r="R81" s="39"/>
      <c r="S81" s="21"/>
      <c r="T81" s="21"/>
      <c r="U81" s="21"/>
    </row>
    <row r="82" spans="2:21">
      <c r="B82" s="232"/>
      <c r="C82" s="232"/>
      <c r="D82" s="255"/>
      <c r="E82" s="255"/>
      <c r="F82" s="262"/>
      <c r="G82" s="262"/>
      <c r="H82" s="262"/>
      <c r="I82" s="178"/>
      <c r="J82" s="78"/>
      <c r="K82" s="56" t="s">
        <v>729</v>
      </c>
      <c r="L82" s="35" t="s">
        <v>332</v>
      </c>
      <c r="M82" s="53" t="s">
        <v>349</v>
      </c>
      <c r="N82" s="53">
        <v>44732</v>
      </c>
      <c r="O82" s="58" t="s">
        <v>1123</v>
      </c>
      <c r="P82" s="35" t="s">
        <v>3042</v>
      </c>
      <c r="Q82" s="38"/>
      <c r="R82" s="39"/>
      <c r="S82" s="21"/>
      <c r="T82" s="21"/>
      <c r="U82" s="21"/>
    </row>
    <row r="83" spans="2:21">
      <c r="B83" s="232"/>
      <c r="C83" s="232"/>
      <c r="D83" s="255"/>
      <c r="E83" s="255"/>
      <c r="F83" s="262"/>
      <c r="G83" s="262"/>
      <c r="H83" s="262"/>
      <c r="I83" s="178"/>
      <c r="J83" s="78"/>
      <c r="K83" s="56" t="s">
        <v>730</v>
      </c>
      <c r="L83" s="35" t="s">
        <v>332</v>
      </c>
      <c r="M83" s="53" t="s">
        <v>349</v>
      </c>
      <c r="N83" s="53">
        <v>44806</v>
      </c>
      <c r="O83" s="58" t="s">
        <v>1123</v>
      </c>
      <c r="P83" s="35" t="s">
        <v>3248</v>
      </c>
      <c r="Q83" s="38"/>
      <c r="R83" s="39"/>
      <c r="S83" s="21"/>
      <c r="T83" s="21"/>
      <c r="U83" s="21"/>
    </row>
    <row r="84" spans="2:21">
      <c r="B84" s="232"/>
      <c r="C84" s="232"/>
      <c r="D84" s="255"/>
      <c r="E84" s="255"/>
      <c r="F84" s="262"/>
      <c r="G84" s="262"/>
      <c r="H84" s="262"/>
      <c r="I84" s="178"/>
      <c r="J84" s="78"/>
      <c r="K84" s="56" t="s">
        <v>1161</v>
      </c>
      <c r="L84" s="35" t="s">
        <v>332</v>
      </c>
      <c r="M84" s="53" t="s">
        <v>349</v>
      </c>
      <c r="N84" s="53">
        <v>45216</v>
      </c>
      <c r="O84" s="58" t="s">
        <v>1123</v>
      </c>
      <c r="P84" s="35" t="s">
        <v>4020</v>
      </c>
      <c r="Q84" s="38"/>
      <c r="R84" s="39"/>
      <c r="S84" s="21"/>
      <c r="T84" s="21"/>
      <c r="U84" s="21"/>
    </row>
    <row r="85" spans="2:21">
      <c r="B85" s="232"/>
      <c r="C85" s="232"/>
      <c r="D85" s="255"/>
      <c r="E85" s="255"/>
      <c r="F85" s="262"/>
      <c r="G85" s="262"/>
      <c r="H85" s="262"/>
      <c r="I85" s="178"/>
      <c r="J85" s="78"/>
      <c r="K85" s="56"/>
      <c r="L85" s="35"/>
      <c r="M85" s="53"/>
      <c r="N85" s="163"/>
      <c r="O85" s="58"/>
      <c r="P85" s="35"/>
      <c r="Q85" s="38"/>
      <c r="R85" s="39"/>
      <c r="S85" s="21"/>
      <c r="T85" s="21"/>
      <c r="U85" s="21"/>
    </row>
    <row r="86" spans="2:21">
      <c r="B86" s="232"/>
      <c r="C86" s="232"/>
      <c r="D86" s="255"/>
      <c r="E86" s="255"/>
      <c r="F86" s="262"/>
      <c r="G86" s="262"/>
      <c r="H86" s="262"/>
      <c r="I86" s="178" t="s">
        <v>811</v>
      </c>
      <c r="J86" s="78" t="s">
        <v>1112</v>
      </c>
      <c r="K86" s="56" t="s">
        <v>512</v>
      </c>
      <c r="L86" s="35" t="s">
        <v>332</v>
      </c>
      <c r="M86" s="53" t="s">
        <v>349</v>
      </c>
      <c r="N86" s="163">
        <v>44253</v>
      </c>
      <c r="O86" s="58" t="s">
        <v>1124</v>
      </c>
      <c r="P86" s="35" t="s">
        <v>1132</v>
      </c>
      <c r="Q86" s="38"/>
      <c r="R86" s="39"/>
      <c r="S86" s="21"/>
      <c r="T86" s="21"/>
      <c r="U86" s="21"/>
    </row>
    <row r="87" spans="2:21">
      <c r="B87" s="232"/>
      <c r="C87" s="232"/>
      <c r="D87" s="255"/>
      <c r="E87" s="255"/>
      <c r="F87" s="262"/>
      <c r="G87" s="262"/>
      <c r="H87" s="262"/>
      <c r="I87" s="178"/>
      <c r="J87" s="78"/>
      <c r="K87" s="56" t="s">
        <v>654</v>
      </c>
      <c r="L87" s="35" t="s">
        <v>332</v>
      </c>
      <c r="M87" s="53" t="s">
        <v>349</v>
      </c>
      <c r="N87" s="163">
        <v>44550</v>
      </c>
      <c r="O87" s="58" t="s">
        <v>1124</v>
      </c>
      <c r="P87" s="35" t="s">
        <v>2591</v>
      </c>
      <c r="Q87" s="38"/>
      <c r="R87" s="39"/>
      <c r="S87" s="21"/>
      <c r="T87" s="21"/>
      <c r="U87" s="21"/>
    </row>
    <row r="88" spans="2:21">
      <c r="B88" s="232"/>
      <c r="C88" s="232"/>
      <c r="D88" s="255"/>
      <c r="E88" s="255"/>
      <c r="F88" s="262"/>
      <c r="G88" s="262"/>
      <c r="H88" s="262"/>
      <c r="I88" s="178"/>
      <c r="J88" s="78"/>
      <c r="K88" s="56" t="s">
        <v>729</v>
      </c>
      <c r="L88" s="35" t="s">
        <v>332</v>
      </c>
      <c r="M88" s="53" t="s">
        <v>349</v>
      </c>
      <c r="N88" s="53">
        <v>44732</v>
      </c>
      <c r="O88" s="58" t="s">
        <v>1124</v>
      </c>
      <c r="P88" s="35" t="s">
        <v>3042</v>
      </c>
      <c r="Q88" s="38"/>
      <c r="R88" s="39"/>
      <c r="S88" s="21"/>
      <c r="T88" s="21"/>
      <c r="U88" s="21"/>
    </row>
    <row r="89" spans="2:21">
      <c r="B89" s="232"/>
      <c r="C89" s="232"/>
      <c r="D89" s="255"/>
      <c r="E89" s="255"/>
      <c r="F89" s="262"/>
      <c r="G89" s="262"/>
      <c r="H89" s="262"/>
      <c r="I89" s="178"/>
      <c r="J89" s="78"/>
      <c r="K89" s="56" t="s">
        <v>730</v>
      </c>
      <c r="L89" s="35" t="s">
        <v>332</v>
      </c>
      <c r="M89" s="53" t="s">
        <v>349</v>
      </c>
      <c r="N89" s="53">
        <v>44806</v>
      </c>
      <c r="O89" s="58" t="s">
        <v>1124</v>
      </c>
      <c r="P89" s="35" t="s">
        <v>3248</v>
      </c>
      <c r="Q89" s="38"/>
      <c r="R89" s="39"/>
      <c r="S89" s="21"/>
      <c r="T89" s="21"/>
      <c r="U89" s="21"/>
    </row>
    <row r="90" spans="2:21">
      <c r="B90" s="232"/>
      <c r="C90" s="232"/>
      <c r="D90" s="255"/>
      <c r="E90" s="255"/>
      <c r="F90" s="262"/>
      <c r="G90" s="262"/>
      <c r="H90" s="262"/>
      <c r="I90" s="178"/>
      <c r="J90" s="78"/>
      <c r="K90" s="56"/>
      <c r="L90" s="35"/>
      <c r="M90" s="53"/>
      <c r="N90" s="163"/>
      <c r="O90" s="58"/>
      <c r="P90" s="35"/>
      <c r="Q90" s="38"/>
      <c r="R90" s="39"/>
      <c r="S90" s="21"/>
      <c r="T90" s="21"/>
      <c r="U90" s="21"/>
    </row>
    <row r="91" spans="2:21">
      <c r="B91" s="232"/>
      <c r="C91" s="232"/>
      <c r="D91" s="255"/>
      <c r="E91" s="255"/>
      <c r="F91" s="262"/>
      <c r="G91" s="262"/>
      <c r="H91" s="262"/>
      <c r="I91" s="178" t="s">
        <v>1101</v>
      </c>
      <c r="J91" s="78" t="s">
        <v>1113</v>
      </c>
      <c r="K91" s="56" t="s">
        <v>512</v>
      </c>
      <c r="L91" s="35" t="s">
        <v>332</v>
      </c>
      <c r="M91" s="53" t="s">
        <v>349</v>
      </c>
      <c r="N91" s="163">
        <v>44253</v>
      </c>
      <c r="O91" s="58" t="s">
        <v>1125</v>
      </c>
      <c r="P91" s="35" t="s">
        <v>1132</v>
      </c>
      <c r="Q91" s="38"/>
      <c r="R91" s="39"/>
      <c r="S91" s="21"/>
      <c r="T91" s="21"/>
      <c r="U91" s="21"/>
    </row>
    <row r="92" spans="2:21">
      <c r="B92" s="232"/>
      <c r="C92" s="232"/>
      <c r="D92" s="255"/>
      <c r="E92" s="255"/>
      <c r="F92" s="262"/>
      <c r="G92" s="262"/>
      <c r="H92" s="262"/>
      <c r="I92" s="178"/>
      <c r="J92" s="78"/>
      <c r="K92" s="56" t="s">
        <v>654</v>
      </c>
      <c r="L92" s="35" t="s">
        <v>332</v>
      </c>
      <c r="M92" s="53" t="s">
        <v>349</v>
      </c>
      <c r="N92" s="163">
        <v>44550</v>
      </c>
      <c r="O92" s="58" t="s">
        <v>1125</v>
      </c>
      <c r="P92" s="35" t="s">
        <v>2591</v>
      </c>
      <c r="Q92" s="38"/>
      <c r="R92" s="39"/>
      <c r="S92" s="21"/>
      <c r="T92" s="21"/>
      <c r="U92" s="21"/>
    </row>
    <row r="93" spans="2:21">
      <c r="B93" s="232"/>
      <c r="C93" s="232"/>
      <c r="D93" s="255"/>
      <c r="E93" s="255"/>
      <c r="F93" s="262"/>
      <c r="G93" s="262"/>
      <c r="H93" s="262"/>
      <c r="I93" s="178"/>
      <c r="J93" s="78"/>
      <c r="K93" s="56"/>
      <c r="L93" s="35"/>
      <c r="M93" s="53"/>
      <c r="N93" s="163"/>
      <c r="O93" s="58"/>
      <c r="P93" s="35"/>
      <c r="Q93" s="38"/>
      <c r="R93" s="39"/>
      <c r="S93" s="21"/>
      <c r="T93" s="21"/>
      <c r="U93" s="21"/>
    </row>
    <row r="94" spans="2:21">
      <c r="B94" s="232"/>
      <c r="C94" s="232"/>
      <c r="D94" s="255"/>
      <c r="E94" s="255"/>
      <c r="F94" s="262"/>
      <c r="G94" s="262"/>
      <c r="H94" s="262"/>
      <c r="I94" s="178" t="s">
        <v>1102</v>
      </c>
      <c r="J94" s="78" t="s">
        <v>1114</v>
      </c>
      <c r="K94" s="56" t="s">
        <v>512</v>
      </c>
      <c r="L94" s="35" t="s">
        <v>332</v>
      </c>
      <c r="M94" s="53" t="s">
        <v>349</v>
      </c>
      <c r="N94" s="163">
        <v>44253</v>
      </c>
      <c r="O94" s="58" t="s">
        <v>1126</v>
      </c>
      <c r="P94" s="35" t="s">
        <v>1132</v>
      </c>
      <c r="Q94" s="38"/>
      <c r="R94" s="39"/>
      <c r="S94" s="21"/>
      <c r="T94" s="21"/>
      <c r="U94" s="21"/>
    </row>
    <row r="95" spans="2:21">
      <c r="B95" s="232"/>
      <c r="C95" s="232"/>
      <c r="D95" s="255"/>
      <c r="E95" s="255"/>
      <c r="F95" s="262"/>
      <c r="G95" s="262"/>
      <c r="H95" s="262"/>
      <c r="I95" s="178"/>
      <c r="J95" s="78"/>
      <c r="K95" s="56" t="s">
        <v>654</v>
      </c>
      <c r="L95" s="35" t="s">
        <v>332</v>
      </c>
      <c r="M95" s="53" t="s">
        <v>349</v>
      </c>
      <c r="N95" s="163">
        <v>44550</v>
      </c>
      <c r="O95" s="58" t="s">
        <v>1126</v>
      </c>
      <c r="P95" s="35" t="s">
        <v>2591</v>
      </c>
      <c r="Q95" s="38"/>
      <c r="R95" s="39"/>
      <c r="S95" s="21"/>
      <c r="T95" s="21"/>
      <c r="U95" s="21"/>
    </row>
    <row r="96" spans="2:21">
      <c r="B96" s="232"/>
      <c r="C96" s="232"/>
      <c r="D96" s="255"/>
      <c r="E96" s="255"/>
      <c r="F96" s="262"/>
      <c r="G96" s="262"/>
      <c r="H96" s="262"/>
      <c r="I96" s="178"/>
      <c r="J96" s="78"/>
      <c r="K96" s="56"/>
      <c r="L96" s="35"/>
      <c r="M96" s="53"/>
      <c r="N96" s="163"/>
      <c r="O96" s="58"/>
      <c r="P96" s="35"/>
      <c r="Q96" s="38"/>
      <c r="R96" s="39"/>
      <c r="S96" s="21"/>
      <c r="T96" s="21"/>
      <c r="U96" s="21"/>
    </row>
    <row r="97" spans="2:21">
      <c r="B97" s="232"/>
      <c r="C97" s="232"/>
      <c r="D97" s="255"/>
      <c r="E97" s="255"/>
      <c r="F97" s="262"/>
      <c r="G97" s="262"/>
      <c r="H97" s="262"/>
      <c r="I97" s="178" t="s">
        <v>1103</v>
      </c>
      <c r="J97" s="78" t="s">
        <v>1115</v>
      </c>
      <c r="K97" s="56" t="s">
        <v>512</v>
      </c>
      <c r="L97" s="35" t="s">
        <v>332</v>
      </c>
      <c r="M97" s="53" t="s">
        <v>349</v>
      </c>
      <c r="N97" s="163">
        <v>44253</v>
      </c>
      <c r="O97" s="58" t="s">
        <v>1127</v>
      </c>
      <c r="P97" s="35" t="s">
        <v>1132</v>
      </c>
      <c r="Q97" s="38"/>
      <c r="R97" s="39"/>
      <c r="S97" s="21"/>
      <c r="T97" s="21"/>
      <c r="U97" s="21"/>
    </row>
    <row r="98" spans="2:21">
      <c r="B98" s="232"/>
      <c r="C98" s="232"/>
      <c r="D98" s="255"/>
      <c r="E98" s="255"/>
      <c r="F98" s="262"/>
      <c r="G98" s="262"/>
      <c r="H98" s="262"/>
      <c r="I98" s="178"/>
      <c r="J98" s="78"/>
      <c r="K98" s="56" t="s">
        <v>654</v>
      </c>
      <c r="L98" s="35" t="s">
        <v>332</v>
      </c>
      <c r="M98" s="53" t="s">
        <v>349</v>
      </c>
      <c r="N98" s="163">
        <v>44550</v>
      </c>
      <c r="O98" s="58" t="s">
        <v>1127</v>
      </c>
      <c r="P98" s="35" t="s">
        <v>2591</v>
      </c>
      <c r="Q98" s="38"/>
      <c r="R98" s="39"/>
      <c r="S98" s="21"/>
      <c r="T98" s="21"/>
      <c r="U98" s="21"/>
    </row>
    <row r="99" spans="2:21">
      <c r="B99" s="232"/>
      <c r="C99" s="232"/>
      <c r="D99" s="255"/>
      <c r="E99" s="255"/>
      <c r="F99" s="262"/>
      <c r="G99" s="262"/>
      <c r="H99" s="262"/>
      <c r="I99" s="178"/>
      <c r="J99" s="78"/>
      <c r="K99" s="56" t="s">
        <v>729</v>
      </c>
      <c r="L99" s="35" t="s">
        <v>332</v>
      </c>
      <c r="M99" s="53" t="s">
        <v>349</v>
      </c>
      <c r="N99" s="53">
        <v>44732</v>
      </c>
      <c r="O99" s="58" t="s">
        <v>1127</v>
      </c>
      <c r="P99" s="35" t="s">
        <v>3042</v>
      </c>
      <c r="Q99" s="38"/>
      <c r="R99" s="39"/>
      <c r="S99" s="21"/>
      <c r="T99" s="21"/>
      <c r="U99" s="21"/>
    </row>
    <row r="100" spans="2:21">
      <c r="B100" s="232"/>
      <c r="C100" s="232"/>
      <c r="D100" s="255"/>
      <c r="E100" s="255"/>
      <c r="F100" s="262"/>
      <c r="G100" s="262"/>
      <c r="H100" s="262"/>
      <c r="I100" s="178"/>
      <c r="J100" s="78"/>
      <c r="K100" s="56" t="s">
        <v>730</v>
      </c>
      <c r="L100" s="35" t="s">
        <v>332</v>
      </c>
      <c r="M100" s="53" t="s">
        <v>349</v>
      </c>
      <c r="N100" s="53">
        <v>44806</v>
      </c>
      <c r="O100" s="58" t="s">
        <v>1127</v>
      </c>
      <c r="P100" s="35" t="s">
        <v>3248</v>
      </c>
      <c r="Q100" s="38"/>
      <c r="R100" s="39"/>
      <c r="S100" s="21"/>
      <c r="T100" s="21"/>
      <c r="U100" s="21"/>
    </row>
    <row r="101" spans="2:21">
      <c r="B101" s="232"/>
      <c r="C101" s="232"/>
      <c r="D101" s="255"/>
      <c r="E101" s="255"/>
      <c r="F101" s="262"/>
      <c r="G101" s="262"/>
      <c r="H101" s="262"/>
      <c r="I101" s="178"/>
      <c r="J101" s="78"/>
      <c r="K101" s="56" t="s">
        <v>1161</v>
      </c>
      <c r="L101" s="35" t="s">
        <v>332</v>
      </c>
      <c r="M101" s="53" t="s">
        <v>349</v>
      </c>
      <c r="N101" s="53">
        <v>45216</v>
      </c>
      <c r="O101" s="58" t="s">
        <v>1127</v>
      </c>
      <c r="P101" s="35" t="s">
        <v>4020</v>
      </c>
      <c r="Q101" s="38"/>
      <c r="R101" s="39"/>
      <c r="S101" s="21"/>
      <c r="T101" s="21"/>
      <c r="U101" s="21"/>
    </row>
    <row r="102" spans="2:21">
      <c r="B102" s="232"/>
      <c r="C102" s="232"/>
      <c r="D102" s="255"/>
      <c r="E102" s="255"/>
      <c r="F102" s="262"/>
      <c r="G102" s="262"/>
      <c r="H102" s="262"/>
      <c r="I102" s="178"/>
      <c r="J102" s="78"/>
      <c r="K102" s="56"/>
      <c r="L102" s="35"/>
      <c r="M102" s="53"/>
      <c r="N102" s="163"/>
      <c r="O102" s="58"/>
      <c r="P102" s="35"/>
      <c r="Q102" s="38"/>
      <c r="R102" s="39"/>
      <c r="S102" s="21"/>
      <c r="T102" s="21"/>
      <c r="U102" s="21"/>
    </row>
    <row r="103" spans="2:21">
      <c r="B103" s="232"/>
      <c r="C103" s="232"/>
      <c r="D103" s="255"/>
      <c r="E103" s="255"/>
      <c r="F103" s="262"/>
      <c r="G103" s="262"/>
      <c r="H103" s="262"/>
      <c r="I103" s="178" t="s">
        <v>1104</v>
      </c>
      <c r="J103" s="78" t="s">
        <v>1116</v>
      </c>
      <c r="K103" s="56" t="s">
        <v>512</v>
      </c>
      <c r="L103" s="35" t="s">
        <v>332</v>
      </c>
      <c r="M103" s="53" t="s">
        <v>349</v>
      </c>
      <c r="N103" s="163">
        <v>44253</v>
      </c>
      <c r="O103" s="58" t="s">
        <v>1128</v>
      </c>
      <c r="P103" s="35" t="s">
        <v>1132</v>
      </c>
      <c r="Q103" s="38"/>
      <c r="R103" s="39"/>
      <c r="S103" s="21"/>
      <c r="T103" s="21"/>
      <c r="U103" s="21"/>
    </row>
    <row r="104" spans="2:21">
      <c r="B104" s="232"/>
      <c r="C104" s="232"/>
      <c r="D104" s="255"/>
      <c r="E104" s="255"/>
      <c r="F104" s="262"/>
      <c r="G104" s="262"/>
      <c r="H104" s="262"/>
      <c r="I104" s="178"/>
      <c r="J104" s="78"/>
      <c r="K104" s="56" t="s">
        <v>654</v>
      </c>
      <c r="L104" s="35" t="s">
        <v>332</v>
      </c>
      <c r="M104" s="53" t="s">
        <v>349</v>
      </c>
      <c r="N104" s="163">
        <v>44550</v>
      </c>
      <c r="O104" s="58" t="s">
        <v>1128</v>
      </c>
      <c r="P104" s="35" t="s">
        <v>2591</v>
      </c>
      <c r="Q104" s="38"/>
      <c r="R104" s="39"/>
      <c r="S104" s="21"/>
      <c r="T104" s="21"/>
      <c r="U104" s="21"/>
    </row>
    <row r="105" spans="2:21">
      <c r="B105" s="232"/>
      <c r="C105" s="232"/>
      <c r="D105" s="255"/>
      <c r="E105" s="255"/>
      <c r="F105" s="262"/>
      <c r="G105" s="262"/>
      <c r="H105" s="262"/>
      <c r="I105" s="178"/>
      <c r="J105" s="78"/>
      <c r="K105" s="56"/>
      <c r="L105" s="35"/>
      <c r="M105" s="53"/>
      <c r="N105" s="163"/>
      <c r="O105" s="58"/>
      <c r="P105" s="35"/>
      <c r="Q105" s="38"/>
      <c r="R105" s="39"/>
      <c r="S105" s="21"/>
      <c r="T105" s="21"/>
      <c r="U105" s="21"/>
    </row>
    <row r="106" spans="2:21">
      <c r="B106" s="232"/>
      <c r="C106" s="232"/>
      <c r="D106" s="255"/>
      <c r="E106" s="255"/>
      <c r="F106" s="262"/>
      <c r="G106" s="262"/>
      <c r="H106" s="262"/>
      <c r="I106" s="178" t="s">
        <v>1105</v>
      </c>
      <c r="J106" s="78" t="s">
        <v>1117</v>
      </c>
      <c r="K106" s="56" t="s">
        <v>512</v>
      </c>
      <c r="L106" s="35" t="s">
        <v>332</v>
      </c>
      <c r="M106" s="53" t="s">
        <v>349</v>
      </c>
      <c r="N106" s="163">
        <v>44253</v>
      </c>
      <c r="O106" s="58" t="s">
        <v>1129</v>
      </c>
      <c r="P106" s="35" t="s">
        <v>1132</v>
      </c>
      <c r="Q106" s="38"/>
      <c r="R106" s="39"/>
      <c r="S106" s="21"/>
      <c r="T106" s="21"/>
      <c r="U106" s="21"/>
    </row>
    <row r="107" spans="2:21">
      <c r="B107" s="232"/>
      <c r="C107" s="232"/>
      <c r="D107" s="255"/>
      <c r="E107" s="255"/>
      <c r="F107" s="262"/>
      <c r="G107" s="262"/>
      <c r="H107" s="262"/>
      <c r="I107" s="178"/>
      <c r="J107" s="78"/>
      <c r="K107" s="56" t="s">
        <v>654</v>
      </c>
      <c r="L107" s="35" t="s">
        <v>332</v>
      </c>
      <c r="M107" s="53" t="s">
        <v>349</v>
      </c>
      <c r="N107" s="163">
        <v>44550</v>
      </c>
      <c r="O107" s="58" t="s">
        <v>1129</v>
      </c>
      <c r="P107" s="35" t="s">
        <v>2591</v>
      </c>
      <c r="Q107" s="38"/>
      <c r="R107" s="39"/>
      <c r="S107" s="21"/>
      <c r="T107" s="21"/>
      <c r="U107" s="21"/>
    </row>
    <row r="108" spans="2:21">
      <c r="B108" s="232"/>
      <c r="C108" s="232"/>
      <c r="D108" s="255"/>
      <c r="E108" s="255"/>
      <c r="F108" s="262"/>
      <c r="G108" s="262"/>
      <c r="H108" s="262"/>
      <c r="I108" s="178"/>
      <c r="J108" s="78"/>
      <c r="K108" s="56" t="s">
        <v>729</v>
      </c>
      <c r="L108" s="35" t="s">
        <v>332</v>
      </c>
      <c r="M108" s="53" t="s">
        <v>349</v>
      </c>
      <c r="N108" s="53">
        <v>44732</v>
      </c>
      <c r="O108" s="58" t="s">
        <v>1129</v>
      </c>
      <c r="P108" s="35" t="s">
        <v>3042</v>
      </c>
      <c r="Q108" s="38"/>
      <c r="R108" s="39"/>
      <c r="S108" s="21"/>
      <c r="T108" s="21"/>
      <c r="U108" s="21"/>
    </row>
    <row r="109" spans="2:21">
      <c r="B109" s="232"/>
      <c r="C109" s="232"/>
      <c r="D109" s="255"/>
      <c r="E109" s="255"/>
      <c r="F109" s="262"/>
      <c r="G109" s="262"/>
      <c r="H109" s="262"/>
      <c r="I109" s="178"/>
      <c r="J109" s="78"/>
      <c r="K109" s="56" t="s">
        <v>730</v>
      </c>
      <c r="L109" s="35" t="s">
        <v>332</v>
      </c>
      <c r="M109" s="53" t="s">
        <v>349</v>
      </c>
      <c r="N109" s="53">
        <v>44806</v>
      </c>
      <c r="O109" s="58" t="s">
        <v>1129</v>
      </c>
      <c r="P109" s="35" t="s">
        <v>3248</v>
      </c>
      <c r="Q109" s="38"/>
      <c r="R109" s="39"/>
      <c r="S109" s="21"/>
      <c r="T109" s="21"/>
      <c r="U109" s="21"/>
    </row>
    <row r="110" spans="2:21">
      <c r="B110" s="232"/>
      <c r="C110" s="232"/>
      <c r="D110" s="255"/>
      <c r="E110" s="255"/>
      <c r="F110" s="262"/>
      <c r="G110" s="262"/>
      <c r="H110" s="262"/>
      <c r="I110" s="178"/>
      <c r="J110" s="78"/>
      <c r="K110" s="56" t="s">
        <v>1161</v>
      </c>
      <c r="L110" s="35" t="s">
        <v>332</v>
      </c>
      <c r="M110" s="53" t="s">
        <v>349</v>
      </c>
      <c r="N110" s="53">
        <v>45216</v>
      </c>
      <c r="O110" s="58" t="s">
        <v>1129</v>
      </c>
      <c r="P110" s="35" t="s">
        <v>4020</v>
      </c>
      <c r="Q110" s="38"/>
      <c r="R110" s="39"/>
      <c r="S110" s="21"/>
      <c r="T110" s="21"/>
      <c r="U110" s="21"/>
    </row>
    <row r="111" spans="2:21">
      <c r="B111" s="232"/>
      <c r="C111" s="232"/>
      <c r="D111" s="255"/>
      <c r="E111" s="255"/>
      <c r="F111" s="262"/>
      <c r="G111" s="262"/>
      <c r="H111" s="262"/>
      <c r="I111" s="178"/>
      <c r="J111" s="78"/>
      <c r="K111" s="56"/>
      <c r="L111" s="35"/>
      <c r="M111" s="53"/>
      <c r="N111" s="163"/>
      <c r="O111" s="58"/>
      <c r="P111" s="35"/>
      <c r="Q111" s="38"/>
      <c r="R111" s="39"/>
      <c r="S111" s="21"/>
      <c r="T111" s="21"/>
      <c r="U111" s="21"/>
    </row>
    <row r="112" spans="2:21">
      <c r="B112" s="232"/>
      <c r="C112" s="232"/>
      <c r="D112" s="255"/>
      <c r="E112" s="255"/>
      <c r="F112" s="262"/>
      <c r="G112" s="262"/>
      <c r="H112" s="262"/>
      <c r="I112" s="178" t="s">
        <v>1106</v>
      </c>
      <c r="J112" s="78" t="s">
        <v>1118</v>
      </c>
      <c r="K112" s="56" t="s">
        <v>512</v>
      </c>
      <c r="L112" s="35" t="s">
        <v>332</v>
      </c>
      <c r="M112" s="53" t="s">
        <v>349</v>
      </c>
      <c r="N112" s="163">
        <v>44253</v>
      </c>
      <c r="O112" s="58" t="s">
        <v>1130</v>
      </c>
      <c r="P112" s="35" t="s">
        <v>1132</v>
      </c>
      <c r="Q112" s="38"/>
      <c r="R112" s="39"/>
      <c r="S112" s="21"/>
      <c r="T112" s="21"/>
      <c r="U112" s="21"/>
    </row>
    <row r="113" spans="2:21">
      <c r="B113" s="232"/>
      <c r="C113" s="232"/>
      <c r="D113" s="255"/>
      <c r="E113" s="255"/>
      <c r="F113" s="262"/>
      <c r="G113" s="262"/>
      <c r="H113" s="262"/>
      <c r="I113" s="178"/>
      <c r="J113" s="78"/>
      <c r="K113" s="56" t="s">
        <v>654</v>
      </c>
      <c r="L113" s="35" t="s">
        <v>332</v>
      </c>
      <c r="M113" s="53" t="s">
        <v>349</v>
      </c>
      <c r="N113" s="163">
        <v>44550</v>
      </c>
      <c r="O113" s="58" t="s">
        <v>1130</v>
      </c>
      <c r="P113" s="35" t="s">
        <v>2591</v>
      </c>
      <c r="Q113" s="38"/>
      <c r="R113" s="39"/>
      <c r="S113" s="21"/>
      <c r="T113" s="21"/>
      <c r="U113" s="21"/>
    </row>
    <row r="114" spans="2:21">
      <c r="B114" s="232"/>
      <c r="C114" s="232"/>
      <c r="D114" s="255"/>
      <c r="E114" s="255"/>
      <c r="F114" s="262"/>
      <c r="G114" s="262"/>
      <c r="H114" s="262"/>
      <c r="I114" s="178"/>
      <c r="J114" s="78"/>
      <c r="K114" s="56" t="s">
        <v>729</v>
      </c>
      <c r="L114" s="35" t="s">
        <v>332</v>
      </c>
      <c r="M114" s="53" t="s">
        <v>349</v>
      </c>
      <c r="N114" s="53">
        <v>44732</v>
      </c>
      <c r="O114" s="58" t="s">
        <v>1130</v>
      </c>
      <c r="P114" s="35" t="s">
        <v>3042</v>
      </c>
      <c r="Q114" s="38"/>
      <c r="R114" s="39"/>
      <c r="S114" s="21"/>
      <c r="T114" s="21"/>
      <c r="U114" s="21"/>
    </row>
    <row r="115" spans="2:21">
      <c r="B115" s="232"/>
      <c r="C115" s="232"/>
      <c r="D115" s="255"/>
      <c r="E115" s="255"/>
      <c r="F115" s="262"/>
      <c r="G115" s="262"/>
      <c r="H115" s="262"/>
      <c r="I115" s="178"/>
      <c r="J115" s="78"/>
      <c r="K115" s="56" t="s">
        <v>730</v>
      </c>
      <c r="L115" s="35" t="s">
        <v>332</v>
      </c>
      <c r="M115" s="53" t="s">
        <v>349</v>
      </c>
      <c r="N115" s="53">
        <v>44806</v>
      </c>
      <c r="O115" s="58" t="s">
        <v>1130</v>
      </c>
      <c r="P115" s="35" t="s">
        <v>3248</v>
      </c>
      <c r="Q115" s="38"/>
      <c r="R115" s="39"/>
      <c r="S115" s="21"/>
      <c r="T115" s="21"/>
      <c r="U115" s="21"/>
    </row>
    <row r="116" spans="2:21">
      <c r="B116" s="232"/>
      <c r="C116" s="232"/>
      <c r="D116" s="255"/>
      <c r="E116" s="255"/>
      <c r="F116" s="262"/>
      <c r="G116" s="262"/>
      <c r="H116" s="262"/>
      <c r="I116" s="178"/>
      <c r="J116" s="78"/>
      <c r="K116" s="56" t="s">
        <v>1161</v>
      </c>
      <c r="L116" s="35" t="s">
        <v>332</v>
      </c>
      <c r="M116" s="53" t="s">
        <v>349</v>
      </c>
      <c r="N116" s="53">
        <v>45216</v>
      </c>
      <c r="O116" s="58" t="s">
        <v>1130</v>
      </c>
      <c r="P116" s="35" t="s">
        <v>4020</v>
      </c>
      <c r="Q116" s="38"/>
      <c r="R116" s="39"/>
      <c r="S116" s="21"/>
      <c r="T116" s="21"/>
      <c r="U116" s="21"/>
    </row>
    <row r="117" spans="2:21">
      <c r="B117" s="232"/>
      <c r="C117" s="232"/>
      <c r="D117" s="255"/>
      <c r="E117" s="255"/>
      <c r="F117" s="262"/>
      <c r="G117" s="262"/>
      <c r="H117" s="262"/>
      <c r="I117" s="178"/>
      <c r="J117" s="78"/>
      <c r="K117" s="56"/>
      <c r="L117" s="35"/>
      <c r="M117" s="53"/>
      <c r="N117" s="163"/>
      <c r="O117" s="58"/>
      <c r="P117" s="35"/>
      <c r="Q117" s="38"/>
      <c r="R117" s="39"/>
      <c r="S117" s="21"/>
      <c r="T117" s="21"/>
      <c r="U117" s="21"/>
    </row>
    <row r="118" spans="2:21">
      <c r="B118" s="232"/>
      <c r="C118" s="232"/>
      <c r="D118" s="255"/>
      <c r="E118" s="255"/>
      <c r="F118" s="262"/>
      <c r="G118" s="262"/>
      <c r="H118" s="262"/>
      <c r="I118" s="178" t="s">
        <v>1107</v>
      </c>
      <c r="J118" s="78" t="s">
        <v>1119</v>
      </c>
      <c r="K118" s="56" t="s">
        <v>512</v>
      </c>
      <c r="L118" s="35" t="s">
        <v>332</v>
      </c>
      <c r="M118" s="53" t="s">
        <v>349</v>
      </c>
      <c r="N118" s="163">
        <v>44253</v>
      </c>
      <c r="O118" s="58" t="s">
        <v>1131</v>
      </c>
      <c r="P118" s="35" t="s">
        <v>1132</v>
      </c>
      <c r="Q118" s="39"/>
      <c r="R118" s="39"/>
      <c r="S118" s="21"/>
      <c r="T118" s="21"/>
      <c r="U118" s="21"/>
    </row>
    <row r="119" spans="2:21">
      <c r="B119" s="232"/>
      <c r="C119" s="232"/>
      <c r="D119" s="255"/>
      <c r="E119" s="255"/>
      <c r="F119" s="262"/>
      <c r="G119" s="262"/>
      <c r="H119" s="262"/>
      <c r="I119" s="178"/>
      <c r="J119" s="78"/>
      <c r="K119" s="56" t="s">
        <v>654</v>
      </c>
      <c r="L119" s="35" t="s">
        <v>332</v>
      </c>
      <c r="M119" s="53" t="s">
        <v>349</v>
      </c>
      <c r="N119" s="163">
        <v>44550</v>
      </c>
      <c r="O119" s="58" t="s">
        <v>1131</v>
      </c>
      <c r="P119" s="35" t="s">
        <v>2591</v>
      </c>
      <c r="Q119" s="39"/>
      <c r="R119" s="39"/>
      <c r="S119" s="21"/>
      <c r="T119" s="21"/>
      <c r="U119" s="21"/>
    </row>
    <row r="120" spans="2:21">
      <c r="B120" s="232"/>
      <c r="C120" s="232"/>
      <c r="D120" s="255"/>
      <c r="E120" s="255"/>
      <c r="F120" s="262"/>
      <c r="G120" s="262"/>
      <c r="H120" s="262"/>
      <c r="I120" s="178"/>
      <c r="J120" s="78"/>
      <c r="K120" s="56" t="s">
        <v>729</v>
      </c>
      <c r="L120" s="35" t="s">
        <v>332</v>
      </c>
      <c r="M120" s="53" t="s">
        <v>349</v>
      </c>
      <c r="N120" s="53">
        <v>45216</v>
      </c>
      <c r="O120" s="58" t="s">
        <v>1131</v>
      </c>
      <c r="P120" s="35" t="s">
        <v>4020</v>
      </c>
      <c r="Q120" s="39"/>
      <c r="R120" s="39"/>
      <c r="S120" s="21"/>
      <c r="T120" s="21"/>
      <c r="U120" s="21"/>
    </row>
    <row r="121" spans="2:21">
      <c r="B121" s="232"/>
      <c r="C121" s="232"/>
      <c r="D121" s="255"/>
      <c r="E121" s="255"/>
      <c r="F121" s="264"/>
      <c r="G121" s="264"/>
      <c r="H121" s="264"/>
      <c r="I121" s="57"/>
      <c r="J121" s="21"/>
      <c r="K121" s="39"/>
      <c r="L121" s="39"/>
      <c r="M121" s="21"/>
      <c r="N121" s="39"/>
      <c r="O121" s="39"/>
      <c r="P121" s="39"/>
      <c r="Q121" s="39"/>
      <c r="R121" s="39"/>
      <c r="S121" s="21"/>
      <c r="T121" s="21"/>
      <c r="U121" s="21"/>
    </row>
    <row r="122" spans="2:21">
      <c r="B122" s="232"/>
      <c r="C122" s="232"/>
      <c r="D122" s="255"/>
      <c r="E122" s="255"/>
      <c r="F122" s="21" t="s">
        <v>35</v>
      </c>
      <c r="G122" s="265" t="s">
        <v>174</v>
      </c>
      <c r="H122" s="265"/>
      <c r="I122" s="265"/>
      <c r="J122" s="265"/>
      <c r="K122" s="265"/>
      <c r="L122" s="265"/>
      <c r="M122" s="265"/>
      <c r="N122" s="265"/>
      <c r="O122" s="265"/>
      <c r="P122" s="38"/>
      <c r="Q122" s="38"/>
      <c r="R122" s="39"/>
      <c r="S122" s="21"/>
      <c r="T122" s="21"/>
      <c r="U122" s="21"/>
    </row>
    <row r="123" spans="2:21">
      <c r="B123" s="232"/>
      <c r="C123" s="232"/>
      <c r="D123" s="255"/>
      <c r="E123" s="255"/>
      <c r="F123" s="255"/>
      <c r="G123" s="255"/>
      <c r="H123" s="21" t="s">
        <v>176</v>
      </c>
      <c r="I123" s="21"/>
      <c r="J123" s="57" t="s">
        <v>464</v>
      </c>
      <c r="K123" s="56" t="s">
        <v>3</v>
      </c>
      <c r="L123" s="58" t="s">
        <v>332</v>
      </c>
      <c r="M123" s="53">
        <v>44078</v>
      </c>
      <c r="N123" s="53">
        <v>44078</v>
      </c>
      <c r="O123" s="58">
        <v>2014500</v>
      </c>
      <c r="P123" s="35" t="s">
        <v>560</v>
      </c>
      <c r="Q123" s="35"/>
      <c r="R123" s="58"/>
      <c r="S123" s="57"/>
      <c r="T123" s="57"/>
      <c r="U123" s="21"/>
    </row>
    <row r="124" spans="2:21">
      <c r="B124" s="232"/>
      <c r="C124" s="232"/>
      <c r="D124" s="255"/>
      <c r="E124" s="255"/>
      <c r="F124" s="255"/>
      <c r="G124" s="255"/>
      <c r="H124" s="263"/>
      <c r="I124" s="39"/>
      <c r="J124" s="57" t="s">
        <v>464</v>
      </c>
      <c r="K124" s="56" t="s">
        <v>512</v>
      </c>
      <c r="L124" s="58" t="s">
        <v>332</v>
      </c>
      <c r="M124" s="53" t="s">
        <v>524</v>
      </c>
      <c r="N124" s="53">
        <v>44111</v>
      </c>
      <c r="O124" s="58">
        <v>2014500</v>
      </c>
      <c r="P124" s="35" t="s">
        <v>561</v>
      </c>
      <c r="Q124" s="35"/>
      <c r="R124" s="58"/>
      <c r="S124" s="57"/>
      <c r="T124" s="57"/>
      <c r="U124" s="21"/>
    </row>
    <row r="125" spans="2:21">
      <c r="B125" s="232"/>
      <c r="C125" s="232"/>
      <c r="D125" s="255"/>
      <c r="E125" s="255"/>
      <c r="F125" s="255"/>
      <c r="G125" s="255"/>
      <c r="H125" s="262"/>
      <c r="I125" s="39"/>
      <c r="J125" s="57" t="s">
        <v>464</v>
      </c>
      <c r="K125" s="56" t="s">
        <v>654</v>
      </c>
      <c r="L125" s="58" t="s">
        <v>332</v>
      </c>
      <c r="M125" s="53" t="s">
        <v>524</v>
      </c>
      <c r="N125" s="53">
        <v>44145</v>
      </c>
      <c r="O125" s="58">
        <v>2014500</v>
      </c>
      <c r="P125" s="35" t="s">
        <v>731</v>
      </c>
      <c r="Q125" s="35"/>
      <c r="R125" s="58"/>
      <c r="S125" s="57"/>
      <c r="T125" s="57"/>
      <c r="U125" s="21"/>
    </row>
    <row r="126" spans="2:21">
      <c r="B126" s="232"/>
      <c r="C126" s="232"/>
      <c r="D126" s="255"/>
      <c r="E126" s="255"/>
      <c r="F126" s="255"/>
      <c r="G126" s="255"/>
      <c r="H126" s="262"/>
      <c r="I126" s="39"/>
      <c r="J126" s="57" t="s">
        <v>464</v>
      </c>
      <c r="K126" s="56" t="s">
        <v>729</v>
      </c>
      <c r="L126" s="58" t="s">
        <v>332</v>
      </c>
      <c r="M126" s="53" t="s">
        <v>524</v>
      </c>
      <c r="N126" s="53">
        <v>44160</v>
      </c>
      <c r="O126" s="58">
        <v>2014500</v>
      </c>
      <c r="P126" s="35" t="s">
        <v>732</v>
      </c>
      <c r="Q126" s="35"/>
      <c r="R126" s="58"/>
      <c r="S126" s="57"/>
      <c r="T126" s="57"/>
      <c r="U126" s="21"/>
    </row>
    <row r="127" spans="2:21">
      <c r="B127" s="232"/>
      <c r="C127" s="232"/>
      <c r="D127" s="255"/>
      <c r="E127" s="255"/>
      <c r="F127" s="255"/>
      <c r="G127" s="255"/>
      <c r="H127" s="262"/>
      <c r="I127" s="39"/>
      <c r="J127" s="57" t="s">
        <v>464</v>
      </c>
      <c r="K127" s="56" t="s">
        <v>730</v>
      </c>
      <c r="L127" s="58" t="s">
        <v>332</v>
      </c>
      <c r="M127" s="53" t="s">
        <v>524</v>
      </c>
      <c r="N127" s="69">
        <v>44169</v>
      </c>
      <c r="O127" s="58">
        <v>2014500</v>
      </c>
      <c r="P127" s="58" t="s">
        <v>720</v>
      </c>
      <c r="Q127" s="35"/>
      <c r="R127" s="58"/>
      <c r="S127" s="57"/>
      <c r="T127" s="57"/>
      <c r="U127" s="21"/>
    </row>
    <row r="128" spans="2:21">
      <c r="B128" s="232"/>
      <c r="C128" s="232"/>
      <c r="D128" s="255"/>
      <c r="E128" s="255"/>
      <c r="F128" s="255"/>
      <c r="G128" s="255"/>
      <c r="H128" s="262"/>
      <c r="I128" s="39"/>
      <c r="J128" s="57" t="s">
        <v>464</v>
      </c>
      <c r="K128" s="56" t="s">
        <v>917</v>
      </c>
      <c r="L128" s="58" t="s">
        <v>332</v>
      </c>
      <c r="M128" s="53" t="s">
        <v>524</v>
      </c>
      <c r="N128" s="69">
        <v>44209</v>
      </c>
      <c r="O128" s="58">
        <v>2014500</v>
      </c>
      <c r="P128" s="58" t="s">
        <v>918</v>
      </c>
      <c r="Q128" s="35"/>
      <c r="R128" s="58"/>
      <c r="S128" s="57"/>
      <c r="T128" s="57"/>
      <c r="U128" s="21"/>
    </row>
    <row r="129" spans="2:21">
      <c r="B129" s="232"/>
      <c r="C129" s="232"/>
      <c r="D129" s="255"/>
      <c r="E129" s="255"/>
      <c r="F129" s="255"/>
      <c r="G129" s="255"/>
      <c r="H129" s="262"/>
      <c r="I129" s="39"/>
      <c r="J129" s="57" t="s">
        <v>464</v>
      </c>
      <c r="K129" s="56" t="s">
        <v>1221</v>
      </c>
      <c r="L129" s="58" t="s">
        <v>332</v>
      </c>
      <c r="M129" s="53" t="s">
        <v>524</v>
      </c>
      <c r="N129" s="69">
        <v>44224</v>
      </c>
      <c r="O129" s="58">
        <v>2014500</v>
      </c>
      <c r="P129" s="58" t="s">
        <v>1235</v>
      </c>
      <c r="Q129" s="35"/>
      <c r="R129" s="58"/>
      <c r="S129" s="57"/>
      <c r="T129" s="57"/>
      <c r="U129" s="21"/>
    </row>
    <row r="130" spans="2:21" ht="28">
      <c r="B130" s="232"/>
      <c r="C130" s="232"/>
      <c r="D130" s="255"/>
      <c r="E130" s="255"/>
      <c r="F130" s="255"/>
      <c r="G130" s="255"/>
      <c r="H130" s="262"/>
      <c r="I130" s="39"/>
      <c r="J130" s="89" t="s">
        <v>464</v>
      </c>
      <c r="K130" s="31" t="s">
        <v>1237</v>
      </c>
      <c r="L130" s="91" t="s">
        <v>332</v>
      </c>
      <c r="M130" s="55" t="s">
        <v>524</v>
      </c>
      <c r="N130" s="90">
        <v>44263</v>
      </c>
      <c r="O130" s="80" t="s">
        <v>1236</v>
      </c>
      <c r="P130" s="91" t="s">
        <v>1238</v>
      </c>
      <c r="Q130" s="35"/>
      <c r="R130" s="58"/>
      <c r="S130" s="57"/>
      <c r="T130" s="57"/>
      <c r="U130" s="21"/>
    </row>
    <row r="131" spans="2:21">
      <c r="B131" s="232"/>
      <c r="C131" s="232"/>
      <c r="D131" s="255"/>
      <c r="E131" s="255"/>
      <c r="F131" s="255"/>
      <c r="G131" s="255"/>
      <c r="H131" s="262"/>
      <c r="I131" s="39"/>
      <c r="J131" s="57"/>
      <c r="K131" s="56"/>
      <c r="L131" s="58"/>
      <c r="M131" s="53"/>
      <c r="N131" s="69"/>
      <c r="O131" s="58"/>
      <c r="P131" s="58"/>
      <c r="Q131" s="35"/>
      <c r="R131" s="58"/>
      <c r="S131" s="57"/>
      <c r="T131" s="57"/>
      <c r="U131" s="21"/>
    </row>
    <row r="132" spans="2:21">
      <c r="B132" s="232"/>
      <c r="C132" s="232"/>
      <c r="D132" s="255"/>
      <c r="E132" s="255"/>
      <c r="F132" s="21" t="s">
        <v>36</v>
      </c>
      <c r="G132" s="265"/>
      <c r="H132" s="265"/>
      <c r="I132" s="265"/>
      <c r="J132" s="265"/>
      <c r="K132" s="265"/>
      <c r="L132" s="265"/>
      <c r="M132" s="265"/>
      <c r="N132" s="265"/>
      <c r="O132" s="265"/>
      <c r="P132" s="38"/>
      <c r="Q132" s="38"/>
      <c r="R132" s="39"/>
      <c r="S132" s="21"/>
      <c r="T132" s="21"/>
      <c r="U132" s="21"/>
    </row>
    <row r="133" spans="2:21">
      <c r="B133" s="232"/>
      <c r="C133" s="232"/>
      <c r="D133" s="255"/>
      <c r="E133" s="255"/>
      <c r="F133" s="255"/>
      <c r="G133" s="255"/>
      <c r="H133" s="21"/>
      <c r="I133" s="21"/>
      <c r="J133" s="21"/>
      <c r="K133" s="39"/>
      <c r="L133" s="39"/>
      <c r="M133" s="21"/>
      <c r="N133" s="39"/>
      <c r="O133" s="39"/>
      <c r="P133" s="39"/>
      <c r="Q133" s="39"/>
      <c r="R133" s="39"/>
      <c r="S133" s="21"/>
      <c r="T133" s="21"/>
      <c r="U133" s="21"/>
    </row>
    <row r="134" spans="2:21">
      <c r="B134" s="232"/>
      <c r="C134" s="232"/>
      <c r="D134" s="255"/>
      <c r="E134" s="255"/>
      <c r="F134" s="255"/>
      <c r="G134" s="255"/>
      <c r="H134" s="21"/>
      <c r="I134" s="21"/>
      <c r="J134" s="21"/>
      <c r="K134" s="39"/>
      <c r="L134" s="39"/>
      <c r="M134" s="21"/>
      <c r="N134" s="39"/>
      <c r="O134" s="39"/>
      <c r="P134" s="39"/>
      <c r="Q134" s="39"/>
      <c r="R134" s="39"/>
      <c r="S134" s="21"/>
      <c r="T134" s="21"/>
      <c r="U134" s="21"/>
    </row>
    <row r="135" spans="2:21">
      <c r="B135" s="232"/>
      <c r="C135" s="232"/>
      <c r="D135" s="39" t="s">
        <v>31</v>
      </c>
      <c r="E135" s="265" t="s">
        <v>328</v>
      </c>
      <c r="F135" s="265"/>
      <c r="G135" s="265"/>
      <c r="H135" s="265"/>
      <c r="I135" s="265"/>
      <c r="J135" s="265"/>
      <c r="K135" s="265"/>
      <c r="L135" s="265"/>
      <c r="M135" s="265"/>
      <c r="N135" s="265"/>
      <c r="O135" s="265"/>
      <c r="P135" s="265"/>
      <c r="Q135" s="265"/>
      <c r="R135" s="265"/>
      <c r="S135" s="265"/>
      <c r="T135" s="265"/>
      <c r="U135" s="21"/>
    </row>
    <row r="136" spans="2:21" ht="12.75" customHeight="1" outlineLevel="1">
      <c r="B136" s="232"/>
      <c r="C136" s="232"/>
      <c r="D136" s="255"/>
      <c r="E136" s="255"/>
      <c r="F136" s="21" t="s">
        <v>27</v>
      </c>
      <c r="G136" s="265"/>
      <c r="H136" s="265"/>
      <c r="I136" s="265"/>
      <c r="J136" s="265"/>
      <c r="K136" s="265"/>
      <c r="L136" s="265"/>
      <c r="M136" s="265"/>
      <c r="N136" s="265"/>
      <c r="O136" s="265"/>
      <c r="P136" s="38"/>
      <c r="Q136" s="38"/>
      <c r="R136" s="39" t="s">
        <v>26</v>
      </c>
      <c r="S136" s="21"/>
      <c r="T136" s="21"/>
      <c r="U136" s="21"/>
    </row>
    <row r="137" spans="2:21" ht="12.75" customHeight="1" outlineLevel="1">
      <c r="B137" s="232"/>
      <c r="C137" s="232"/>
      <c r="D137" s="255"/>
      <c r="E137" s="255"/>
      <c r="F137" s="255"/>
      <c r="G137" s="255"/>
      <c r="H137" s="21" t="s">
        <v>176</v>
      </c>
      <c r="I137" s="21"/>
      <c r="J137" s="33"/>
      <c r="K137" s="35"/>
      <c r="L137" s="35"/>
      <c r="M137" s="33"/>
      <c r="N137" s="35"/>
      <c r="O137" s="35"/>
      <c r="P137" s="35"/>
      <c r="Q137" s="35"/>
      <c r="R137" s="35"/>
      <c r="S137" s="33"/>
      <c r="T137" s="33"/>
      <c r="U137" s="21"/>
    </row>
    <row r="138" spans="2:21" ht="12.75" customHeight="1" outlineLevel="1">
      <c r="B138" s="232"/>
      <c r="C138" s="232"/>
      <c r="D138" s="255"/>
      <c r="E138" s="255"/>
      <c r="F138" s="255"/>
      <c r="G138" s="255"/>
      <c r="H138" s="21"/>
      <c r="I138" s="21"/>
      <c r="J138" s="33"/>
      <c r="K138" s="35"/>
      <c r="L138" s="35"/>
      <c r="M138" s="33"/>
      <c r="N138" s="35"/>
      <c r="O138" s="35"/>
      <c r="P138" s="35"/>
      <c r="Q138" s="35"/>
      <c r="R138" s="35"/>
      <c r="S138" s="33"/>
      <c r="T138" s="33"/>
      <c r="U138" s="21"/>
    </row>
    <row r="139" spans="2:21" ht="12.75" customHeight="1" outlineLevel="1">
      <c r="B139" s="232"/>
      <c r="C139" s="232"/>
      <c r="D139" s="255"/>
      <c r="E139" s="255"/>
      <c r="F139" s="21" t="s">
        <v>29</v>
      </c>
      <c r="G139" s="265"/>
      <c r="H139" s="265"/>
      <c r="I139" s="265"/>
      <c r="J139" s="265"/>
      <c r="K139" s="265"/>
      <c r="L139" s="265"/>
      <c r="M139" s="265"/>
      <c r="N139" s="265"/>
      <c r="O139" s="265"/>
      <c r="P139" s="38"/>
      <c r="Q139" s="38"/>
      <c r="R139" s="39"/>
      <c r="S139" s="21"/>
      <c r="T139" s="21"/>
      <c r="U139" s="21"/>
    </row>
    <row r="140" spans="2:21" ht="12.75" customHeight="1" outlineLevel="1">
      <c r="B140" s="232"/>
      <c r="C140" s="232"/>
      <c r="D140" s="255"/>
      <c r="E140" s="255"/>
      <c r="F140" s="255"/>
      <c r="G140" s="255"/>
      <c r="H140" s="21" t="s">
        <v>176</v>
      </c>
      <c r="I140" s="21"/>
      <c r="J140" s="33"/>
      <c r="K140" s="35"/>
      <c r="L140" s="39"/>
      <c r="M140" s="21"/>
      <c r="N140" s="39"/>
      <c r="O140" s="39"/>
      <c r="P140" s="39"/>
      <c r="Q140" s="39"/>
      <c r="R140" s="39"/>
      <c r="S140" s="21"/>
      <c r="T140" s="21"/>
      <c r="U140" s="21"/>
    </row>
    <row r="141" spans="2:21" ht="12.75" customHeight="1" outlineLevel="1">
      <c r="B141" s="232"/>
      <c r="C141" s="232"/>
      <c r="D141" s="255"/>
      <c r="E141" s="255"/>
      <c r="F141" s="255"/>
      <c r="G141" s="255"/>
      <c r="H141" s="21"/>
      <c r="I141" s="21"/>
      <c r="J141" s="33"/>
      <c r="K141" s="35"/>
      <c r="L141" s="39"/>
      <c r="M141" s="21"/>
      <c r="N141" s="39"/>
      <c r="O141" s="39"/>
      <c r="P141" s="39"/>
      <c r="Q141" s="39"/>
      <c r="R141" s="39"/>
      <c r="S141" s="21"/>
      <c r="T141" s="21"/>
      <c r="U141" s="21"/>
    </row>
    <row r="142" spans="2:21" ht="12.75" customHeight="1" outlineLevel="1">
      <c r="B142" s="232"/>
      <c r="C142" s="232"/>
      <c r="D142" s="255"/>
      <c r="E142" s="255"/>
      <c r="F142" s="21" t="s">
        <v>35</v>
      </c>
      <c r="G142" s="265"/>
      <c r="H142" s="265"/>
      <c r="I142" s="265"/>
      <c r="J142" s="265"/>
      <c r="K142" s="265"/>
      <c r="L142" s="265"/>
      <c r="M142" s="265"/>
      <c r="N142" s="265"/>
      <c r="O142" s="265"/>
      <c r="P142" s="38"/>
      <c r="Q142" s="38"/>
      <c r="R142" s="39"/>
      <c r="S142" s="21"/>
      <c r="T142" s="21"/>
      <c r="U142" s="21"/>
    </row>
    <row r="143" spans="2:21" ht="12.75" customHeight="1" outlineLevel="1">
      <c r="B143" s="232"/>
      <c r="C143" s="232"/>
      <c r="D143" s="255"/>
      <c r="E143" s="255"/>
      <c r="F143" s="255"/>
      <c r="G143" s="255"/>
      <c r="H143" s="21" t="s">
        <v>176</v>
      </c>
      <c r="I143" s="21"/>
      <c r="J143" s="21"/>
      <c r="K143" s="39"/>
      <c r="L143" s="39"/>
      <c r="M143" s="21"/>
      <c r="N143" s="39"/>
      <c r="O143" s="39"/>
      <c r="P143" s="39"/>
      <c r="Q143" s="39"/>
      <c r="R143" s="39"/>
      <c r="S143" s="21"/>
      <c r="T143" s="21"/>
      <c r="U143" s="21"/>
    </row>
    <row r="144" spans="2:21" ht="12.75" customHeight="1" outlineLevel="1">
      <c r="B144" s="232"/>
      <c r="C144" s="232"/>
      <c r="D144" s="255"/>
      <c r="E144" s="255"/>
      <c r="F144" s="255"/>
      <c r="G144" s="255"/>
      <c r="H144" s="21"/>
      <c r="I144" s="21"/>
      <c r="J144" s="21"/>
      <c r="K144" s="39"/>
      <c r="L144" s="39"/>
      <c r="M144" s="21"/>
      <c r="N144" s="39"/>
      <c r="O144" s="39"/>
      <c r="P144" s="39"/>
      <c r="Q144" s="39"/>
      <c r="R144" s="39"/>
      <c r="S144" s="21"/>
      <c r="T144" s="21"/>
      <c r="U144" s="21"/>
    </row>
    <row r="145" spans="2:21" ht="28">
      <c r="B145" s="232"/>
      <c r="C145" s="232"/>
      <c r="D145" s="9" t="s">
        <v>33</v>
      </c>
      <c r="E145" s="251" t="s">
        <v>142</v>
      </c>
      <c r="F145" s="251"/>
      <c r="G145" s="251"/>
      <c r="H145" s="251"/>
      <c r="I145" s="251"/>
      <c r="J145" s="251"/>
      <c r="K145" s="251"/>
      <c r="L145" s="251"/>
      <c r="M145" s="251"/>
      <c r="N145" s="251"/>
      <c r="O145" s="251"/>
      <c r="P145" s="251"/>
      <c r="Q145" s="251"/>
      <c r="R145" s="251"/>
      <c r="S145" s="251"/>
      <c r="T145" s="251"/>
      <c r="U145" s="21"/>
    </row>
    <row r="146" spans="2:21">
      <c r="B146" s="232"/>
      <c r="C146" s="232"/>
      <c r="D146" s="255"/>
      <c r="E146" s="255"/>
      <c r="F146" s="21" t="s">
        <v>27</v>
      </c>
      <c r="G146" s="265" t="s">
        <v>175</v>
      </c>
      <c r="H146" s="265"/>
      <c r="I146" s="265"/>
      <c r="J146" s="265"/>
      <c r="K146" s="265"/>
      <c r="L146" s="265"/>
      <c r="M146" s="265"/>
      <c r="N146" s="265"/>
      <c r="O146" s="265"/>
      <c r="P146" s="38"/>
      <c r="Q146" s="38"/>
      <c r="R146" s="39" t="s">
        <v>26</v>
      </c>
      <c r="S146" s="21"/>
      <c r="T146" s="21"/>
      <c r="U146" s="21"/>
    </row>
    <row r="147" spans="2:21">
      <c r="B147" s="232"/>
      <c r="C147" s="232"/>
      <c r="D147" s="255"/>
      <c r="E147" s="255"/>
      <c r="F147" s="263"/>
      <c r="G147" s="263"/>
      <c r="H147" s="21" t="s">
        <v>176</v>
      </c>
      <c r="I147" s="21"/>
      <c r="J147" s="33" t="s">
        <v>179</v>
      </c>
      <c r="K147" s="35" t="s">
        <v>330</v>
      </c>
      <c r="L147" s="35" t="s">
        <v>333</v>
      </c>
      <c r="M147" s="53">
        <v>44000</v>
      </c>
      <c r="N147" s="53">
        <v>44000</v>
      </c>
      <c r="O147" s="35" t="s">
        <v>334</v>
      </c>
      <c r="P147" s="35" t="s">
        <v>335</v>
      </c>
      <c r="Q147" s="35"/>
      <c r="R147" s="35" t="s">
        <v>324</v>
      </c>
      <c r="S147" s="33"/>
      <c r="T147" s="33"/>
      <c r="U147" s="21"/>
    </row>
    <row r="148" spans="2:21">
      <c r="B148" s="232"/>
      <c r="C148" s="232"/>
      <c r="D148" s="255"/>
      <c r="E148" s="255"/>
      <c r="F148" s="262"/>
      <c r="G148" s="262"/>
      <c r="H148" s="21"/>
      <c r="I148" s="21"/>
      <c r="J148" s="33" t="s">
        <v>179</v>
      </c>
      <c r="K148" s="35">
        <v>0</v>
      </c>
      <c r="L148" s="35" t="s">
        <v>332</v>
      </c>
      <c r="M148" s="53">
        <v>44069</v>
      </c>
      <c r="N148" s="53">
        <v>44071</v>
      </c>
      <c r="O148" s="35" t="s">
        <v>377</v>
      </c>
      <c r="P148" s="35" t="s">
        <v>351</v>
      </c>
      <c r="Q148" s="35"/>
      <c r="R148" s="35"/>
      <c r="S148" s="33"/>
      <c r="T148" s="33"/>
      <c r="U148" s="21"/>
    </row>
    <row r="149" spans="2:21">
      <c r="B149" s="232"/>
      <c r="C149" s="232"/>
      <c r="D149" s="255"/>
      <c r="E149" s="255"/>
      <c r="F149" s="262"/>
      <c r="G149" s="262"/>
      <c r="H149" s="21"/>
      <c r="I149" s="21"/>
      <c r="J149" s="33" t="s">
        <v>179</v>
      </c>
      <c r="K149" s="35">
        <v>2</v>
      </c>
      <c r="L149" s="35" t="s">
        <v>332</v>
      </c>
      <c r="M149" s="53" t="s">
        <v>349</v>
      </c>
      <c r="N149" s="53">
        <v>44148</v>
      </c>
      <c r="O149" s="35" t="s">
        <v>648</v>
      </c>
      <c r="P149" s="35" t="s">
        <v>649</v>
      </c>
      <c r="Q149" s="35"/>
      <c r="R149" s="35"/>
      <c r="S149" s="33"/>
      <c r="T149" s="33"/>
      <c r="U149" s="21"/>
    </row>
    <row r="150" spans="2:21">
      <c r="B150" s="232"/>
      <c r="C150" s="232"/>
      <c r="D150" s="255"/>
      <c r="E150" s="255"/>
      <c r="F150" s="262"/>
      <c r="G150" s="262"/>
      <c r="H150" s="21"/>
      <c r="I150" s="21"/>
      <c r="J150" s="33" t="s">
        <v>179</v>
      </c>
      <c r="K150" s="35">
        <v>3</v>
      </c>
      <c r="L150" s="35" t="s">
        <v>332</v>
      </c>
      <c r="M150" s="53" t="s">
        <v>349</v>
      </c>
      <c r="N150" s="53">
        <v>40191</v>
      </c>
      <c r="O150" s="35" t="s">
        <v>914</v>
      </c>
      <c r="P150" s="35" t="s">
        <v>915</v>
      </c>
      <c r="Q150" s="35"/>
      <c r="R150" s="35"/>
      <c r="S150" s="33"/>
      <c r="T150" s="33"/>
      <c r="U150" s="21"/>
    </row>
    <row r="151" spans="2:21">
      <c r="B151" s="232"/>
      <c r="C151" s="232"/>
      <c r="D151" s="255"/>
      <c r="E151" s="255"/>
      <c r="F151" s="262"/>
      <c r="G151" s="262"/>
      <c r="H151" s="21"/>
      <c r="I151" s="21"/>
      <c r="J151" s="33" t="s">
        <v>179</v>
      </c>
      <c r="K151" s="35">
        <v>4</v>
      </c>
      <c r="L151" s="35" t="s">
        <v>332</v>
      </c>
      <c r="M151" s="53" t="s">
        <v>349</v>
      </c>
      <c r="N151" s="53">
        <v>44250</v>
      </c>
      <c r="O151" s="35" t="s">
        <v>1153</v>
      </c>
      <c r="P151" s="35" t="s">
        <v>1154</v>
      </c>
      <c r="Q151" s="35"/>
      <c r="R151" s="35"/>
      <c r="S151" s="33"/>
      <c r="T151" s="33"/>
      <c r="U151" s="21"/>
    </row>
    <row r="152" spans="2:21">
      <c r="B152" s="232"/>
      <c r="C152" s="232"/>
      <c r="D152" s="255"/>
      <c r="E152" s="255"/>
      <c r="F152" s="262"/>
      <c r="G152" s="262"/>
      <c r="H152" s="21"/>
      <c r="I152" s="21"/>
      <c r="J152" s="33" t="s">
        <v>179</v>
      </c>
      <c r="K152" s="35">
        <v>5</v>
      </c>
      <c r="L152" s="35" t="s">
        <v>332</v>
      </c>
      <c r="M152" s="53" t="s">
        <v>349</v>
      </c>
      <c r="N152" s="53">
        <v>44273</v>
      </c>
      <c r="O152" s="35" t="s">
        <v>1259</v>
      </c>
      <c r="P152" s="35" t="s">
        <v>1260</v>
      </c>
      <c r="Q152" s="35"/>
      <c r="R152" s="35"/>
      <c r="S152" s="33"/>
      <c r="T152" s="33"/>
      <c r="U152" s="21"/>
    </row>
    <row r="153" spans="2:21">
      <c r="B153" s="232"/>
      <c r="C153" s="232"/>
      <c r="D153" s="255"/>
      <c r="E153" s="255"/>
      <c r="F153" s="262"/>
      <c r="G153" s="262"/>
      <c r="H153" s="21"/>
      <c r="I153" s="21"/>
      <c r="J153" s="33" t="s">
        <v>179</v>
      </c>
      <c r="K153" s="35">
        <v>6</v>
      </c>
      <c r="L153" s="35" t="s">
        <v>332</v>
      </c>
      <c r="M153" s="53" t="s">
        <v>349</v>
      </c>
      <c r="N153" s="53">
        <v>44291</v>
      </c>
      <c r="O153" s="35" t="s">
        <v>1382</v>
      </c>
      <c r="P153" s="35" t="s">
        <v>1383</v>
      </c>
      <c r="Q153" s="35"/>
      <c r="R153" s="35"/>
      <c r="S153" s="33"/>
      <c r="T153" s="33"/>
      <c r="U153" s="21"/>
    </row>
    <row r="154" spans="2:21">
      <c r="B154" s="232"/>
      <c r="C154" s="232"/>
      <c r="D154" s="255"/>
      <c r="E154" s="255"/>
      <c r="F154" s="262"/>
      <c r="G154" s="262"/>
      <c r="H154" s="21"/>
      <c r="I154" s="21"/>
      <c r="J154" s="33" t="s">
        <v>179</v>
      </c>
      <c r="K154" s="35">
        <v>7</v>
      </c>
      <c r="L154" s="35" t="s">
        <v>332</v>
      </c>
      <c r="M154" s="53" t="s">
        <v>349</v>
      </c>
      <c r="N154" s="53">
        <v>44480</v>
      </c>
      <c r="O154" s="35" t="s">
        <v>2341</v>
      </c>
      <c r="P154" s="35" t="s">
        <v>2342</v>
      </c>
      <c r="Q154" s="35"/>
      <c r="R154" s="35"/>
      <c r="S154" s="33"/>
      <c r="T154" s="33"/>
      <c r="U154" s="21"/>
    </row>
    <row r="155" spans="2:21">
      <c r="B155" s="232"/>
      <c r="C155" s="232"/>
      <c r="D155" s="255"/>
      <c r="E155" s="255"/>
      <c r="F155" s="262"/>
      <c r="G155" s="262"/>
      <c r="H155" s="21"/>
      <c r="I155" s="21"/>
      <c r="J155" s="33" t="s">
        <v>179</v>
      </c>
      <c r="K155" s="35">
        <v>8</v>
      </c>
      <c r="L155" s="35" t="s">
        <v>332</v>
      </c>
      <c r="M155" s="53" t="s">
        <v>349</v>
      </c>
      <c r="N155" s="53">
        <v>44483</v>
      </c>
      <c r="O155" s="35" t="s">
        <v>2362</v>
      </c>
      <c r="P155" s="35" t="s">
        <v>2363</v>
      </c>
      <c r="Q155" s="35"/>
      <c r="R155" s="35"/>
      <c r="S155" s="33"/>
      <c r="T155" s="33"/>
      <c r="U155" s="21"/>
    </row>
    <row r="156" spans="2:21">
      <c r="B156" s="232"/>
      <c r="C156" s="232"/>
      <c r="D156" s="255"/>
      <c r="E156" s="255"/>
      <c r="F156" s="262"/>
      <c r="G156" s="262"/>
      <c r="H156" s="21"/>
      <c r="I156" s="21"/>
      <c r="J156" s="33"/>
      <c r="K156" s="35"/>
      <c r="L156" s="35"/>
      <c r="M156" s="53"/>
      <c r="N156" s="53"/>
      <c r="O156" s="35"/>
      <c r="P156" s="35"/>
      <c r="Q156" s="35"/>
      <c r="R156" s="35"/>
      <c r="S156" s="33"/>
      <c r="T156" s="33"/>
      <c r="U156" s="21"/>
    </row>
    <row r="157" spans="2:21">
      <c r="B157" s="232"/>
      <c r="C157" s="232"/>
      <c r="D157" s="255"/>
      <c r="E157" s="255"/>
      <c r="F157" s="262"/>
      <c r="G157" s="262"/>
      <c r="H157" s="21" t="s">
        <v>177</v>
      </c>
      <c r="I157" s="21"/>
      <c r="J157" s="33" t="s">
        <v>180</v>
      </c>
      <c r="K157" s="35">
        <v>0</v>
      </c>
      <c r="L157" s="35" t="s">
        <v>333</v>
      </c>
      <c r="M157" s="33"/>
      <c r="N157" s="53">
        <v>44071</v>
      </c>
      <c r="O157" s="35" t="s">
        <v>377</v>
      </c>
      <c r="P157" s="35" t="s">
        <v>351</v>
      </c>
      <c r="Q157" s="35"/>
      <c r="R157" s="35"/>
      <c r="S157" s="33"/>
      <c r="T157" s="33"/>
      <c r="U157" s="21"/>
    </row>
    <row r="158" spans="2:21">
      <c r="B158" s="232"/>
      <c r="C158" s="232"/>
      <c r="D158" s="255"/>
      <c r="E158" s="255"/>
      <c r="F158" s="262"/>
      <c r="G158" s="262"/>
      <c r="H158" s="21"/>
      <c r="I158" s="21"/>
      <c r="J158" s="33" t="s">
        <v>180</v>
      </c>
      <c r="K158" s="35">
        <v>2</v>
      </c>
      <c r="L158" s="35" t="s">
        <v>332</v>
      </c>
      <c r="M158" s="53" t="s">
        <v>349</v>
      </c>
      <c r="N158" s="53">
        <v>44148</v>
      </c>
      <c r="O158" s="35" t="s">
        <v>648</v>
      </c>
      <c r="P158" s="35" t="s">
        <v>649</v>
      </c>
      <c r="Q158" s="35"/>
      <c r="R158" s="35"/>
      <c r="S158" s="33"/>
      <c r="T158" s="33"/>
      <c r="U158" s="21"/>
    </row>
    <row r="159" spans="2:21" ht="14.25" customHeight="1">
      <c r="B159" s="232"/>
      <c r="C159" s="232"/>
      <c r="D159" s="255"/>
      <c r="E159" s="255"/>
      <c r="F159" s="262"/>
      <c r="G159" s="262"/>
      <c r="H159" s="21"/>
      <c r="I159" s="21"/>
      <c r="J159" s="33" t="s">
        <v>180</v>
      </c>
      <c r="K159" s="35">
        <v>3</v>
      </c>
      <c r="L159" s="35" t="s">
        <v>332</v>
      </c>
      <c r="M159" s="53" t="s">
        <v>349</v>
      </c>
      <c r="N159" s="53">
        <v>40191</v>
      </c>
      <c r="O159" s="35" t="s">
        <v>914</v>
      </c>
      <c r="P159" s="35" t="s">
        <v>915</v>
      </c>
      <c r="Q159" s="35"/>
      <c r="R159" s="35"/>
      <c r="S159" s="33"/>
      <c r="T159" s="33"/>
      <c r="U159" s="21"/>
    </row>
    <row r="160" spans="2:21" ht="14.25" customHeight="1">
      <c r="B160" s="232"/>
      <c r="C160" s="232"/>
      <c r="D160" s="255"/>
      <c r="E160" s="255"/>
      <c r="F160" s="262"/>
      <c r="G160" s="262"/>
      <c r="H160" s="21"/>
      <c r="I160" s="21"/>
      <c r="J160" s="33" t="s">
        <v>180</v>
      </c>
      <c r="K160" s="35">
        <v>4</v>
      </c>
      <c r="L160" s="35" t="s">
        <v>332</v>
      </c>
      <c r="M160" s="53" t="s">
        <v>349</v>
      </c>
      <c r="N160" s="53">
        <v>44250</v>
      </c>
      <c r="O160" s="35" t="s">
        <v>1153</v>
      </c>
      <c r="P160" s="35" t="s">
        <v>1154</v>
      </c>
      <c r="Q160" s="35"/>
      <c r="R160" s="35"/>
      <c r="S160" s="33"/>
      <c r="T160" s="33"/>
      <c r="U160" s="21"/>
    </row>
    <row r="161" spans="2:21" ht="14.25" customHeight="1">
      <c r="B161" s="232"/>
      <c r="C161" s="232"/>
      <c r="D161" s="255"/>
      <c r="E161" s="255"/>
      <c r="F161" s="262"/>
      <c r="G161" s="262"/>
      <c r="H161" s="21"/>
      <c r="I161" s="21"/>
      <c r="J161" s="33" t="s">
        <v>180</v>
      </c>
      <c r="K161" s="35">
        <v>5</v>
      </c>
      <c r="L161" s="35" t="s">
        <v>332</v>
      </c>
      <c r="M161" s="53" t="s">
        <v>349</v>
      </c>
      <c r="N161" s="53">
        <v>44273</v>
      </c>
      <c r="O161" s="35" t="s">
        <v>1259</v>
      </c>
      <c r="P161" s="35" t="s">
        <v>1260</v>
      </c>
      <c r="Q161" s="35"/>
      <c r="R161" s="35"/>
      <c r="S161" s="33"/>
      <c r="T161" s="33"/>
      <c r="U161" s="21"/>
    </row>
    <row r="162" spans="2:21" ht="14.25" customHeight="1">
      <c r="B162" s="232"/>
      <c r="C162" s="232"/>
      <c r="D162" s="255"/>
      <c r="E162" s="255"/>
      <c r="F162" s="262"/>
      <c r="G162" s="262"/>
      <c r="H162" s="21"/>
      <c r="I162" s="21"/>
      <c r="J162" s="33" t="s">
        <v>180</v>
      </c>
      <c r="K162" s="35">
        <v>6</v>
      </c>
      <c r="L162" s="35" t="s">
        <v>332</v>
      </c>
      <c r="M162" s="53" t="s">
        <v>349</v>
      </c>
      <c r="N162" s="53">
        <v>44291</v>
      </c>
      <c r="O162" s="35" t="s">
        <v>1382</v>
      </c>
      <c r="P162" s="35" t="s">
        <v>1383</v>
      </c>
      <c r="Q162" s="35"/>
      <c r="R162" s="35"/>
      <c r="S162" s="33"/>
      <c r="T162" s="33"/>
      <c r="U162" s="21"/>
    </row>
    <row r="163" spans="2:21" ht="14.25" customHeight="1">
      <c r="B163" s="232"/>
      <c r="C163" s="232"/>
      <c r="D163" s="255"/>
      <c r="E163" s="255"/>
      <c r="F163" s="262"/>
      <c r="G163" s="262"/>
      <c r="H163" s="21"/>
      <c r="I163" s="21"/>
      <c r="J163" s="33" t="s">
        <v>180</v>
      </c>
      <c r="K163" s="35">
        <v>7</v>
      </c>
      <c r="L163" s="35" t="s">
        <v>332</v>
      </c>
      <c r="M163" s="53" t="s">
        <v>349</v>
      </c>
      <c r="N163" s="53">
        <v>44480</v>
      </c>
      <c r="O163" s="35" t="s">
        <v>2341</v>
      </c>
      <c r="P163" s="35" t="s">
        <v>2342</v>
      </c>
      <c r="Q163" s="35"/>
      <c r="R163" s="35"/>
      <c r="S163" s="33"/>
      <c r="T163" s="33"/>
      <c r="U163" s="21"/>
    </row>
    <row r="164" spans="2:21" ht="14.25" customHeight="1">
      <c r="B164" s="232"/>
      <c r="C164" s="232"/>
      <c r="D164" s="255"/>
      <c r="E164" s="255"/>
      <c r="F164" s="262"/>
      <c r="G164" s="262"/>
      <c r="H164" s="21"/>
      <c r="I164" s="21"/>
      <c r="J164" s="33" t="s">
        <v>180</v>
      </c>
      <c r="K164" s="35">
        <v>8</v>
      </c>
      <c r="L164" s="35" t="s">
        <v>332</v>
      </c>
      <c r="M164" s="53" t="s">
        <v>349</v>
      </c>
      <c r="N164" s="53">
        <v>44483</v>
      </c>
      <c r="O164" s="35" t="s">
        <v>2362</v>
      </c>
      <c r="P164" s="35" t="s">
        <v>2363</v>
      </c>
      <c r="Q164" s="35"/>
      <c r="R164" s="35"/>
      <c r="S164" s="33"/>
      <c r="T164" s="33"/>
      <c r="U164" s="21"/>
    </row>
    <row r="165" spans="2:21">
      <c r="B165" s="232"/>
      <c r="C165" s="232"/>
      <c r="D165" s="255"/>
      <c r="E165" s="255"/>
      <c r="F165" s="262"/>
      <c r="G165" s="262"/>
      <c r="H165" s="21"/>
      <c r="I165" s="21"/>
      <c r="J165" s="33"/>
      <c r="K165" s="35"/>
      <c r="L165" s="35"/>
      <c r="M165" s="53"/>
      <c r="N165" s="53"/>
      <c r="O165" s="35"/>
      <c r="P165" s="35"/>
      <c r="Q165" s="35"/>
      <c r="R165" s="35"/>
      <c r="S165" s="33"/>
      <c r="T165" s="33"/>
      <c r="U165" s="21"/>
    </row>
    <row r="166" spans="2:21">
      <c r="B166" s="232"/>
      <c r="C166" s="232"/>
      <c r="D166" s="255"/>
      <c r="E166" s="255"/>
      <c r="F166" s="262"/>
      <c r="G166" s="262"/>
      <c r="H166" s="21" t="s">
        <v>181</v>
      </c>
      <c r="I166" s="21"/>
      <c r="J166" s="33" t="s">
        <v>182</v>
      </c>
      <c r="K166" s="35">
        <v>0</v>
      </c>
      <c r="L166" s="35" t="s">
        <v>333</v>
      </c>
      <c r="M166" s="53">
        <v>44069</v>
      </c>
      <c r="N166" s="53">
        <v>44071</v>
      </c>
      <c r="O166" s="35" t="s">
        <v>377</v>
      </c>
      <c r="P166" s="35" t="s">
        <v>351</v>
      </c>
      <c r="Q166" s="35"/>
      <c r="R166" s="35"/>
      <c r="S166" s="33"/>
      <c r="T166" s="33"/>
      <c r="U166" s="21"/>
    </row>
    <row r="167" spans="2:21">
      <c r="B167" s="232"/>
      <c r="C167" s="232"/>
      <c r="D167" s="255"/>
      <c r="E167" s="255"/>
      <c r="F167" s="262"/>
      <c r="G167" s="262"/>
      <c r="H167" s="21"/>
      <c r="I167" s="21"/>
      <c r="J167" s="33" t="s">
        <v>182</v>
      </c>
      <c r="K167" s="35">
        <v>2</v>
      </c>
      <c r="L167" s="35" t="s">
        <v>332</v>
      </c>
      <c r="M167" s="53" t="s">
        <v>349</v>
      </c>
      <c r="N167" s="53">
        <v>44148</v>
      </c>
      <c r="O167" s="35" t="s">
        <v>648</v>
      </c>
      <c r="P167" s="35" t="s">
        <v>649</v>
      </c>
      <c r="Q167" s="35"/>
      <c r="R167" s="35"/>
      <c r="S167" s="33"/>
      <c r="T167" s="33"/>
      <c r="U167" s="21"/>
    </row>
    <row r="168" spans="2:21" ht="14.25" customHeight="1">
      <c r="B168" s="232"/>
      <c r="C168" s="232"/>
      <c r="D168" s="255"/>
      <c r="E168" s="255"/>
      <c r="F168" s="262"/>
      <c r="G168" s="262"/>
      <c r="H168" s="21"/>
      <c r="I168" s="21"/>
      <c r="J168" s="33" t="s">
        <v>182</v>
      </c>
      <c r="K168" s="35">
        <v>3</v>
      </c>
      <c r="L168" s="35" t="s">
        <v>332</v>
      </c>
      <c r="M168" s="53" t="s">
        <v>349</v>
      </c>
      <c r="N168" s="53">
        <v>40191</v>
      </c>
      <c r="O168" s="35" t="s">
        <v>914</v>
      </c>
      <c r="P168" s="35" t="s">
        <v>915</v>
      </c>
      <c r="Q168" s="35"/>
      <c r="R168" s="35"/>
      <c r="S168" s="33"/>
      <c r="T168" s="33"/>
      <c r="U168" s="21"/>
    </row>
    <row r="169" spans="2:21" ht="14.25" customHeight="1">
      <c r="B169" s="232"/>
      <c r="C169" s="232"/>
      <c r="D169" s="255"/>
      <c r="E169" s="255"/>
      <c r="F169" s="262"/>
      <c r="G169" s="262"/>
      <c r="H169" s="21"/>
      <c r="I169" s="21"/>
      <c r="J169" s="33" t="s">
        <v>182</v>
      </c>
      <c r="K169" s="35">
        <v>4</v>
      </c>
      <c r="L169" s="35" t="s">
        <v>332</v>
      </c>
      <c r="M169" s="53" t="s">
        <v>349</v>
      </c>
      <c r="N169" s="53">
        <v>44250</v>
      </c>
      <c r="O169" s="35" t="s">
        <v>1153</v>
      </c>
      <c r="P169" s="35" t="s">
        <v>1154</v>
      </c>
      <c r="Q169" s="35"/>
      <c r="R169" s="35"/>
      <c r="S169" s="33"/>
      <c r="T169" s="33"/>
      <c r="U169" s="21"/>
    </row>
    <row r="170" spans="2:21" ht="14.25" customHeight="1">
      <c r="B170" s="232"/>
      <c r="C170" s="232"/>
      <c r="D170" s="255"/>
      <c r="E170" s="255"/>
      <c r="F170" s="262"/>
      <c r="G170" s="262"/>
      <c r="H170" s="21"/>
      <c r="I170" s="21"/>
      <c r="J170" s="33" t="s">
        <v>182</v>
      </c>
      <c r="K170" s="35">
        <v>5</v>
      </c>
      <c r="L170" s="35" t="s">
        <v>332</v>
      </c>
      <c r="M170" s="53" t="s">
        <v>349</v>
      </c>
      <c r="N170" s="53">
        <v>44273</v>
      </c>
      <c r="O170" s="35" t="s">
        <v>1259</v>
      </c>
      <c r="P170" s="35" t="s">
        <v>1260</v>
      </c>
      <c r="Q170" s="35"/>
      <c r="R170" s="35"/>
      <c r="S170" s="33"/>
      <c r="T170" s="33"/>
      <c r="U170" s="21"/>
    </row>
    <row r="171" spans="2:21" ht="14.25" customHeight="1">
      <c r="B171" s="232"/>
      <c r="C171" s="232"/>
      <c r="D171" s="255"/>
      <c r="E171" s="255"/>
      <c r="F171" s="262"/>
      <c r="G171" s="262"/>
      <c r="H171" s="21"/>
      <c r="I171" s="21"/>
      <c r="J171" s="33" t="s">
        <v>182</v>
      </c>
      <c r="K171" s="35">
        <v>6</v>
      </c>
      <c r="L171" s="35" t="s">
        <v>332</v>
      </c>
      <c r="M171" s="53" t="s">
        <v>349</v>
      </c>
      <c r="N171" s="53">
        <v>44291</v>
      </c>
      <c r="O171" s="35" t="s">
        <v>1382</v>
      </c>
      <c r="P171" s="35" t="s">
        <v>1383</v>
      </c>
      <c r="Q171" s="35"/>
      <c r="R171" s="35"/>
      <c r="S171" s="33"/>
      <c r="T171" s="33"/>
      <c r="U171" s="21"/>
    </row>
    <row r="172" spans="2:21" ht="14.25" customHeight="1">
      <c r="B172" s="232"/>
      <c r="C172" s="232"/>
      <c r="D172" s="255"/>
      <c r="E172" s="255"/>
      <c r="F172" s="262"/>
      <c r="G172" s="262"/>
      <c r="H172" s="21"/>
      <c r="I172" s="21"/>
      <c r="J172" s="33" t="s">
        <v>182</v>
      </c>
      <c r="K172" s="35">
        <v>7</v>
      </c>
      <c r="L172" s="35" t="s">
        <v>332</v>
      </c>
      <c r="M172" s="53" t="s">
        <v>349</v>
      </c>
      <c r="N172" s="53">
        <v>44480</v>
      </c>
      <c r="O172" s="35" t="s">
        <v>2341</v>
      </c>
      <c r="P172" s="35" t="s">
        <v>2342</v>
      </c>
      <c r="Q172" s="35"/>
      <c r="R172" s="35"/>
      <c r="S172" s="33"/>
      <c r="T172" s="33"/>
      <c r="U172" s="21"/>
    </row>
    <row r="173" spans="2:21" ht="14.25" customHeight="1">
      <c r="B173" s="232"/>
      <c r="C173" s="232"/>
      <c r="D173" s="255"/>
      <c r="E173" s="255"/>
      <c r="F173" s="262"/>
      <c r="G173" s="262"/>
      <c r="H173" s="21"/>
      <c r="I173" s="21"/>
      <c r="J173" s="33" t="s">
        <v>182</v>
      </c>
      <c r="K173" s="35">
        <v>8</v>
      </c>
      <c r="L173" s="35" t="s">
        <v>332</v>
      </c>
      <c r="M173" s="53" t="s">
        <v>349</v>
      </c>
      <c r="N173" s="53">
        <v>44483</v>
      </c>
      <c r="O173" s="35" t="s">
        <v>2362</v>
      </c>
      <c r="P173" s="35" t="s">
        <v>2363</v>
      </c>
      <c r="Q173" s="35"/>
      <c r="R173" s="35"/>
      <c r="S173" s="33"/>
      <c r="T173" s="33"/>
      <c r="U173" s="21"/>
    </row>
    <row r="174" spans="2:21" ht="14.25" customHeight="1">
      <c r="B174" s="232"/>
      <c r="C174" s="232"/>
      <c r="D174" s="255"/>
      <c r="E174" s="255"/>
      <c r="F174" s="262"/>
      <c r="G174" s="262"/>
      <c r="H174" s="21"/>
      <c r="I174" s="21"/>
      <c r="J174" s="33"/>
      <c r="K174" s="35"/>
      <c r="L174" s="35"/>
      <c r="M174" s="53"/>
      <c r="N174" s="53"/>
      <c r="O174" s="35"/>
      <c r="P174" s="35"/>
      <c r="Q174" s="35"/>
      <c r="R174" s="35"/>
      <c r="S174" s="33"/>
      <c r="T174" s="33"/>
      <c r="U174" s="21"/>
    </row>
    <row r="175" spans="2:21">
      <c r="B175" s="232"/>
      <c r="C175" s="232"/>
      <c r="D175" s="255"/>
      <c r="E175" s="255"/>
      <c r="F175" s="262"/>
      <c r="G175" s="262"/>
      <c r="H175" s="21" t="s">
        <v>183</v>
      </c>
      <c r="I175" s="21"/>
      <c r="J175" s="33" t="s">
        <v>213</v>
      </c>
      <c r="K175" s="35">
        <v>0</v>
      </c>
      <c r="L175" s="35" t="s">
        <v>333</v>
      </c>
      <c r="M175" s="53">
        <v>44069</v>
      </c>
      <c r="N175" s="53">
        <v>44071</v>
      </c>
      <c r="O175" s="35" t="s">
        <v>377</v>
      </c>
      <c r="P175" s="35" t="s">
        <v>351</v>
      </c>
      <c r="Q175" s="35"/>
      <c r="R175" s="35"/>
      <c r="S175" s="33"/>
      <c r="T175" s="33"/>
      <c r="U175" s="21"/>
    </row>
    <row r="176" spans="2:21">
      <c r="B176" s="232"/>
      <c r="C176" s="232"/>
      <c r="D176" s="255"/>
      <c r="E176" s="255"/>
      <c r="F176" s="262"/>
      <c r="G176" s="262"/>
      <c r="H176" s="21"/>
      <c r="I176" s="21"/>
      <c r="J176" s="33" t="s">
        <v>213</v>
      </c>
      <c r="K176" s="35">
        <v>2</v>
      </c>
      <c r="L176" s="35" t="s">
        <v>332</v>
      </c>
      <c r="M176" s="53" t="s">
        <v>349</v>
      </c>
      <c r="N176" s="53">
        <v>44148</v>
      </c>
      <c r="O176" s="35" t="s">
        <v>648</v>
      </c>
      <c r="P176" s="35" t="s">
        <v>649</v>
      </c>
      <c r="Q176" s="35"/>
      <c r="R176" s="35"/>
      <c r="S176" s="33"/>
      <c r="T176" s="33"/>
      <c r="U176" s="21"/>
    </row>
    <row r="177" spans="2:21" ht="14.25" customHeight="1">
      <c r="B177" s="232"/>
      <c r="C177" s="232"/>
      <c r="D177" s="255"/>
      <c r="E177" s="255"/>
      <c r="F177" s="262"/>
      <c r="G177" s="262"/>
      <c r="H177" s="21"/>
      <c r="I177" s="21"/>
      <c r="J177" s="33" t="s">
        <v>213</v>
      </c>
      <c r="K177" s="35">
        <v>3</v>
      </c>
      <c r="L177" s="35" t="s">
        <v>332</v>
      </c>
      <c r="M177" s="53" t="s">
        <v>349</v>
      </c>
      <c r="N177" s="53">
        <v>40191</v>
      </c>
      <c r="O177" s="35" t="s">
        <v>914</v>
      </c>
      <c r="P177" s="35" t="s">
        <v>915</v>
      </c>
      <c r="Q177" s="35"/>
      <c r="R177" s="35"/>
      <c r="S177" s="33"/>
      <c r="T177" s="33"/>
      <c r="U177" s="21"/>
    </row>
    <row r="178" spans="2:21" ht="14.25" customHeight="1">
      <c r="B178" s="232"/>
      <c r="C178" s="232"/>
      <c r="D178" s="255"/>
      <c r="E178" s="255"/>
      <c r="F178" s="262"/>
      <c r="G178" s="262"/>
      <c r="H178" s="21"/>
      <c r="I178" s="21"/>
      <c r="J178" s="33" t="s">
        <v>213</v>
      </c>
      <c r="K178" s="35">
        <v>4</v>
      </c>
      <c r="L178" s="35" t="s">
        <v>332</v>
      </c>
      <c r="M178" s="53" t="s">
        <v>349</v>
      </c>
      <c r="N178" s="53">
        <v>44250</v>
      </c>
      <c r="O178" s="35" t="s">
        <v>1153</v>
      </c>
      <c r="P178" s="35" t="s">
        <v>1154</v>
      </c>
      <c r="Q178" s="35"/>
      <c r="R178" s="35"/>
      <c r="S178" s="33"/>
      <c r="T178" s="33"/>
      <c r="U178" s="21"/>
    </row>
    <row r="179" spans="2:21" ht="14.25" customHeight="1">
      <c r="B179" s="232"/>
      <c r="C179" s="232"/>
      <c r="D179" s="255"/>
      <c r="E179" s="255"/>
      <c r="F179" s="262"/>
      <c r="G179" s="262"/>
      <c r="H179" s="21"/>
      <c r="I179" s="21"/>
      <c r="J179" s="33" t="s">
        <v>213</v>
      </c>
      <c r="K179" s="35">
        <v>5</v>
      </c>
      <c r="L179" s="35" t="s">
        <v>332</v>
      </c>
      <c r="M179" s="53" t="s">
        <v>349</v>
      </c>
      <c r="N179" s="53">
        <v>44273</v>
      </c>
      <c r="O179" s="35" t="s">
        <v>1259</v>
      </c>
      <c r="P179" s="35" t="s">
        <v>1260</v>
      </c>
      <c r="Q179" s="35"/>
      <c r="R179" s="35"/>
      <c r="S179" s="33"/>
      <c r="T179" s="33"/>
      <c r="U179" s="21"/>
    </row>
    <row r="180" spans="2:21" ht="14.25" customHeight="1">
      <c r="B180" s="232"/>
      <c r="C180" s="232"/>
      <c r="D180" s="255"/>
      <c r="E180" s="255"/>
      <c r="F180" s="262"/>
      <c r="G180" s="262"/>
      <c r="H180" s="21"/>
      <c r="I180" s="21"/>
      <c r="J180" s="33" t="s">
        <v>213</v>
      </c>
      <c r="K180" s="35">
        <v>6</v>
      </c>
      <c r="L180" s="35" t="s">
        <v>332</v>
      </c>
      <c r="M180" s="53" t="s">
        <v>349</v>
      </c>
      <c r="N180" s="53">
        <v>44291</v>
      </c>
      <c r="O180" s="35" t="s">
        <v>1382</v>
      </c>
      <c r="P180" s="35" t="s">
        <v>1383</v>
      </c>
      <c r="Q180" s="35"/>
      <c r="R180" s="35"/>
      <c r="S180" s="33"/>
      <c r="T180" s="33"/>
      <c r="U180" s="21"/>
    </row>
    <row r="181" spans="2:21" ht="14.25" customHeight="1">
      <c r="B181" s="232"/>
      <c r="C181" s="232"/>
      <c r="D181" s="255"/>
      <c r="E181" s="255"/>
      <c r="F181" s="262"/>
      <c r="G181" s="262"/>
      <c r="H181" s="21"/>
      <c r="I181" s="21"/>
      <c r="J181" s="33" t="s">
        <v>213</v>
      </c>
      <c r="K181" s="35">
        <v>7</v>
      </c>
      <c r="L181" s="35" t="s">
        <v>332</v>
      </c>
      <c r="M181" s="53" t="s">
        <v>349</v>
      </c>
      <c r="N181" s="53">
        <v>44480</v>
      </c>
      <c r="O181" s="35" t="s">
        <v>2341</v>
      </c>
      <c r="P181" s="35" t="s">
        <v>2342</v>
      </c>
      <c r="Q181" s="35"/>
      <c r="R181" s="35"/>
      <c r="S181" s="33"/>
      <c r="T181" s="33"/>
      <c r="U181" s="21"/>
    </row>
    <row r="182" spans="2:21" ht="14.25" customHeight="1">
      <c r="B182" s="232"/>
      <c r="C182" s="232"/>
      <c r="D182" s="255"/>
      <c r="E182" s="255"/>
      <c r="F182" s="262"/>
      <c r="G182" s="262"/>
      <c r="H182" s="21"/>
      <c r="I182" s="21"/>
      <c r="J182" s="33" t="s">
        <v>213</v>
      </c>
      <c r="K182" s="35">
        <v>8</v>
      </c>
      <c r="L182" s="35" t="s">
        <v>332</v>
      </c>
      <c r="M182" s="53" t="s">
        <v>349</v>
      </c>
      <c r="N182" s="53">
        <v>44483</v>
      </c>
      <c r="O182" s="35" t="s">
        <v>2362</v>
      </c>
      <c r="P182" s="35" t="s">
        <v>2363</v>
      </c>
      <c r="Q182" s="35"/>
      <c r="R182" s="35"/>
      <c r="S182" s="33"/>
      <c r="T182" s="33"/>
      <c r="U182" s="21"/>
    </row>
    <row r="183" spans="2:21" ht="14.25" customHeight="1">
      <c r="B183" s="232"/>
      <c r="C183" s="232"/>
      <c r="D183" s="255"/>
      <c r="E183" s="255"/>
      <c r="F183" s="262"/>
      <c r="G183" s="262"/>
      <c r="H183" s="21"/>
      <c r="I183" s="21"/>
      <c r="J183" s="33"/>
      <c r="K183" s="35"/>
      <c r="L183" s="35"/>
      <c r="M183" s="53"/>
      <c r="N183" s="53"/>
      <c r="O183" s="35"/>
      <c r="P183" s="35"/>
      <c r="Q183" s="35"/>
      <c r="R183" s="35"/>
      <c r="S183" s="33"/>
      <c r="T183" s="33"/>
      <c r="U183" s="21"/>
    </row>
    <row r="184" spans="2:21">
      <c r="B184" s="232"/>
      <c r="C184" s="232"/>
      <c r="D184" s="255"/>
      <c r="E184" s="255"/>
      <c r="F184" s="262"/>
      <c r="G184" s="262"/>
      <c r="H184" s="21" t="s">
        <v>184</v>
      </c>
      <c r="I184" s="21"/>
      <c r="J184" s="33" t="s">
        <v>215</v>
      </c>
      <c r="K184" s="35">
        <v>0</v>
      </c>
      <c r="L184" s="35" t="s">
        <v>333</v>
      </c>
      <c r="M184" s="53">
        <v>44069</v>
      </c>
      <c r="N184" s="53">
        <v>44071</v>
      </c>
      <c r="O184" s="35" t="s">
        <v>377</v>
      </c>
      <c r="P184" s="35" t="s">
        <v>351</v>
      </c>
      <c r="Q184" s="35"/>
      <c r="R184" s="35"/>
      <c r="S184" s="33"/>
      <c r="T184" s="33"/>
      <c r="U184" s="21"/>
    </row>
    <row r="185" spans="2:21">
      <c r="B185" s="232"/>
      <c r="C185" s="232"/>
      <c r="D185" s="255"/>
      <c r="E185" s="255"/>
      <c r="F185" s="262"/>
      <c r="G185" s="262"/>
      <c r="H185" s="21"/>
      <c r="I185" s="21"/>
      <c r="J185" s="33" t="s">
        <v>215</v>
      </c>
      <c r="K185" s="35">
        <v>2</v>
      </c>
      <c r="L185" s="35" t="s">
        <v>332</v>
      </c>
      <c r="M185" s="53" t="s">
        <v>349</v>
      </c>
      <c r="N185" s="53">
        <v>44148</v>
      </c>
      <c r="O185" s="35" t="s">
        <v>648</v>
      </c>
      <c r="P185" s="35" t="s">
        <v>649</v>
      </c>
      <c r="Q185" s="35"/>
      <c r="R185" s="35"/>
      <c r="S185" s="33"/>
      <c r="T185" s="33"/>
      <c r="U185" s="21"/>
    </row>
    <row r="186" spans="2:21" ht="14.25" customHeight="1">
      <c r="B186" s="232"/>
      <c r="C186" s="232"/>
      <c r="D186" s="255"/>
      <c r="E186" s="255"/>
      <c r="F186" s="262"/>
      <c r="G186" s="262"/>
      <c r="H186" s="74"/>
      <c r="I186" s="74"/>
      <c r="J186" s="75" t="s">
        <v>215</v>
      </c>
      <c r="K186" s="35">
        <v>3</v>
      </c>
      <c r="L186" s="35" t="s">
        <v>332</v>
      </c>
      <c r="M186" s="53" t="s">
        <v>349</v>
      </c>
      <c r="N186" s="53">
        <v>40191</v>
      </c>
      <c r="O186" s="35" t="s">
        <v>914</v>
      </c>
      <c r="P186" s="35" t="s">
        <v>915</v>
      </c>
      <c r="Q186" s="35"/>
      <c r="R186" s="35"/>
      <c r="S186" s="33"/>
      <c r="T186" s="33"/>
      <c r="U186" s="21"/>
    </row>
    <row r="187" spans="2:21" ht="14.25" customHeight="1">
      <c r="B187" s="232"/>
      <c r="C187" s="232"/>
      <c r="D187" s="255"/>
      <c r="E187" s="255"/>
      <c r="F187" s="262"/>
      <c r="G187" s="262"/>
      <c r="H187" s="21"/>
      <c r="I187" s="21"/>
      <c r="J187" s="75" t="s">
        <v>215</v>
      </c>
      <c r="K187" s="35">
        <v>4</v>
      </c>
      <c r="L187" s="35" t="s">
        <v>332</v>
      </c>
      <c r="M187" s="53" t="s">
        <v>349</v>
      </c>
      <c r="N187" s="53">
        <v>44250</v>
      </c>
      <c r="O187" s="35" t="s">
        <v>1153</v>
      </c>
      <c r="P187" s="35" t="s">
        <v>1154</v>
      </c>
      <c r="Q187" s="35"/>
      <c r="R187" s="35"/>
      <c r="S187" s="33"/>
      <c r="T187" s="33"/>
      <c r="U187" s="21"/>
    </row>
    <row r="188" spans="2:21" ht="14.25" customHeight="1">
      <c r="B188" s="232"/>
      <c r="C188" s="232"/>
      <c r="D188" s="255"/>
      <c r="E188" s="255"/>
      <c r="F188" s="262"/>
      <c r="G188" s="262"/>
      <c r="H188" s="21"/>
      <c r="I188" s="21"/>
      <c r="J188" s="75" t="s">
        <v>215</v>
      </c>
      <c r="K188" s="35">
        <v>5</v>
      </c>
      <c r="L188" s="35" t="s">
        <v>332</v>
      </c>
      <c r="M188" s="53" t="s">
        <v>349</v>
      </c>
      <c r="N188" s="53">
        <v>44273</v>
      </c>
      <c r="O188" s="35" t="s">
        <v>1259</v>
      </c>
      <c r="P188" s="35" t="s">
        <v>1260</v>
      </c>
      <c r="Q188" s="35"/>
      <c r="R188" s="35"/>
      <c r="S188" s="33"/>
      <c r="T188" s="33"/>
      <c r="U188" s="21"/>
    </row>
    <row r="189" spans="2:21" ht="14.25" customHeight="1">
      <c r="B189" s="232"/>
      <c r="C189" s="232"/>
      <c r="D189" s="255"/>
      <c r="E189" s="255"/>
      <c r="F189" s="262"/>
      <c r="G189" s="262"/>
      <c r="H189" s="21"/>
      <c r="I189" s="21"/>
      <c r="J189" s="75" t="s">
        <v>215</v>
      </c>
      <c r="K189" s="35">
        <v>6</v>
      </c>
      <c r="L189" s="35" t="s">
        <v>332</v>
      </c>
      <c r="M189" s="53" t="s">
        <v>349</v>
      </c>
      <c r="N189" s="53">
        <v>44291</v>
      </c>
      <c r="O189" s="35" t="s">
        <v>1382</v>
      </c>
      <c r="P189" s="35" t="s">
        <v>1383</v>
      </c>
      <c r="Q189" s="35"/>
      <c r="R189" s="35"/>
      <c r="S189" s="33"/>
      <c r="T189" s="33"/>
      <c r="U189" s="21"/>
    </row>
    <row r="190" spans="2:21" ht="14.25" customHeight="1">
      <c r="B190" s="232"/>
      <c r="C190" s="232"/>
      <c r="D190" s="255"/>
      <c r="E190" s="255"/>
      <c r="F190" s="262"/>
      <c r="G190" s="262"/>
      <c r="H190" s="21"/>
      <c r="I190" s="21"/>
      <c r="J190" s="75" t="s">
        <v>215</v>
      </c>
      <c r="K190" s="35">
        <v>7</v>
      </c>
      <c r="L190" s="35" t="s">
        <v>332</v>
      </c>
      <c r="M190" s="53" t="s">
        <v>349</v>
      </c>
      <c r="N190" s="53">
        <v>44480</v>
      </c>
      <c r="O190" s="35" t="s">
        <v>2341</v>
      </c>
      <c r="P190" s="35" t="s">
        <v>2342</v>
      </c>
      <c r="Q190" s="35"/>
      <c r="R190" s="35"/>
      <c r="S190" s="33"/>
      <c r="T190" s="33"/>
      <c r="U190" s="21"/>
    </row>
    <row r="191" spans="2:21" ht="14.25" customHeight="1">
      <c r="B191" s="232"/>
      <c r="C191" s="232"/>
      <c r="D191" s="255"/>
      <c r="E191" s="255"/>
      <c r="F191" s="262"/>
      <c r="G191" s="262"/>
      <c r="H191" s="21"/>
      <c r="I191" s="21"/>
      <c r="J191" s="75" t="s">
        <v>215</v>
      </c>
      <c r="K191" s="35">
        <v>8</v>
      </c>
      <c r="L191" s="35" t="s">
        <v>332</v>
      </c>
      <c r="M191" s="53" t="s">
        <v>349</v>
      </c>
      <c r="N191" s="53">
        <v>44483</v>
      </c>
      <c r="O191" s="35" t="s">
        <v>2362</v>
      </c>
      <c r="P191" s="35" t="s">
        <v>2363</v>
      </c>
      <c r="Q191" s="35"/>
      <c r="R191" s="35"/>
      <c r="S191" s="33"/>
      <c r="T191" s="33"/>
      <c r="U191" s="21"/>
    </row>
    <row r="192" spans="2:21" ht="14.25" customHeight="1">
      <c r="B192" s="232"/>
      <c r="C192" s="232"/>
      <c r="D192" s="255"/>
      <c r="E192" s="255"/>
      <c r="F192" s="264"/>
      <c r="G192" s="264"/>
      <c r="H192" s="21"/>
      <c r="I192" s="21"/>
      <c r="J192" s="33"/>
      <c r="K192" s="35"/>
      <c r="L192" s="35"/>
      <c r="M192" s="53"/>
      <c r="N192" s="53"/>
      <c r="O192" s="35"/>
      <c r="P192" s="35"/>
      <c r="Q192" s="35"/>
      <c r="R192" s="35"/>
      <c r="S192" s="33"/>
      <c r="T192" s="33"/>
      <c r="U192" s="21"/>
    </row>
    <row r="193" spans="2:21">
      <c r="B193" s="232"/>
      <c r="C193" s="232"/>
      <c r="D193" s="255"/>
      <c r="E193" s="255"/>
      <c r="F193" s="21" t="s">
        <v>29</v>
      </c>
      <c r="G193" s="256" t="s">
        <v>212</v>
      </c>
      <c r="H193" s="272"/>
      <c r="I193" s="272"/>
      <c r="J193" s="272"/>
      <c r="K193" s="272"/>
      <c r="L193" s="272"/>
      <c r="M193" s="272"/>
      <c r="N193" s="272"/>
      <c r="O193" s="272"/>
      <c r="Q193" s="35"/>
      <c r="R193" s="39"/>
      <c r="S193" s="21"/>
      <c r="T193" s="21"/>
      <c r="U193" s="21"/>
    </row>
    <row r="194" spans="2:21">
      <c r="B194" s="232"/>
      <c r="C194" s="232"/>
      <c r="D194" s="255"/>
      <c r="E194" s="255"/>
      <c r="F194" s="263"/>
      <c r="G194" s="263"/>
      <c r="H194" s="73" t="s">
        <v>176</v>
      </c>
      <c r="I194" s="73"/>
      <c r="J194" s="76" t="s">
        <v>179</v>
      </c>
      <c r="K194" s="35">
        <v>0</v>
      </c>
      <c r="L194" s="35" t="s">
        <v>333</v>
      </c>
      <c r="M194" s="53">
        <v>44069</v>
      </c>
      <c r="N194" s="53">
        <v>44071</v>
      </c>
      <c r="O194" s="35" t="s">
        <v>377</v>
      </c>
      <c r="P194" s="35" t="s">
        <v>351</v>
      </c>
      <c r="Q194" s="38"/>
      <c r="R194" s="35"/>
      <c r="S194" s="33"/>
      <c r="T194" s="33"/>
      <c r="U194" s="21"/>
    </row>
    <row r="195" spans="2:21">
      <c r="B195" s="232"/>
      <c r="C195" s="232"/>
      <c r="D195" s="255"/>
      <c r="E195" s="255"/>
      <c r="F195" s="262"/>
      <c r="G195" s="262"/>
      <c r="H195" s="21"/>
      <c r="I195" s="21"/>
      <c r="J195" s="33" t="s">
        <v>179</v>
      </c>
      <c r="K195" s="35">
        <v>2</v>
      </c>
      <c r="L195" s="35" t="s">
        <v>332</v>
      </c>
      <c r="M195" s="53" t="s">
        <v>349</v>
      </c>
      <c r="N195" s="53">
        <v>44148</v>
      </c>
      <c r="O195" s="35" t="s">
        <v>648</v>
      </c>
      <c r="P195" s="35" t="s">
        <v>649</v>
      </c>
      <c r="Q195" s="35"/>
      <c r="R195" s="35"/>
      <c r="S195" s="33"/>
      <c r="T195" s="33"/>
      <c r="U195" s="21"/>
    </row>
    <row r="196" spans="2:21">
      <c r="B196" s="232"/>
      <c r="C196" s="232"/>
      <c r="D196" s="255"/>
      <c r="E196" s="255"/>
      <c r="F196" s="262"/>
      <c r="G196" s="262"/>
      <c r="H196" s="21"/>
      <c r="I196" s="21"/>
      <c r="J196" s="33" t="s">
        <v>179</v>
      </c>
      <c r="K196" s="35">
        <v>3</v>
      </c>
      <c r="L196" s="35" t="s">
        <v>332</v>
      </c>
      <c r="M196" s="53" t="s">
        <v>349</v>
      </c>
      <c r="N196" s="53">
        <v>40191</v>
      </c>
      <c r="O196" s="35" t="s">
        <v>914</v>
      </c>
      <c r="P196" s="35" t="s">
        <v>915</v>
      </c>
      <c r="Q196" s="35"/>
      <c r="R196" s="35"/>
      <c r="S196" s="33"/>
      <c r="T196" s="33"/>
      <c r="U196" s="21"/>
    </row>
    <row r="197" spans="2:21">
      <c r="B197" s="232"/>
      <c r="C197" s="232"/>
      <c r="D197" s="255"/>
      <c r="E197" s="255"/>
      <c r="F197" s="262"/>
      <c r="G197" s="262"/>
      <c r="H197" s="21"/>
      <c r="I197" s="21"/>
      <c r="J197" s="33" t="s">
        <v>179</v>
      </c>
      <c r="K197" s="35">
        <v>4</v>
      </c>
      <c r="L197" s="35" t="s">
        <v>332</v>
      </c>
      <c r="M197" s="53" t="s">
        <v>349</v>
      </c>
      <c r="N197" s="53">
        <v>44250</v>
      </c>
      <c r="O197" s="35" t="s">
        <v>1153</v>
      </c>
      <c r="P197" s="35" t="s">
        <v>1154</v>
      </c>
      <c r="Q197" s="35"/>
      <c r="R197" s="35"/>
      <c r="S197" s="33"/>
      <c r="T197" s="33"/>
      <c r="U197" s="21"/>
    </row>
    <row r="198" spans="2:21">
      <c r="B198" s="232"/>
      <c r="C198" s="232"/>
      <c r="D198" s="255"/>
      <c r="E198" s="255"/>
      <c r="F198" s="262"/>
      <c r="G198" s="262"/>
      <c r="H198" s="21"/>
      <c r="I198" s="21"/>
      <c r="J198" s="33" t="s">
        <v>179</v>
      </c>
      <c r="K198" s="35">
        <v>5</v>
      </c>
      <c r="L198" s="35" t="s">
        <v>332</v>
      </c>
      <c r="M198" s="53" t="s">
        <v>349</v>
      </c>
      <c r="N198" s="53">
        <v>44273</v>
      </c>
      <c r="O198" s="35" t="s">
        <v>1259</v>
      </c>
      <c r="P198" s="35" t="s">
        <v>1260</v>
      </c>
      <c r="Q198" s="35"/>
      <c r="R198" s="35"/>
      <c r="S198" s="33"/>
      <c r="T198" s="33"/>
      <c r="U198" s="21"/>
    </row>
    <row r="199" spans="2:21">
      <c r="B199" s="232"/>
      <c r="C199" s="232"/>
      <c r="D199" s="255"/>
      <c r="E199" s="255"/>
      <c r="F199" s="262"/>
      <c r="G199" s="262"/>
      <c r="H199" s="21"/>
      <c r="I199" s="21"/>
      <c r="J199" s="33" t="s">
        <v>179</v>
      </c>
      <c r="K199" s="35">
        <v>6</v>
      </c>
      <c r="L199" s="35" t="s">
        <v>332</v>
      </c>
      <c r="M199" s="53" t="s">
        <v>349</v>
      </c>
      <c r="N199" s="53">
        <v>44291</v>
      </c>
      <c r="O199" s="35" t="s">
        <v>1382</v>
      </c>
      <c r="P199" s="35" t="s">
        <v>1383</v>
      </c>
      <c r="Q199" s="35"/>
      <c r="R199" s="35"/>
      <c r="S199" s="33"/>
      <c r="T199" s="33"/>
      <c r="U199" s="21"/>
    </row>
    <row r="200" spans="2:21">
      <c r="B200" s="232"/>
      <c r="C200" s="232"/>
      <c r="D200" s="255"/>
      <c r="E200" s="255"/>
      <c r="F200" s="262"/>
      <c r="G200" s="262"/>
      <c r="H200" s="21"/>
      <c r="I200" s="21"/>
      <c r="J200" s="33" t="s">
        <v>179</v>
      </c>
      <c r="K200" s="35">
        <v>7</v>
      </c>
      <c r="L200" s="35" t="s">
        <v>332</v>
      </c>
      <c r="M200" s="53" t="s">
        <v>349</v>
      </c>
      <c r="N200" s="53">
        <v>44480</v>
      </c>
      <c r="O200" s="35" t="s">
        <v>2341</v>
      </c>
      <c r="P200" s="35" t="s">
        <v>2342</v>
      </c>
      <c r="Q200" s="35"/>
      <c r="R200" s="35"/>
      <c r="S200" s="33"/>
      <c r="T200" s="33"/>
      <c r="U200" s="21"/>
    </row>
    <row r="201" spans="2:21">
      <c r="B201" s="232"/>
      <c r="C201" s="232"/>
      <c r="D201" s="255"/>
      <c r="E201" s="255"/>
      <c r="F201" s="262"/>
      <c r="G201" s="262"/>
      <c r="H201" s="21"/>
      <c r="I201" s="21"/>
      <c r="J201" s="33" t="s">
        <v>179</v>
      </c>
      <c r="K201" s="35">
        <v>8</v>
      </c>
      <c r="L201" s="35" t="s">
        <v>332</v>
      </c>
      <c r="M201" s="53" t="s">
        <v>349</v>
      </c>
      <c r="N201" s="53">
        <v>44483</v>
      </c>
      <c r="O201" s="35" t="s">
        <v>2362</v>
      </c>
      <c r="P201" s="35" t="s">
        <v>2363</v>
      </c>
      <c r="Q201" s="35"/>
      <c r="R201" s="35"/>
      <c r="S201" s="33"/>
      <c r="T201" s="33"/>
      <c r="U201" s="21"/>
    </row>
    <row r="202" spans="2:21">
      <c r="B202" s="232"/>
      <c r="C202" s="232"/>
      <c r="D202" s="255"/>
      <c r="E202" s="255"/>
      <c r="F202" s="264"/>
      <c r="G202" s="264"/>
      <c r="H202" s="21"/>
      <c r="I202" s="21"/>
      <c r="J202" s="33"/>
      <c r="K202" s="35"/>
      <c r="L202" s="35"/>
      <c r="M202" s="53"/>
      <c r="N202" s="53"/>
      <c r="O202" s="35"/>
      <c r="P202" s="35"/>
      <c r="Q202" s="35"/>
      <c r="R202" s="35"/>
      <c r="S202" s="33"/>
      <c r="T202" s="33"/>
      <c r="U202" s="21"/>
    </row>
    <row r="203" spans="2:21">
      <c r="B203" s="232"/>
      <c r="C203" s="232"/>
      <c r="D203" s="255"/>
      <c r="E203" s="255"/>
      <c r="F203" s="21" t="s">
        <v>35</v>
      </c>
      <c r="G203" s="256"/>
      <c r="H203" s="257"/>
      <c r="I203" s="257"/>
      <c r="J203" s="257"/>
      <c r="K203" s="257"/>
      <c r="L203" s="257"/>
      <c r="M203" s="257"/>
      <c r="N203" s="257"/>
      <c r="O203" s="257"/>
      <c r="P203" s="258"/>
      <c r="Q203" s="35"/>
      <c r="R203" s="39"/>
      <c r="S203" s="21"/>
      <c r="T203" s="21"/>
      <c r="U203" s="21"/>
    </row>
    <row r="204" spans="2:21">
      <c r="B204" s="232"/>
      <c r="C204" s="232"/>
      <c r="D204" s="255"/>
      <c r="E204" s="255"/>
      <c r="F204" s="255"/>
      <c r="G204" s="255"/>
      <c r="H204" s="38"/>
      <c r="I204" s="38"/>
      <c r="J204" s="38"/>
      <c r="K204" s="38"/>
      <c r="L204" s="39"/>
      <c r="M204" s="38"/>
      <c r="N204" s="39"/>
      <c r="O204" s="38"/>
      <c r="P204" s="38"/>
      <c r="Q204" s="38"/>
      <c r="R204" s="35"/>
      <c r="S204" s="33"/>
      <c r="T204" s="33"/>
      <c r="U204" s="21"/>
    </row>
    <row r="205" spans="2:21">
      <c r="B205" s="232"/>
      <c r="C205" s="232"/>
      <c r="D205" s="255"/>
      <c r="E205" s="255"/>
      <c r="F205" s="255"/>
      <c r="G205" s="255"/>
      <c r="H205" s="21"/>
      <c r="I205" s="21"/>
      <c r="J205" s="33"/>
      <c r="K205" s="35"/>
      <c r="L205" s="35"/>
      <c r="M205" s="33"/>
      <c r="N205" s="35"/>
      <c r="O205" s="35"/>
      <c r="P205" s="35"/>
      <c r="Q205" s="35"/>
      <c r="R205" s="35"/>
      <c r="S205" s="33"/>
      <c r="T205" s="33"/>
      <c r="U205" s="21"/>
    </row>
    <row r="206" spans="2:21" ht="28">
      <c r="B206" s="232"/>
      <c r="C206" s="232"/>
      <c r="D206" s="9" t="s">
        <v>52</v>
      </c>
      <c r="E206" s="227" t="s">
        <v>143</v>
      </c>
      <c r="F206" s="228"/>
      <c r="G206" s="228"/>
      <c r="H206" s="228"/>
      <c r="I206" s="228"/>
      <c r="J206" s="228"/>
      <c r="K206" s="228"/>
      <c r="L206" s="228"/>
      <c r="M206" s="228"/>
      <c r="N206" s="228"/>
      <c r="O206" s="228"/>
      <c r="P206" s="228"/>
      <c r="Q206" s="228"/>
      <c r="R206" s="228"/>
      <c r="S206" s="228"/>
      <c r="T206" s="229"/>
      <c r="U206" s="21"/>
    </row>
    <row r="207" spans="2:21">
      <c r="B207" s="232"/>
      <c r="C207" s="232"/>
      <c r="D207" s="255"/>
      <c r="E207" s="255"/>
      <c r="F207" s="21" t="s">
        <v>27</v>
      </c>
      <c r="G207" s="256" t="s">
        <v>175</v>
      </c>
      <c r="H207" s="257"/>
      <c r="I207" s="257"/>
      <c r="J207" s="257"/>
      <c r="K207" s="257"/>
      <c r="L207" s="257"/>
      <c r="M207" s="257"/>
      <c r="N207" s="257"/>
      <c r="O207" s="257"/>
      <c r="P207" s="257"/>
      <c r="Q207" s="258"/>
      <c r="R207" s="39" t="s">
        <v>26</v>
      </c>
      <c r="S207" s="21"/>
      <c r="T207" s="21"/>
      <c r="U207" s="21"/>
    </row>
    <row r="208" spans="2:21">
      <c r="B208" s="232"/>
      <c r="C208" s="232"/>
      <c r="D208" s="255"/>
      <c r="E208" s="255"/>
      <c r="F208" s="255"/>
      <c r="G208" s="255"/>
      <c r="H208" s="21" t="s">
        <v>176</v>
      </c>
      <c r="I208" s="21"/>
      <c r="J208" s="33" t="s">
        <v>214</v>
      </c>
      <c r="K208" s="35">
        <v>0</v>
      </c>
      <c r="L208" s="35" t="s">
        <v>332</v>
      </c>
      <c r="M208" s="53">
        <v>44069</v>
      </c>
      <c r="N208" s="53">
        <v>44071</v>
      </c>
      <c r="O208" s="35" t="s">
        <v>377</v>
      </c>
      <c r="P208" s="35" t="s">
        <v>351</v>
      </c>
      <c r="Q208" s="38"/>
      <c r="R208" s="35"/>
      <c r="S208" s="33"/>
      <c r="T208" s="33"/>
      <c r="U208" s="21"/>
    </row>
    <row r="209" spans="2:21">
      <c r="B209" s="232"/>
      <c r="C209" s="232"/>
      <c r="D209" s="255"/>
      <c r="E209" s="255"/>
      <c r="F209" s="255"/>
      <c r="G209" s="255"/>
      <c r="H209" s="21"/>
      <c r="I209" s="21"/>
      <c r="J209" s="33" t="s">
        <v>214</v>
      </c>
      <c r="K209" s="35">
        <v>2</v>
      </c>
      <c r="L209" s="35" t="s">
        <v>332</v>
      </c>
      <c r="M209" s="53" t="s">
        <v>349</v>
      </c>
      <c r="N209" s="53">
        <v>44148</v>
      </c>
      <c r="O209" s="35" t="s">
        <v>648</v>
      </c>
      <c r="P209" s="35" t="s">
        <v>649</v>
      </c>
      <c r="Q209" s="35"/>
      <c r="R209" s="35"/>
      <c r="S209" s="33"/>
      <c r="T209" s="33"/>
      <c r="U209" s="21"/>
    </row>
    <row r="210" spans="2:21">
      <c r="B210" s="232"/>
      <c r="C210" s="232"/>
      <c r="D210" s="255"/>
      <c r="E210" s="255"/>
      <c r="F210" s="255"/>
      <c r="G210" s="255"/>
      <c r="H210" s="21"/>
      <c r="I210" s="21"/>
      <c r="J210" s="33" t="s">
        <v>214</v>
      </c>
      <c r="K210" s="35">
        <v>3</v>
      </c>
      <c r="L210" s="35" t="s">
        <v>332</v>
      </c>
      <c r="M210" s="53" t="s">
        <v>349</v>
      </c>
      <c r="N210" s="53">
        <v>40191</v>
      </c>
      <c r="O210" s="35" t="s">
        <v>914</v>
      </c>
      <c r="P210" s="35" t="s">
        <v>915</v>
      </c>
      <c r="Q210" s="35"/>
      <c r="R210" s="35"/>
      <c r="S210" s="33"/>
      <c r="T210" s="33"/>
      <c r="U210" s="21"/>
    </row>
    <row r="211" spans="2:21">
      <c r="B211" s="232"/>
      <c r="C211" s="232"/>
      <c r="D211" s="255"/>
      <c r="E211" s="255"/>
      <c r="F211" s="255"/>
      <c r="G211" s="255"/>
      <c r="H211" s="21"/>
      <c r="I211" s="21"/>
      <c r="J211" s="33" t="s">
        <v>214</v>
      </c>
      <c r="K211" s="35">
        <v>7</v>
      </c>
      <c r="L211" s="35" t="s">
        <v>332</v>
      </c>
      <c r="M211" s="53" t="s">
        <v>349</v>
      </c>
      <c r="N211" s="53">
        <v>44480</v>
      </c>
      <c r="O211" s="35" t="s">
        <v>2341</v>
      </c>
      <c r="P211" s="35" t="s">
        <v>2342</v>
      </c>
      <c r="Q211" s="35"/>
      <c r="R211" s="35"/>
      <c r="S211" s="33"/>
      <c r="T211" s="33"/>
      <c r="U211" s="21"/>
    </row>
    <row r="212" spans="2:21">
      <c r="B212" s="232"/>
      <c r="C212" s="232"/>
      <c r="D212" s="255"/>
      <c r="E212" s="255"/>
      <c r="F212" s="255"/>
      <c r="G212" s="255"/>
      <c r="H212" s="21"/>
      <c r="I212" s="21"/>
      <c r="J212" s="33" t="s">
        <v>214</v>
      </c>
      <c r="K212" s="35">
        <v>8</v>
      </c>
      <c r="L212" s="35" t="s">
        <v>332</v>
      </c>
      <c r="M212" s="53" t="s">
        <v>349</v>
      </c>
      <c r="N212" s="53">
        <v>44483</v>
      </c>
      <c r="O212" s="35" t="s">
        <v>2362</v>
      </c>
      <c r="P212" s="35" t="s">
        <v>2363</v>
      </c>
      <c r="Q212" s="35"/>
      <c r="R212" s="35"/>
      <c r="S212" s="33"/>
      <c r="T212" s="33"/>
      <c r="U212" s="21"/>
    </row>
    <row r="213" spans="2:21">
      <c r="B213" s="232"/>
      <c r="C213" s="232"/>
      <c r="D213" s="255"/>
      <c r="E213" s="255"/>
      <c r="F213" s="255"/>
      <c r="G213" s="255"/>
      <c r="H213" s="21"/>
      <c r="I213" s="21"/>
      <c r="J213" s="21"/>
      <c r="K213" s="39"/>
      <c r="L213" s="39"/>
      <c r="M213" s="21"/>
      <c r="N213" s="39"/>
      <c r="O213" s="39"/>
      <c r="P213" s="39"/>
      <c r="Q213" s="35"/>
      <c r="R213" s="35"/>
      <c r="S213" s="33"/>
      <c r="T213" s="33"/>
      <c r="U213" s="21"/>
    </row>
    <row r="214" spans="2:21">
      <c r="B214" s="232"/>
      <c r="C214" s="232"/>
      <c r="D214" s="255"/>
      <c r="E214" s="255"/>
      <c r="F214" s="21" t="s">
        <v>29</v>
      </c>
      <c r="G214" s="256" t="s">
        <v>178</v>
      </c>
      <c r="H214" s="257"/>
      <c r="I214" s="257"/>
      <c r="J214" s="257"/>
      <c r="K214" s="257"/>
      <c r="L214" s="257"/>
      <c r="M214" s="257"/>
      <c r="N214" s="257"/>
      <c r="O214" s="257"/>
      <c r="P214" s="257"/>
      <c r="Q214" s="258"/>
      <c r="R214" s="39"/>
      <c r="S214" s="21"/>
      <c r="T214" s="21"/>
      <c r="U214" s="21"/>
    </row>
    <row r="215" spans="2:21">
      <c r="B215" s="232"/>
      <c r="C215" s="232"/>
      <c r="D215" s="255"/>
      <c r="E215" s="255"/>
      <c r="F215" s="263"/>
      <c r="G215" s="273"/>
      <c r="H215" s="21" t="s">
        <v>176</v>
      </c>
      <c r="I215" s="21"/>
      <c r="J215" s="33" t="s">
        <v>216</v>
      </c>
      <c r="K215" s="35">
        <v>0</v>
      </c>
      <c r="L215" s="35" t="s">
        <v>333</v>
      </c>
      <c r="M215" s="53">
        <v>44069</v>
      </c>
      <c r="N215" s="53">
        <v>44071</v>
      </c>
      <c r="O215" s="35" t="s">
        <v>377</v>
      </c>
      <c r="P215" s="35" t="s">
        <v>351</v>
      </c>
      <c r="Q215" s="38"/>
      <c r="R215" s="35"/>
      <c r="S215" s="33"/>
      <c r="T215" s="33"/>
      <c r="U215" s="21"/>
    </row>
    <row r="216" spans="2:21">
      <c r="B216" s="232"/>
      <c r="C216" s="232"/>
      <c r="D216" s="255"/>
      <c r="E216" s="255"/>
      <c r="F216" s="262"/>
      <c r="G216" s="274"/>
      <c r="H216" s="21"/>
      <c r="I216" s="21"/>
      <c r="J216" s="33" t="s">
        <v>216</v>
      </c>
      <c r="K216" s="35">
        <v>2</v>
      </c>
      <c r="L216" s="35" t="s">
        <v>332</v>
      </c>
      <c r="M216" s="53" t="s">
        <v>349</v>
      </c>
      <c r="N216" s="53">
        <v>44148</v>
      </c>
      <c r="O216" s="35" t="s">
        <v>648</v>
      </c>
      <c r="P216" s="35" t="s">
        <v>649</v>
      </c>
      <c r="Q216" s="35"/>
      <c r="R216" s="35"/>
      <c r="S216" s="33"/>
      <c r="T216" s="33"/>
      <c r="U216" s="21"/>
    </row>
    <row r="217" spans="2:21">
      <c r="B217" s="232"/>
      <c r="C217" s="232"/>
      <c r="D217" s="255"/>
      <c r="E217" s="255"/>
      <c r="F217" s="262"/>
      <c r="G217" s="274"/>
      <c r="H217" s="21"/>
      <c r="I217" s="21"/>
      <c r="J217" s="33" t="s">
        <v>216</v>
      </c>
      <c r="K217" s="35">
        <v>3</v>
      </c>
      <c r="L217" s="35" t="s">
        <v>332</v>
      </c>
      <c r="M217" s="53" t="s">
        <v>349</v>
      </c>
      <c r="N217" s="53">
        <v>40191</v>
      </c>
      <c r="O217" s="35" t="s">
        <v>914</v>
      </c>
      <c r="P217" s="35" t="s">
        <v>915</v>
      </c>
      <c r="Q217" s="35"/>
      <c r="R217" s="35"/>
      <c r="S217" s="33"/>
      <c r="T217" s="33"/>
      <c r="U217" s="21"/>
    </row>
    <row r="218" spans="2:21">
      <c r="B218" s="232"/>
      <c r="C218" s="232"/>
      <c r="D218" s="255"/>
      <c r="E218" s="255"/>
      <c r="F218" s="262"/>
      <c r="G218" s="274"/>
      <c r="H218" s="21"/>
      <c r="I218" s="21"/>
      <c r="J218" s="33" t="s">
        <v>216</v>
      </c>
      <c r="K218" s="35">
        <v>7</v>
      </c>
      <c r="L218" s="35" t="s">
        <v>332</v>
      </c>
      <c r="M218" s="53" t="s">
        <v>349</v>
      </c>
      <c r="N218" s="53">
        <v>44480</v>
      </c>
      <c r="O218" s="35" t="s">
        <v>2341</v>
      </c>
      <c r="P218" s="35" t="s">
        <v>2342</v>
      </c>
      <c r="Q218" s="35"/>
      <c r="R218" s="35"/>
      <c r="S218" s="33"/>
      <c r="T218" s="33"/>
      <c r="U218" s="21"/>
    </row>
    <row r="219" spans="2:21">
      <c r="B219" s="232"/>
      <c r="C219" s="232"/>
      <c r="D219" s="255"/>
      <c r="E219" s="255"/>
      <c r="F219" s="262"/>
      <c r="G219" s="274"/>
      <c r="H219" s="21"/>
      <c r="I219" s="21"/>
      <c r="J219" s="33" t="s">
        <v>216</v>
      </c>
      <c r="K219" s="35">
        <v>8</v>
      </c>
      <c r="L219" s="35" t="s">
        <v>332</v>
      </c>
      <c r="M219" s="53" t="s">
        <v>349</v>
      </c>
      <c r="N219" s="53">
        <v>44483</v>
      </c>
      <c r="O219" s="35" t="s">
        <v>2362</v>
      </c>
      <c r="P219" s="35" t="s">
        <v>2363</v>
      </c>
      <c r="Q219" s="35"/>
      <c r="R219" s="35"/>
      <c r="S219" s="33"/>
      <c r="T219" s="33"/>
      <c r="U219" s="21"/>
    </row>
    <row r="220" spans="2:21">
      <c r="B220" s="232"/>
      <c r="C220" s="232"/>
      <c r="D220" s="255"/>
      <c r="E220" s="255"/>
      <c r="F220" s="264"/>
      <c r="G220" s="275"/>
      <c r="H220" s="21"/>
      <c r="I220" s="21"/>
      <c r="J220" s="33"/>
      <c r="K220" s="35"/>
      <c r="L220" s="35"/>
      <c r="M220" s="53"/>
      <c r="N220" s="53"/>
      <c r="O220" s="35"/>
      <c r="P220" s="35"/>
      <c r="Q220" s="35"/>
      <c r="R220" s="35"/>
      <c r="S220" s="33"/>
      <c r="T220" s="33"/>
      <c r="U220" s="21"/>
    </row>
    <row r="221" spans="2:21">
      <c r="B221" s="232"/>
      <c r="C221" s="232"/>
      <c r="D221" s="255"/>
      <c r="E221" s="255"/>
      <c r="F221" s="21" t="s">
        <v>35</v>
      </c>
      <c r="G221" s="256"/>
      <c r="H221" s="257"/>
      <c r="I221" s="257"/>
      <c r="J221" s="257"/>
      <c r="K221" s="257"/>
      <c r="L221" s="257"/>
      <c r="M221" s="257"/>
      <c r="N221" s="257"/>
      <c r="O221" s="257"/>
      <c r="P221" s="257"/>
      <c r="Q221" s="258"/>
      <c r="R221" s="39"/>
      <c r="S221" s="21"/>
      <c r="T221" s="21"/>
      <c r="U221" s="21"/>
    </row>
    <row r="222" spans="2:21">
      <c r="B222" s="232"/>
      <c r="C222" s="232"/>
      <c r="D222" s="255"/>
      <c r="E222" s="255"/>
      <c r="F222" s="255"/>
      <c r="G222" s="255"/>
      <c r="H222" s="38"/>
      <c r="I222" s="38"/>
      <c r="J222" s="38"/>
      <c r="K222" s="38"/>
      <c r="L222" s="39"/>
      <c r="M222" s="38"/>
      <c r="N222" s="39"/>
      <c r="O222" s="38"/>
      <c r="P222" s="38"/>
      <c r="Q222" s="38"/>
      <c r="R222" s="35"/>
      <c r="S222" s="33"/>
      <c r="T222" s="33"/>
      <c r="U222" s="21"/>
    </row>
    <row r="223" spans="2:21">
      <c r="B223" s="232"/>
      <c r="C223" s="232"/>
      <c r="D223" s="255"/>
      <c r="E223" s="255"/>
      <c r="F223" s="255"/>
      <c r="G223" s="255"/>
      <c r="H223" s="21"/>
      <c r="I223" s="21"/>
      <c r="J223" s="33"/>
      <c r="K223" s="35"/>
      <c r="L223" s="35"/>
      <c r="M223" s="33"/>
      <c r="N223" s="35"/>
      <c r="O223" s="35"/>
      <c r="P223" s="35"/>
      <c r="Q223" s="35"/>
      <c r="R223" s="35"/>
      <c r="S223" s="33"/>
      <c r="T223" s="33"/>
      <c r="U223" s="21"/>
    </row>
    <row r="224" spans="2:21" ht="12.75" customHeight="1">
      <c r="B224" s="232"/>
      <c r="C224" s="232"/>
      <c r="D224" s="39" t="s">
        <v>42</v>
      </c>
      <c r="E224" s="227" t="s">
        <v>144</v>
      </c>
      <c r="F224" s="228"/>
      <c r="G224" s="228"/>
      <c r="H224" s="228"/>
      <c r="I224" s="228"/>
      <c r="J224" s="228"/>
      <c r="K224" s="228"/>
      <c r="L224" s="228"/>
      <c r="M224" s="228"/>
      <c r="N224" s="228"/>
      <c r="O224" s="228"/>
      <c r="P224" s="228"/>
      <c r="Q224" s="228"/>
      <c r="R224" s="228"/>
      <c r="S224" s="228"/>
      <c r="T224" s="229"/>
      <c r="U224" s="21"/>
    </row>
    <row r="225" spans="2:21">
      <c r="B225" s="232"/>
      <c r="C225" s="232"/>
      <c r="D225" s="255"/>
      <c r="E225" s="255"/>
      <c r="F225" s="21" t="s">
        <v>27</v>
      </c>
      <c r="G225" s="256" t="s">
        <v>1339</v>
      </c>
      <c r="H225" s="257"/>
      <c r="I225" s="257"/>
      <c r="J225" s="257"/>
      <c r="K225" s="257"/>
      <c r="L225" s="257"/>
      <c r="M225" s="257"/>
      <c r="N225" s="257"/>
      <c r="O225" s="257"/>
      <c r="P225" s="257"/>
      <c r="Q225" s="258"/>
      <c r="R225" s="39" t="s">
        <v>26</v>
      </c>
      <c r="S225" s="21"/>
      <c r="T225" s="21"/>
      <c r="U225" s="21"/>
    </row>
    <row r="226" spans="2:21" s="63" customFormat="1" ht="14">
      <c r="B226" s="232"/>
      <c r="C226" s="232"/>
      <c r="D226" s="255"/>
      <c r="E226" s="255"/>
      <c r="F226" s="255"/>
      <c r="G226" s="255"/>
      <c r="H226" s="21" t="s">
        <v>176</v>
      </c>
      <c r="I226" s="21"/>
      <c r="J226" s="7" t="s">
        <v>1324</v>
      </c>
      <c r="K226" s="35" t="s">
        <v>330</v>
      </c>
      <c r="L226" s="35" t="s">
        <v>333</v>
      </c>
      <c r="M226" s="53">
        <v>44007</v>
      </c>
      <c r="N226" s="53">
        <v>44007</v>
      </c>
      <c r="O226" s="35" t="s">
        <v>344</v>
      </c>
      <c r="P226" s="35" t="s">
        <v>335</v>
      </c>
      <c r="Q226" s="35"/>
      <c r="R226" s="62"/>
      <c r="S226" s="54"/>
      <c r="T226" s="54"/>
      <c r="U226" s="54"/>
    </row>
    <row r="227" spans="2:21" s="63" customFormat="1" ht="12.75" customHeight="1">
      <c r="B227" s="232"/>
      <c r="C227" s="232"/>
      <c r="D227" s="255"/>
      <c r="E227" s="255"/>
      <c r="F227" s="255"/>
      <c r="G227" s="255"/>
      <c r="H227" s="61"/>
      <c r="I227" s="100"/>
      <c r="J227" s="266"/>
      <c r="K227" s="267"/>
      <c r="L227" s="267"/>
      <c r="M227" s="267"/>
      <c r="N227" s="267"/>
      <c r="O227" s="267"/>
      <c r="P227" s="268"/>
      <c r="Q227" s="62"/>
      <c r="R227" s="62"/>
      <c r="S227" s="54"/>
      <c r="T227" s="54"/>
      <c r="U227" s="54"/>
    </row>
    <row r="228" spans="2:21" s="63" customFormat="1" ht="14">
      <c r="B228" s="232"/>
      <c r="C228" s="232"/>
      <c r="D228" s="255"/>
      <c r="E228" s="255"/>
      <c r="F228" s="255"/>
      <c r="G228" s="255"/>
      <c r="H228" s="61"/>
      <c r="I228" s="72" t="s">
        <v>807</v>
      </c>
      <c r="J228" s="101" t="s">
        <v>1322</v>
      </c>
      <c r="K228" s="62" t="s">
        <v>330</v>
      </c>
      <c r="L228" s="62" t="s">
        <v>333</v>
      </c>
      <c r="M228" s="55" t="s">
        <v>349</v>
      </c>
      <c r="N228" s="55">
        <v>44164</v>
      </c>
      <c r="O228" s="12" t="s">
        <v>687</v>
      </c>
      <c r="P228" s="62" t="s">
        <v>679</v>
      </c>
      <c r="Q228" s="62"/>
      <c r="R228" s="62"/>
      <c r="S228" s="54"/>
      <c r="T228" s="54"/>
      <c r="U228" s="54"/>
    </row>
    <row r="229" spans="2:21" s="63" customFormat="1" ht="14">
      <c r="B229" s="232"/>
      <c r="C229" s="232"/>
      <c r="D229" s="255"/>
      <c r="E229" s="255"/>
      <c r="F229" s="255"/>
      <c r="G229" s="255"/>
      <c r="H229" s="61"/>
      <c r="I229" s="72"/>
      <c r="J229" s="4"/>
      <c r="K229" s="62" t="s">
        <v>758</v>
      </c>
      <c r="L229" s="62" t="s">
        <v>332</v>
      </c>
      <c r="M229" s="55">
        <v>44071</v>
      </c>
      <c r="N229" s="55">
        <v>44176</v>
      </c>
      <c r="O229" s="12" t="s">
        <v>687</v>
      </c>
      <c r="P229" s="62" t="s">
        <v>757</v>
      </c>
      <c r="Q229" s="62"/>
      <c r="R229" s="62"/>
      <c r="S229" s="54"/>
      <c r="T229" s="54"/>
      <c r="U229" s="54"/>
    </row>
    <row r="230" spans="2:21" s="63" customFormat="1" ht="14">
      <c r="B230" s="232"/>
      <c r="C230" s="232"/>
      <c r="D230" s="255"/>
      <c r="E230" s="255"/>
      <c r="F230" s="255"/>
      <c r="G230" s="255"/>
      <c r="H230" s="61"/>
      <c r="I230" s="72"/>
      <c r="J230" s="4"/>
      <c r="K230" s="62" t="s">
        <v>1164</v>
      </c>
      <c r="L230" s="62" t="s">
        <v>332</v>
      </c>
      <c r="M230" s="55" t="s">
        <v>349</v>
      </c>
      <c r="N230" s="55">
        <v>44253</v>
      </c>
      <c r="O230" s="12" t="s">
        <v>687</v>
      </c>
      <c r="P230" s="62" t="s">
        <v>1165</v>
      </c>
      <c r="Q230" s="62"/>
      <c r="R230" s="62"/>
      <c r="S230" s="54"/>
      <c r="T230" s="54"/>
      <c r="U230" s="54"/>
    </row>
    <row r="231" spans="2:21" s="63" customFormat="1" ht="14">
      <c r="B231" s="232"/>
      <c r="C231" s="232"/>
      <c r="D231" s="255"/>
      <c r="E231" s="255"/>
      <c r="F231" s="255"/>
      <c r="G231" s="255"/>
      <c r="H231" s="61"/>
      <c r="I231" s="72"/>
      <c r="J231" s="4"/>
      <c r="K231" s="62" t="s">
        <v>1706</v>
      </c>
      <c r="L231" s="62" t="s">
        <v>332</v>
      </c>
      <c r="M231" s="55" t="s">
        <v>349</v>
      </c>
      <c r="N231" s="55">
        <v>44334</v>
      </c>
      <c r="O231" s="12" t="s">
        <v>687</v>
      </c>
      <c r="P231" s="62" t="s">
        <v>1707</v>
      </c>
      <c r="Q231" s="62"/>
      <c r="R231" s="62"/>
      <c r="S231" s="54"/>
      <c r="T231" s="54"/>
      <c r="U231" s="54"/>
    </row>
    <row r="232" spans="2:21" s="63" customFormat="1" ht="14">
      <c r="B232" s="232"/>
      <c r="C232" s="232"/>
      <c r="D232" s="255"/>
      <c r="E232" s="255"/>
      <c r="F232" s="255"/>
      <c r="G232" s="255"/>
      <c r="H232" s="61"/>
      <c r="I232" s="72"/>
      <c r="J232" s="4"/>
      <c r="K232" s="62" t="s">
        <v>1706</v>
      </c>
      <c r="L232" s="62" t="s">
        <v>332</v>
      </c>
      <c r="M232" s="55" t="s">
        <v>349</v>
      </c>
      <c r="N232" s="55">
        <v>44372</v>
      </c>
      <c r="O232" s="12" t="s">
        <v>687</v>
      </c>
      <c r="P232" s="62" t="s">
        <v>1863</v>
      </c>
      <c r="Q232" s="62"/>
      <c r="R232" s="62"/>
      <c r="S232" s="54"/>
      <c r="T232" s="54" t="s">
        <v>1864</v>
      </c>
      <c r="U232" s="54"/>
    </row>
    <row r="233" spans="2:21" s="63" customFormat="1" ht="14">
      <c r="B233" s="232"/>
      <c r="C233" s="232"/>
      <c r="D233" s="255"/>
      <c r="E233" s="255"/>
      <c r="F233" s="255"/>
      <c r="G233" s="255"/>
      <c r="H233" s="61"/>
      <c r="I233" s="72"/>
      <c r="J233" s="4"/>
      <c r="K233" s="62" t="s">
        <v>1865</v>
      </c>
      <c r="L233" s="62" t="s">
        <v>332</v>
      </c>
      <c r="M233" s="55" t="s">
        <v>349</v>
      </c>
      <c r="N233" s="55">
        <v>44418</v>
      </c>
      <c r="O233" s="12" t="s">
        <v>687</v>
      </c>
      <c r="P233" s="62" t="s">
        <v>2094</v>
      </c>
      <c r="Q233" s="62"/>
      <c r="R233" s="62"/>
      <c r="S233" s="54"/>
      <c r="T233" s="54"/>
      <c r="U233" s="54"/>
    </row>
    <row r="234" spans="2:21" s="63" customFormat="1" ht="14">
      <c r="B234" s="232"/>
      <c r="C234" s="232"/>
      <c r="D234" s="255"/>
      <c r="E234" s="255"/>
      <c r="F234" s="255"/>
      <c r="G234" s="255"/>
      <c r="H234" s="61"/>
      <c r="I234" s="72"/>
      <c r="J234" s="4"/>
      <c r="K234" s="62" t="s">
        <v>2095</v>
      </c>
      <c r="L234" s="62" t="s">
        <v>332</v>
      </c>
      <c r="M234" s="55" t="s">
        <v>349</v>
      </c>
      <c r="N234" s="55">
        <v>44505</v>
      </c>
      <c r="O234" s="12" t="s">
        <v>687</v>
      </c>
      <c r="P234" s="62" t="s">
        <v>2432</v>
      </c>
      <c r="Q234" s="62"/>
      <c r="R234" s="62"/>
      <c r="S234" s="54"/>
      <c r="T234" s="54"/>
      <c r="U234" s="54"/>
    </row>
    <row r="235" spans="2:21" s="63" customFormat="1" ht="14">
      <c r="B235" s="232"/>
      <c r="C235" s="232"/>
      <c r="D235" s="255"/>
      <c r="E235" s="255"/>
      <c r="F235" s="255"/>
      <c r="G235" s="255"/>
      <c r="H235" s="61"/>
      <c r="I235" s="72"/>
      <c r="J235" s="4"/>
      <c r="K235" s="62" t="s">
        <v>2096</v>
      </c>
      <c r="L235" s="62" t="s">
        <v>332</v>
      </c>
      <c r="M235" s="55" t="s">
        <v>349</v>
      </c>
      <c r="N235" s="55">
        <v>44665</v>
      </c>
      <c r="O235" s="12" t="s">
        <v>687</v>
      </c>
      <c r="P235" s="62" t="s">
        <v>2860</v>
      </c>
      <c r="Q235" s="62"/>
      <c r="R235" s="62"/>
      <c r="S235" s="54"/>
      <c r="T235" s="54"/>
      <c r="U235" s="54"/>
    </row>
    <row r="236" spans="2:21" s="63" customFormat="1" ht="14">
      <c r="B236" s="232"/>
      <c r="C236" s="232"/>
      <c r="D236" s="255"/>
      <c r="E236" s="255"/>
      <c r="F236" s="255"/>
      <c r="G236" s="255"/>
      <c r="H236" s="61"/>
      <c r="I236" s="72"/>
      <c r="J236" s="4"/>
      <c r="K236" s="62" t="s">
        <v>2333</v>
      </c>
      <c r="L236" s="62" t="s">
        <v>332</v>
      </c>
      <c r="M236" s="55" t="s">
        <v>349</v>
      </c>
      <c r="N236" s="55">
        <v>44732</v>
      </c>
      <c r="O236" s="12" t="s">
        <v>687</v>
      </c>
      <c r="P236" s="62" t="s">
        <v>3020</v>
      </c>
      <c r="Q236" s="62"/>
      <c r="R236" s="62"/>
      <c r="S236" s="54"/>
      <c r="T236" s="54"/>
      <c r="U236" s="54"/>
    </row>
    <row r="237" spans="2:21" s="63" customFormat="1" ht="14">
      <c r="B237" s="232"/>
      <c r="C237" s="232"/>
      <c r="D237" s="255"/>
      <c r="E237" s="255"/>
      <c r="F237" s="255"/>
      <c r="G237" s="255"/>
      <c r="H237" s="61"/>
      <c r="I237" s="72"/>
      <c r="J237" s="4"/>
      <c r="K237" s="62" t="s">
        <v>2433</v>
      </c>
      <c r="L237" s="62" t="s">
        <v>332</v>
      </c>
      <c r="M237" s="55" t="s">
        <v>349</v>
      </c>
      <c r="N237" s="55">
        <v>44782</v>
      </c>
      <c r="O237" s="12" t="s">
        <v>687</v>
      </c>
      <c r="P237" s="62" t="s">
        <v>3185</v>
      </c>
      <c r="Q237" s="62"/>
      <c r="R237" s="62"/>
      <c r="S237" s="54"/>
      <c r="T237" s="54"/>
      <c r="U237" s="54"/>
    </row>
    <row r="238" spans="2:21" s="63" customFormat="1" ht="14">
      <c r="B238" s="232"/>
      <c r="C238" s="232"/>
      <c r="D238" s="255"/>
      <c r="E238" s="255"/>
      <c r="F238" s="255"/>
      <c r="G238" s="255"/>
      <c r="H238" s="61"/>
      <c r="I238" s="72"/>
      <c r="J238" s="4"/>
      <c r="K238" s="62" t="s">
        <v>2861</v>
      </c>
      <c r="L238" s="62" t="s">
        <v>332</v>
      </c>
      <c r="M238" s="55" t="s">
        <v>349</v>
      </c>
      <c r="N238" s="55">
        <v>45219</v>
      </c>
      <c r="O238" s="12" t="s">
        <v>687</v>
      </c>
      <c r="P238" s="62" t="s">
        <v>4051</v>
      </c>
      <c r="Q238" s="62"/>
      <c r="R238" s="62"/>
      <c r="S238" s="54"/>
      <c r="T238" s="54"/>
      <c r="U238" s="54"/>
    </row>
    <row r="239" spans="2:21" s="63" customFormat="1">
      <c r="B239" s="232"/>
      <c r="C239" s="232"/>
      <c r="D239" s="255"/>
      <c r="E239" s="255"/>
      <c r="F239" s="255"/>
      <c r="G239" s="255"/>
      <c r="H239" s="61"/>
      <c r="I239" s="72"/>
      <c r="J239" s="4"/>
      <c r="K239" s="62"/>
      <c r="L239" s="62"/>
      <c r="M239" s="55"/>
      <c r="N239" s="55"/>
      <c r="O239" s="12"/>
      <c r="P239" s="62"/>
      <c r="Q239" s="62"/>
      <c r="R239" s="62"/>
      <c r="S239" s="54"/>
      <c r="T239" s="54"/>
      <c r="U239" s="54"/>
    </row>
    <row r="240" spans="2:21" s="63" customFormat="1" ht="14">
      <c r="B240" s="232"/>
      <c r="C240" s="232"/>
      <c r="D240" s="255"/>
      <c r="E240" s="255"/>
      <c r="F240" s="255"/>
      <c r="G240" s="255"/>
      <c r="H240" s="61"/>
      <c r="I240" s="72" t="s">
        <v>808</v>
      </c>
      <c r="J240" s="101" t="s">
        <v>1323</v>
      </c>
      <c r="K240" s="62" t="s">
        <v>330</v>
      </c>
      <c r="L240" s="62" t="s">
        <v>333</v>
      </c>
      <c r="M240" s="55" t="s">
        <v>349</v>
      </c>
      <c r="N240" s="55">
        <v>44164</v>
      </c>
      <c r="O240" s="12" t="s">
        <v>689</v>
      </c>
      <c r="P240" s="62" t="s">
        <v>679</v>
      </c>
      <c r="Q240" s="62"/>
      <c r="R240" s="62"/>
      <c r="S240" s="54"/>
      <c r="T240" s="54"/>
      <c r="U240" s="54"/>
    </row>
    <row r="241" spans="2:21" ht="14">
      <c r="B241" s="232"/>
      <c r="C241" s="232"/>
      <c r="D241" s="255"/>
      <c r="E241" s="255"/>
      <c r="F241" s="255"/>
      <c r="G241" s="255"/>
      <c r="H241" s="61"/>
      <c r="I241" s="61"/>
      <c r="J241" s="4"/>
      <c r="K241" s="62" t="s">
        <v>758</v>
      </c>
      <c r="L241" s="62" t="s">
        <v>332</v>
      </c>
      <c r="M241" s="55">
        <v>44071</v>
      </c>
      <c r="N241" s="55">
        <v>44176</v>
      </c>
      <c r="O241" s="12" t="s">
        <v>689</v>
      </c>
      <c r="P241" s="62" t="s">
        <v>757</v>
      </c>
      <c r="Q241" s="62"/>
      <c r="R241" s="35"/>
      <c r="S241" s="33"/>
      <c r="T241" s="33"/>
      <c r="U241" s="33"/>
    </row>
    <row r="242" spans="2:21" ht="14">
      <c r="B242" s="232"/>
      <c r="C242" s="232"/>
      <c r="D242" s="255"/>
      <c r="E242" s="255"/>
      <c r="F242" s="255"/>
      <c r="G242" s="255"/>
      <c r="H242" s="61"/>
      <c r="I242" s="72"/>
      <c r="J242" s="4"/>
      <c r="K242" s="62" t="s">
        <v>1164</v>
      </c>
      <c r="L242" s="62" t="s">
        <v>332</v>
      </c>
      <c r="M242" s="55" t="s">
        <v>349</v>
      </c>
      <c r="N242" s="55">
        <v>44253</v>
      </c>
      <c r="O242" s="12" t="s">
        <v>689</v>
      </c>
      <c r="P242" s="62" t="s">
        <v>1165</v>
      </c>
      <c r="Q242" s="35"/>
      <c r="R242" s="35"/>
      <c r="S242" s="33"/>
      <c r="T242" s="33"/>
      <c r="U242" s="33"/>
    </row>
    <row r="243" spans="2:21" ht="14">
      <c r="B243" s="232"/>
      <c r="C243" s="232"/>
      <c r="D243" s="255"/>
      <c r="E243" s="255"/>
      <c r="F243" s="255"/>
      <c r="G243" s="255"/>
      <c r="H243" s="61"/>
      <c r="I243" s="72"/>
      <c r="J243" s="4"/>
      <c r="K243" s="62" t="s">
        <v>1706</v>
      </c>
      <c r="L243" s="62" t="s">
        <v>332</v>
      </c>
      <c r="M243" s="55" t="s">
        <v>349</v>
      </c>
      <c r="N243" s="55">
        <v>44334</v>
      </c>
      <c r="O243" s="12" t="s">
        <v>689</v>
      </c>
      <c r="P243" s="62" t="s">
        <v>1707</v>
      </c>
      <c r="Q243" s="35"/>
      <c r="R243" s="35"/>
      <c r="S243" s="33"/>
      <c r="T243" s="33"/>
      <c r="U243" s="33"/>
    </row>
    <row r="244" spans="2:21" ht="14">
      <c r="B244" s="232"/>
      <c r="C244" s="232"/>
      <c r="D244" s="255"/>
      <c r="E244" s="255"/>
      <c r="F244" s="255"/>
      <c r="G244" s="255"/>
      <c r="H244" s="61"/>
      <c r="I244" s="72"/>
      <c r="J244" s="4"/>
      <c r="K244" s="62" t="s">
        <v>1865</v>
      </c>
      <c r="L244" s="62" t="s">
        <v>332</v>
      </c>
      <c r="M244" s="55" t="s">
        <v>349</v>
      </c>
      <c r="N244" s="55">
        <v>44372</v>
      </c>
      <c r="O244" s="12" t="s">
        <v>689</v>
      </c>
      <c r="P244" s="62" t="s">
        <v>1863</v>
      </c>
      <c r="Q244" s="35"/>
      <c r="R244" s="35"/>
      <c r="S244" s="33"/>
      <c r="T244" s="33"/>
      <c r="U244" s="33"/>
    </row>
    <row r="245" spans="2:21" ht="14">
      <c r="B245" s="232"/>
      <c r="C245" s="232"/>
      <c r="D245" s="255"/>
      <c r="E245" s="255"/>
      <c r="F245" s="255"/>
      <c r="G245" s="255"/>
      <c r="H245" s="61"/>
      <c r="I245" s="72"/>
      <c r="J245" s="4"/>
      <c r="K245" s="62" t="s">
        <v>2095</v>
      </c>
      <c r="L245" s="62" t="s">
        <v>332</v>
      </c>
      <c r="M245" s="55" t="s">
        <v>349</v>
      </c>
      <c r="N245" s="55">
        <v>44418</v>
      </c>
      <c r="O245" s="12" t="s">
        <v>689</v>
      </c>
      <c r="P245" s="62" t="s">
        <v>2094</v>
      </c>
      <c r="Q245" s="35"/>
      <c r="R245" s="35"/>
      <c r="S245" s="33"/>
      <c r="T245" s="33"/>
      <c r="U245" s="33"/>
    </row>
    <row r="246" spans="2:21" ht="14">
      <c r="B246" s="232"/>
      <c r="C246" s="232"/>
      <c r="D246" s="255"/>
      <c r="E246" s="255"/>
      <c r="F246" s="255"/>
      <c r="G246" s="255"/>
      <c r="H246" s="61"/>
      <c r="I246" s="72"/>
      <c r="J246" s="4"/>
      <c r="K246" s="62" t="s">
        <v>2096</v>
      </c>
      <c r="L246" s="62" t="s">
        <v>332</v>
      </c>
      <c r="M246" s="55" t="s">
        <v>349</v>
      </c>
      <c r="N246" s="55">
        <v>44474</v>
      </c>
      <c r="O246" s="12" t="s">
        <v>689</v>
      </c>
      <c r="P246" s="62" t="s">
        <v>2332</v>
      </c>
      <c r="Q246" s="35"/>
      <c r="R246" s="35"/>
      <c r="S246" s="33"/>
      <c r="T246" s="33"/>
      <c r="U246" s="33"/>
    </row>
    <row r="247" spans="2:21" ht="14">
      <c r="B247" s="232"/>
      <c r="C247" s="232"/>
      <c r="D247" s="255"/>
      <c r="E247" s="255"/>
      <c r="F247" s="255"/>
      <c r="G247" s="255"/>
      <c r="H247" s="61"/>
      <c r="I247" s="72"/>
      <c r="J247" s="4"/>
      <c r="K247" s="62" t="s">
        <v>2333</v>
      </c>
      <c r="L247" s="62" t="s">
        <v>332</v>
      </c>
      <c r="M247" s="55" t="s">
        <v>349</v>
      </c>
      <c r="N247" s="55">
        <v>44505</v>
      </c>
      <c r="O247" s="12" t="s">
        <v>689</v>
      </c>
      <c r="P247" s="62" t="s">
        <v>2432</v>
      </c>
      <c r="Q247" s="35"/>
      <c r="R247" s="35"/>
      <c r="S247" s="33"/>
      <c r="T247" s="33"/>
      <c r="U247" s="33"/>
    </row>
    <row r="248" spans="2:21" ht="14">
      <c r="B248" s="232"/>
      <c r="C248" s="232"/>
      <c r="D248" s="255"/>
      <c r="E248" s="255"/>
      <c r="F248" s="255"/>
      <c r="G248" s="255"/>
      <c r="H248" s="61"/>
      <c r="I248" s="72"/>
      <c r="J248" s="4"/>
      <c r="K248" s="62" t="s">
        <v>2861</v>
      </c>
      <c r="L248" s="62" t="s">
        <v>332</v>
      </c>
      <c r="M248" s="55" t="s">
        <v>349</v>
      </c>
      <c r="N248" s="55">
        <v>44665</v>
      </c>
      <c r="O248" s="12" t="s">
        <v>689</v>
      </c>
      <c r="P248" s="62" t="s">
        <v>2860</v>
      </c>
      <c r="Q248" s="35"/>
      <c r="R248" s="35"/>
      <c r="S248" s="33"/>
      <c r="T248" s="33"/>
      <c r="U248" s="33"/>
    </row>
    <row r="249" spans="2:21" ht="14">
      <c r="B249" s="232"/>
      <c r="C249" s="232"/>
      <c r="D249" s="255"/>
      <c r="E249" s="255"/>
      <c r="F249" s="255"/>
      <c r="G249" s="255"/>
      <c r="H249" s="61"/>
      <c r="I249" s="72"/>
      <c r="J249" s="4"/>
      <c r="K249" s="62" t="s">
        <v>3021</v>
      </c>
      <c r="L249" s="62" t="s">
        <v>332</v>
      </c>
      <c r="M249" s="55" t="s">
        <v>349</v>
      </c>
      <c r="N249" s="55">
        <v>44732</v>
      </c>
      <c r="O249" s="12" t="s">
        <v>689</v>
      </c>
      <c r="P249" s="62" t="s">
        <v>3020</v>
      </c>
      <c r="Q249" s="35"/>
      <c r="R249" s="35"/>
      <c r="S249" s="33"/>
      <c r="T249" s="33"/>
      <c r="U249" s="33"/>
    </row>
    <row r="250" spans="2:21" ht="14">
      <c r="B250" s="232"/>
      <c r="C250" s="232"/>
      <c r="D250" s="255"/>
      <c r="E250" s="255"/>
      <c r="F250" s="255"/>
      <c r="G250" s="255"/>
      <c r="H250" s="61"/>
      <c r="I250" s="72"/>
      <c r="J250" s="4"/>
      <c r="K250" s="62" t="s">
        <v>3186</v>
      </c>
      <c r="L250" s="62" t="s">
        <v>332</v>
      </c>
      <c r="M250" s="55" t="s">
        <v>349</v>
      </c>
      <c r="N250" s="55">
        <v>44782</v>
      </c>
      <c r="O250" s="12" t="s">
        <v>689</v>
      </c>
      <c r="P250" s="62" t="s">
        <v>3185</v>
      </c>
      <c r="Q250" s="35"/>
      <c r="R250" s="35"/>
      <c r="S250" s="33"/>
      <c r="T250" s="33"/>
      <c r="U250" s="33"/>
    </row>
    <row r="251" spans="2:21" ht="14">
      <c r="B251" s="232"/>
      <c r="C251" s="232"/>
      <c r="D251" s="255"/>
      <c r="E251" s="255"/>
      <c r="F251" s="255"/>
      <c r="G251" s="255"/>
      <c r="H251" s="61"/>
      <c r="I251" s="72"/>
      <c r="J251" s="4"/>
      <c r="K251" s="62" t="s">
        <v>3748</v>
      </c>
      <c r="L251" s="62" t="s">
        <v>332</v>
      </c>
      <c r="M251" s="55" t="s">
        <v>349</v>
      </c>
      <c r="N251" s="55">
        <v>45219</v>
      </c>
      <c r="O251" s="12" t="s">
        <v>689</v>
      </c>
      <c r="P251" s="62" t="s">
        <v>4051</v>
      </c>
      <c r="Q251" s="35"/>
      <c r="R251" s="35"/>
      <c r="S251" s="33"/>
      <c r="T251" s="33"/>
      <c r="U251" s="33"/>
    </row>
    <row r="252" spans="2:21">
      <c r="B252" s="232"/>
      <c r="C252" s="232"/>
      <c r="D252" s="255"/>
      <c r="E252" s="255"/>
      <c r="F252" s="255"/>
      <c r="G252" s="255"/>
      <c r="H252" s="61"/>
      <c r="I252" s="72"/>
      <c r="J252" s="4"/>
      <c r="K252" s="62"/>
      <c r="L252" s="62"/>
      <c r="M252" s="55"/>
      <c r="N252" s="55"/>
      <c r="O252" s="12"/>
      <c r="P252" s="62"/>
      <c r="Q252" s="35"/>
      <c r="R252" s="35"/>
      <c r="S252" s="33"/>
      <c r="T252" s="33"/>
      <c r="U252" s="33"/>
    </row>
    <row r="253" spans="2:21" ht="14">
      <c r="B253" s="232"/>
      <c r="C253" s="232"/>
      <c r="D253" s="255"/>
      <c r="E253" s="255"/>
      <c r="F253" s="255"/>
      <c r="G253" s="255"/>
      <c r="H253" s="61"/>
      <c r="I253" s="72" t="s">
        <v>809</v>
      </c>
      <c r="J253" s="101" t="s">
        <v>1325</v>
      </c>
      <c r="K253" s="62" t="s">
        <v>758</v>
      </c>
      <c r="L253" s="62" t="s">
        <v>332</v>
      </c>
      <c r="M253" s="55">
        <v>44071</v>
      </c>
      <c r="N253" s="55">
        <v>44176</v>
      </c>
      <c r="O253" s="12" t="s">
        <v>1326</v>
      </c>
      <c r="P253" s="62" t="s">
        <v>757</v>
      </c>
      <c r="Q253" s="35"/>
      <c r="R253" s="35"/>
      <c r="S253" s="33"/>
      <c r="T253" s="33"/>
      <c r="U253" s="33"/>
    </row>
    <row r="254" spans="2:21" ht="14">
      <c r="B254" s="232"/>
      <c r="C254" s="232"/>
      <c r="D254" s="255"/>
      <c r="E254" s="255"/>
      <c r="F254" s="255"/>
      <c r="G254" s="255"/>
      <c r="H254" s="61"/>
      <c r="I254" s="72"/>
      <c r="J254" s="4"/>
      <c r="K254" s="62" t="s">
        <v>1164</v>
      </c>
      <c r="L254" s="62" t="s">
        <v>332</v>
      </c>
      <c r="M254" s="55" t="s">
        <v>349</v>
      </c>
      <c r="N254" s="55">
        <v>44253</v>
      </c>
      <c r="O254" s="12" t="s">
        <v>1326</v>
      </c>
      <c r="P254" s="62" t="s">
        <v>1165</v>
      </c>
      <c r="Q254" s="35"/>
      <c r="R254" s="35"/>
      <c r="S254" s="33"/>
      <c r="T254" s="33"/>
      <c r="U254" s="33"/>
    </row>
    <row r="255" spans="2:21" ht="14">
      <c r="B255" s="232"/>
      <c r="C255" s="232"/>
      <c r="D255" s="255"/>
      <c r="E255" s="255"/>
      <c r="F255" s="255"/>
      <c r="G255" s="255"/>
      <c r="H255" s="61"/>
      <c r="I255" s="72"/>
      <c r="J255" s="4"/>
      <c r="K255" s="62" t="s">
        <v>1706</v>
      </c>
      <c r="L255" s="62" t="s">
        <v>332</v>
      </c>
      <c r="M255" s="55" t="s">
        <v>349</v>
      </c>
      <c r="N255" s="55">
        <v>44334</v>
      </c>
      <c r="O255" s="12" t="s">
        <v>1326</v>
      </c>
      <c r="P255" s="62" t="s">
        <v>1707</v>
      </c>
      <c r="Q255" s="35"/>
      <c r="R255" s="35"/>
      <c r="S255" s="33"/>
      <c r="T255" s="33"/>
      <c r="U255" s="33"/>
    </row>
    <row r="256" spans="2:21" ht="14">
      <c r="B256" s="232"/>
      <c r="C256" s="232"/>
      <c r="D256" s="255"/>
      <c r="E256" s="255"/>
      <c r="F256" s="255"/>
      <c r="G256" s="255"/>
      <c r="H256" s="61"/>
      <c r="I256" s="72"/>
      <c r="J256" s="4"/>
      <c r="K256" s="62" t="s">
        <v>1865</v>
      </c>
      <c r="L256" s="62" t="s">
        <v>332</v>
      </c>
      <c r="M256" s="55" t="s">
        <v>349</v>
      </c>
      <c r="N256" s="55">
        <v>44372</v>
      </c>
      <c r="O256" s="12" t="s">
        <v>1326</v>
      </c>
      <c r="P256" s="62" t="s">
        <v>1863</v>
      </c>
      <c r="Q256" s="35"/>
      <c r="R256" s="35"/>
      <c r="S256" s="33"/>
      <c r="T256" s="33"/>
      <c r="U256" s="33"/>
    </row>
    <row r="257" spans="2:21" ht="14">
      <c r="B257" s="232"/>
      <c r="C257" s="232"/>
      <c r="D257" s="255"/>
      <c r="E257" s="255"/>
      <c r="F257" s="255"/>
      <c r="G257" s="255"/>
      <c r="H257" s="61"/>
      <c r="I257" s="72"/>
      <c r="J257" s="4"/>
      <c r="K257" s="62" t="s">
        <v>2095</v>
      </c>
      <c r="L257" s="62" t="s">
        <v>332</v>
      </c>
      <c r="M257" s="55" t="s">
        <v>349</v>
      </c>
      <c r="N257" s="55">
        <v>44418</v>
      </c>
      <c r="O257" s="12" t="s">
        <v>1326</v>
      </c>
      <c r="P257" s="62" t="s">
        <v>2094</v>
      </c>
      <c r="Q257" s="35"/>
      <c r="R257" s="35"/>
      <c r="S257" s="33"/>
      <c r="T257" s="33"/>
      <c r="U257" s="33"/>
    </row>
    <row r="258" spans="2:21" ht="14">
      <c r="B258" s="232"/>
      <c r="C258" s="232"/>
      <c r="D258" s="255"/>
      <c r="E258" s="255"/>
      <c r="F258" s="255"/>
      <c r="G258" s="255"/>
      <c r="H258" s="61"/>
      <c r="I258" s="72"/>
      <c r="J258" s="4"/>
      <c r="K258" s="62" t="s">
        <v>2096</v>
      </c>
      <c r="L258" s="62" t="s">
        <v>332</v>
      </c>
      <c r="M258" s="55" t="s">
        <v>349</v>
      </c>
      <c r="N258" s="55">
        <v>44505</v>
      </c>
      <c r="O258" s="12" t="s">
        <v>1326</v>
      </c>
      <c r="P258" s="62" t="s">
        <v>2432</v>
      </c>
      <c r="Q258" s="35"/>
      <c r="R258" s="35"/>
      <c r="S258" s="33"/>
      <c r="T258" s="33"/>
      <c r="U258" s="33"/>
    </row>
    <row r="259" spans="2:21" ht="14">
      <c r="B259" s="232"/>
      <c r="C259" s="232"/>
      <c r="D259" s="255"/>
      <c r="E259" s="255"/>
      <c r="F259" s="255"/>
      <c r="G259" s="255"/>
      <c r="H259" s="61"/>
      <c r="I259" s="72"/>
      <c r="J259" s="4"/>
      <c r="K259" s="62" t="s">
        <v>2861</v>
      </c>
      <c r="L259" s="62" t="s">
        <v>332</v>
      </c>
      <c r="M259" s="55" t="s">
        <v>349</v>
      </c>
      <c r="N259" s="55">
        <v>44732</v>
      </c>
      <c r="O259" s="12" t="s">
        <v>1326</v>
      </c>
      <c r="P259" s="62" t="s">
        <v>3020</v>
      </c>
      <c r="Q259" s="35"/>
      <c r="R259" s="35"/>
      <c r="S259" s="33"/>
      <c r="T259" s="33"/>
      <c r="U259" s="33"/>
    </row>
    <row r="260" spans="2:21" ht="14">
      <c r="B260" s="232"/>
      <c r="C260" s="232"/>
      <c r="D260" s="255"/>
      <c r="E260" s="255"/>
      <c r="F260" s="255"/>
      <c r="G260" s="255"/>
      <c r="H260" s="61"/>
      <c r="I260" s="72"/>
      <c r="J260" s="4"/>
      <c r="K260" s="62" t="s">
        <v>3021</v>
      </c>
      <c r="L260" s="62" t="s">
        <v>332</v>
      </c>
      <c r="M260" s="55" t="s">
        <v>349</v>
      </c>
      <c r="N260" s="55">
        <v>44782</v>
      </c>
      <c r="O260" s="12" t="s">
        <v>1326</v>
      </c>
      <c r="P260" s="62" t="s">
        <v>3185</v>
      </c>
      <c r="Q260" s="35"/>
      <c r="R260" s="35"/>
      <c r="S260" s="33"/>
      <c r="T260" s="33"/>
      <c r="U260" s="33"/>
    </row>
    <row r="261" spans="2:21" ht="14">
      <c r="B261" s="232"/>
      <c r="C261" s="232"/>
      <c r="D261" s="255"/>
      <c r="E261" s="255"/>
      <c r="F261" s="255"/>
      <c r="G261" s="255"/>
      <c r="H261" s="61"/>
      <c r="I261" s="72"/>
      <c r="J261" s="4"/>
      <c r="K261" s="62" t="s">
        <v>3186</v>
      </c>
      <c r="L261" s="62" t="s">
        <v>332</v>
      </c>
      <c r="M261" s="55" t="s">
        <v>349</v>
      </c>
      <c r="N261" s="55">
        <v>44858</v>
      </c>
      <c r="O261" s="12" t="s">
        <v>1326</v>
      </c>
      <c r="P261" s="62" t="s">
        <v>3309</v>
      </c>
      <c r="Q261" s="35"/>
      <c r="R261" s="35"/>
      <c r="S261" s="33"/>
      <c r="T261" s="33"/>
      <c r="U261" s="33"/>
    </row>
    <row r="262" spans="2:21" ht="14">
      <c r="B262" s="232"/>
      <c r="C262" s="232"/>
      <c r="D262" s="255"/>
      <c r="E262" s="255"/>
      <c r="F262" s="255"/>
      <c r="G262" s="255"/>
      <c r="H262" s="61"/>
      <c r="I262" s="72"/>
      <c r="J262" s="4"/>
      <c r="K262" s="62" t="s">
        <v>3748</v>
      </c>
      <c r="L262" s="62" t="s">
        <v>332</v>
      </c>
      <c r="M262" s="55" t="s">
        <v>349</v>
      </c>
      <c r="N262" s="55">
        <v>45058</v>
      </c>
      <c r="O262" s="12" t="s">
        <v>1326</v>
      </c>
      <c r="P262" s="62" t="s">
        <v>3749</v>
      </c>
      <c r="Q262" s="35"/>
      <c r="R262" s="35"/>
      <c r="S262" s="33"/>
      <c r="T262" s="33"/>
      <c r="U262" s="33"/>
    </row>
    <row r="263" spans="2:21" ht="14">
      <c r="B263" s="232"/>
      <c r="C263" s="232"/>
      <c r="D263" s="255"/>
      <c r="E263" s="255"/>
      <c r="F263" s="255"/>
      <c r="G263" s="255"/>
      <c r="H263" s="61"/>
      <c r="I263" s="72"/>
      <c r="J263" s="4"/>
      <c r="K263" s="62" t="s">
        <v>4052</v>
      </c>
      <c r="L263" s="62" t="s">
        <v>332</v>
      </c>
      <c r="M263" s="55" t="s">
        <v>349</v>
      </c>
      <c r="N263" s="55">
        <v>45219</v>
      </c>
      <c r="O263" s="12" t="s">
        <v>1326</v>
      </c>
      <c r="P263" s="62" t="s">
        <v>4051</v>
      </c>
      <c r="Q263" s="35"/>
      <c r="R263" s="35"/>
      <c r="S263" s="33"/>
      <c r="T263" s="33"/>
      <c r="U263" s="33"/>
    </row>
    <row r="264" spans="2:21">
      <c r="B264" s="232"/>
      <c r="C264" s="232"/>
      <c r="D264" s="255"/>
      <c r="E264" s="255"/>
      <c r="F264" s="255"/>
      <c r="G264" s="255"/>
      <c r="H264" s="61"/>
      <c r="I264" s="72"/>
      <c r="J264" s="4"/>
      <c r="K264" s="62"/>
      <c r="L264" s="62"/>
      <c r="M264" s="55"/>
      <c r="N264" s="55"/>
      <c r="O264" s="12"/>
      <c r="P264" s="62"/>
      <c r="Q264" s="35"/>
      <c r="R264" s="35"/>
      <c r="S264" s="33"/>
      <c r="T264" s="33"/>
      <c r="U264" s="33"/>
    </row>
    <row r="265" spans="2:21" ht="14">
      <c r="B265" s="232"/>
      <c r="C265" s="232"/>
      <c r="D265" s="255"/>
      <c r="E265" s="255"/>
      <c r="F265" s="255"/>
      <c r="G265" s="255"/>
      <c r="H265" s="61"/>
      <c r="I265" s="72" t="s">
        <v>810</v>
      </c>
      <c r="J265" s="101" t="s">
        <v>1327</v>
      </c>
      <c r="K265" s="62" t="s">
        <v>758</v>
      </c>
      <c r="L265" s="62" t="s">
        <v>332</v>
      </c>
      <c r="M265" s="55" t="s">
        <v>349</v>
      </c>
      <c r="N265" s="55">
        <v>44253</v>
      </c>
      <c r="O265" s="12" t="s">
        <v>1328</v>
      </c>
      <c r="P265" s="62" t="s">
        <v>1165</v>
      </c>
      <c r="Q265" s="35"/>
      <c r="R265" s="35"/>
      <c r="S265" s="33"/>
      <c r="T265" s="33"/>
      <c r="U265" s="33"/>
    </row>
    <row r="266" spans="2:21" ht="14">
      <c r="B266" s="232"/>
      <c r="C266" s="232"/>
      <c r="D266" s="255"/>
      <c r="E266" s="255"/>
      <c r="F266" s="255"/>
      <c r="G266" s="255"/>
      <c r="H266" s="61"/>
      <c r="I266" s="72"/>
      <c r="J266" s="101"/>
      <c r="K266" s="62" t="s">
        <v>1706</v>
      </c>
      <c r="L266" s="62" t="s">
        <v>332</v>
      </c>
      <c r="M266" s="55" t="s">
        <v>349</v>
      </c>
      <c r="N266" s="55">
        <v>44334</v>
      </c>
      <c r="O266" s="12" t="s">
        <v>1328</v>
      </c>
      <c r="P266" s="62" t="s">
        <v>1707</v>
      </c>
      <c r="Q266" s="35"/>
      <c r="R266" s="35"/>
      <c r="S266" s="33"/>
      <c r="T266" s="33"/>
      <c r="U266" s="33"/>
    </row>
    <row r="267" spans="2:21" ht="14">
      <c r="B267" s="232"/>
      <c r="C267" s="232"/>
      <c r="D267" s="255"/>
      <c r="E267" s="255"/>
      <c r="F267" s="255"/>
      <c r="G267" s="255"/>
      <c r="H267" s="61"/>
      <c r="I267" s="72"/>
      <c r="J267" s="101"/>
      <c r="K267" s="62" t="s">
        <v>1865</v>
      </c>
      <c r="L267" s="62" t="s">
        <v>332</v>
      </c>
      <c r="M267" s="55" t="s">
        <v>349</v>
      </c>
      <c r="N267" s="55">
        <v>44372</v>
      </c>
      <c r="O267" s="12" t="s">
        <v>1328</v>
      </c>
      <c r="P267" s="62" t="s">
        <v>1863</v>
      </c>
      <c r="Q267" s="35"/>
      <c r="R267" s="35"/>
      <c r="S267" s="33"/>
      <c r="T267" s="33"/>
      <c r="U267" s="33"/>
    </row>
    <row r="268" spans="2:21" ht="14">
      <c r="B268" s="232"/>
      <c r="C268" s="232"/>
      <c r="D268" s="255"/>
      <c r="E268" s="255"/>
      <c r="F268" s="255"/>
      <c r="G268" s="255"/>
      <c r="H268" s="61"/>
      <c r="I268" s="72"/>
      <c r="J268" s="101"/>
      <c r="K268" s="62" t="s">
        <v>2095</v>
      </c>
      <c r="L268" s="62" t="s">
        <v>332</v>
      </c>
      <c r="M268" s="55" t="s">
        <v>349</v>
      </c>
      <c r="N268" s="55">
        <v>44418</v>
      </c>
      <c r="O268" s="12" t="s">
        <v>1328</v>
      </c>
      <c r="P268" s="62" t="s">
        <v>2094</v>
      </c>
      <c r="Q268" s="35"/>
      <c r="R268" s="35"/>
      <c r="S268" s="33"/>
      <c r="T268" s="33"/>
      <c r="U268" s="33"/>
    </row>
    <row r="269" spans="2:21" ht="14">
      <c r="B269" s="232"/>
      <c r="C269" s="232"/>
      <c r="D269" s="255"/>
      <c r="E269" s="255"/>
      <c r="F269" s="255"/>
      <c r="G269" s="255"/>
      <c r="H269" s="61"/>
      <c r="I269" s="72"/>
      <c r="J269" s="101"/>
      <c r="K269" s="62" t="s">
        <v>2096</v>
      </c>
      <c r="L269" s="62" t="s">
        <v>332</v>
      </c>
      <c r="M269" s="55" t="s">
        <v>349</v>
      </c>
      <c r="N269" s="55">
        <v>44505</v>
      </c>
      <c r="O269" s="12" t="s">
        <v>1328</v>
      </c>
      <c r="P269" s="62" t="s">
        <v>2432</v>
      </c>
      <c r="Q269" s="35"/>
      <c r="R269" s="35"/>
      <c r="S269" s="33"/>
      <c r="T269" s="33"/>
      <c r="U269" s="33"/>
    </row>
    <row r="270" spans="2:21" ht="14">
      <c r="B270" s="232"/>
      <c r="C270" s="232"/>
      <c r="D270" s="255"/>
      <c r="E270" s="255"/>
      <c r="F270" s="255"/>
      <c r="G270" s="255"/>
      <c r="H270" s="61"/>
      <c r="I270" s="72"/>
      <c r="J270" s="101"/>
      <c r="K270" s="62" t="s">
        <v>2433</v>
      </c>
      <c r="L270" s="62" t="s">
        <v>332</v>
      </c>
      <c r="M270" s="55" t="s">
        <v>349</v>
      </c>
      <c r="N270" s="55">
        <v>44732</v>
      </c>
      <c r="O270" s="12" t="s">
        <v>1328</v>
      </c>
      <c r="P270" s="62" t="s">
        <v>3020</v>
      </c>
      <c r="Q270" s="35"/>
      <c r="R270" s="35"/>
      <c r="S270" s="33"/>
      <c r="T270" s="33"/>
      <c r="U270" s="33"/>
    </row>
    <row r="271" spans="2:21" ht="14">
      <c r="B271" s="232"/>
      <c r="C271" s="232"/>
      <c r="D271" s="255"/>
      <c r="E271" s="255"/>
      <c r="F271" s="255"/>
      <c r="G271" s="255"/>
      <c r="H271" s="61"/>
      <c r="I271" s="72"/>
      <c r="J271" s="101"/>
      <c r="K271" s="62" t="s">
        <v>2861</v>
      </c>
      <c r="L271" s="62" t="s">
        <v>332</v>
      </c>
      <c r="M271" s="55" t="s">
        <v>349</v>
      </c>
      <c r="N271" s="55">
        <v>44782</v>
      </c>
      <c r="O271" s="12" t="s">
        <v>1328</v>
      </c>
      <c r="P271" s="62" t="s">
        <v>3185</v>
      </c>
      <c r="Q271" s="35"/>
      <c r="R271" s="35"/>
      <c r="S271" s="33"/>
      <c r="T271" s="33"/>
      <c r="U271" s="33"/>
    </row>
    <row r="272" spans="2:21" ht="14">
      <c r="B272" s="232"/>
      <c r="C272" s="232"/>
      <c r="D272" s="255"/>
      <c r="E272" s="255"/>
      <c r="F272" s="255"/>
      <c r="G272" s="255"/>
      <c r="H272" s="61"/>
      <c r="I272" s="72"/>
      <c r="J272" s="101"/>
      <c r="K272" s="62" t="s">
        <v>3021</v>
      </c>
      <c r="L272" s="62" t="s">
        <v>332</v>
      </c>
      <c r="M272" s="55" t="s">
        <v>349</v>
      </c>
      <c r="N272" s="55">
        <v>45219</v>
      </c>
      <c r="O272" s="12" t="s">
        <v>1328</v>
      </c>
      <c r="P272" s="62" t="s">
        <v>4051</v>
      </c>
      <c r="Q272" s="35"/>
      <c r="R272" s="35"/>
      <c r="S272" s="33"/>
      <c r="T272" s="33"/>
      <c r="U272" s="33"/>
    </row>
    <row r="273" spans="2:21">
      <c r="B273" s="232"/>
      <c r="C273" s="232"/>
      <c r="D273" s="255"/>
      <c r="E273" s="255"/>
      <c r="F273" s="255"/>
      <c r="G273" s="255"/>
      <c r="H273" s="61"/>
      <c r="I273" s="72"/>
      <c r="J273" s="4"/>
      <c r="K273" s="62"/>
      <c r="L273" s="62"/>
      <c r="M273" s="55"/>
      <c r="N273" s="55"/>
      <c r="O273" s="12"/>
      <c r="P273" s="62"/>
      <c r="Q273" s="35"/>
      <c r="R273" s="35"/>
      <c r="S273" s="33"/>
      <c r="T273" s="33"/>
      <c r="U273" s="33"/>
    </row>
    <row r="274" spans="2:21" ht="14">
      <c r="B274" s="232"/>
      <c r="C274" s="232"/>
      <c r="D274" s="255"/>
      <c r="E274" s="255"/>
      <c r="F274" s="255"/>
      <c r="G274" s="255"/>
      <c r="H274" s="61"/>
      <c r="I274" s="72" t="s">
        <v>811</v>
      </c>
      <c r="J274" s="101" t="s">
        <v>1329</v>
      </c>
      <c r="K274" s="62" t="s">
        <v>758</v>
      </c>
      <c r="L274" s="62" t="s">
        <v>332</v>
      </c>
      <c r="M274" s="55" t="s">
        <v>349</v>
      </c>
      <c r="N274" s="55">
        <v>44253</v>
      </c>
      <c r="O274" s="12" t="s">
        <v>1330</v>
      </c>
      <c r="P274" s="62" t="s">
        <v>1165</v>
      </c>
      <c r="Q274" s="35"/>
      <c r="R274" s="35"/>
      <c r="S274" s="33"/>
      <c r="T274" s="33"/>
      <c r="U274" s="33"/>
    </row>
    <row r="275" spans="2:21" ht="14">
      <c r="B275" s="232"/>
      <c r="C275" s="232"/>
      <c r="D275" s="255"/>
      <c r="E275" s="255"/>
      <c r="F275" s="255"/>
      <c r="G275" s="255"/>
      <c r="H275" s="61"/>
      <c r="I275" s="72"/>
      <c r="J275" s="101"/>
      <c r="K275" s="62" t="s">
        <v>1706</v>
      </c>
      <c r="L275" s="62" t="s">
        <v>332</v>
      </c>
      <c r="M275" s="55" t="s">
        <v>349</v>
      </c>
      <c r="N275" s="55">
        <v>44334</v>
      </c>
      <c r="O275" s="12" t="s">
        <v>1330</v>
      </c>
      <c r="P275" s="62" t="s">
        <v>1707</v>
      </c>
      <c r="Q275" s="35"/>
      <c r="R275" s="35"/>
      <c r="S275" s="33"/>
      <c r="T275" s="33"/>
      <c r="U275" s="33"/>
    </row>
    <row r="276" spans="2:21" ht="14">
      <c r="B276" s="232"/>
      <c r="C276" s="232"/>
      <c r="D276" s="255"/>
      <c r="E276" s="255"/>
      <c r="F276" s="255"/>
      <c r="G276" s="255"/>
      <c r="H276" s="61"/>
      <c r="I276" s="72"/>
      <c r="J276" s="4"/>
      <c r="K276" s="62" t="s">
        <v>1865</v>
      </c>
      <c r="L276" s="62" t="s">
        <v>332</v>
      </c>
      <c r="M276" s="55" t="s">
        <v>349</v>
      </c>
      <c r="N276" s="55">
        <v>44372</v>
      </c>
      <c r="O276" s="12" t="s">
        <v>1330</v>
      </c>
      <c r="P276" s="62" t="s">
        <v>1863</v>
      </c>
      <c r="Q276" s="35"/>
      <c r="R276" s="35"/>
      <c r="S276" s="33"/>
      <c r="T276" s="33"/>
      <c r="U276" s="33"/>
    </row>
    <row r="277" spans="2:21" ht="14">
      <c r="B277" s="232"/>
      <c r="C277" s="232"/>
      <c r="D277" s="255"/>
      <c r="E277" s="255"/>
      <c r="F277" s="255"/>
      <c r="G277" s="255"/>
      <c r="H277" s="61"/>
      <c r="I277" s="72"/>
      <c r="J277" s="4"/>
      <c r="K277" s="62" t="s">
        <v>2095</v>
      </c>
      <c r="L277" s="62" t="s">
        <v>332</v>
      </c>
      <c r="M277" s="55" t="s">
        <v>349</v>
      </c>
      <c r="N277" s="55">
        <v>44418</v>
      </c>
      <c r="O277" s="12" t="s">
        <v>1330</v>
      </c>
      <c r="P277" s="62" t="s">
        <v>2094</v>
      </c>
      <c r="Q277" s="35"/>
      <c r="R277" s="35"/>
      <c r="S277" s="33"/>
      <c r="T277" s="33"/>
      <c r="U277" s="33"/>
    </row>
    <row r="278" spans="2:21" ht="14">
      <c r="B278" s="232"/>
      <c r="C278" s="232"/>
      <c r="D278" s="255"/>
      <c r="E278" s="255"/>
      <c r="F278" s="255"/>
      <c r="G278" s="255"/>
      <c r="H278" s="61"/>
      <c r="I278" s="72"/>
      <c r="J278" s="4"/>
      <c r="K278" s="62" t="s">
        <v>2096</v>
      </c>
      <c r="L278" s="62" t="s">
        <v>332</v>
      </c>
      <c r="M278" s="55" t="s">
        <v>349</v>
      </c>
      <c r="N278" s="55">
        <v>44474</v>
      </c>
      <c r="O278" s="12" t="s">
        <v>1330</v>
      </c>
      <c r="P278" s="62" t="s">
        <v>2332</v>
      </c>
      <c r="Q278" s="35"/>
      <c r="R278" s="35"/>
      <c r="S278" s="33"/>
      <c r="T278" s="33"/>
      <c r="U278" s="33"/>
    </row>
    <row r="279" spans="2:21" ht="14">
      <c r="B279" s="232"/>
      <c r="C279" s="232"/>
      <c r="D279" s="255"/>
      <c r="E279" s="255"/>
      <c r="F279" s="255"/>
      <c r="G279" s="255"/>
      <c r="H279" s="61"/>
      <c r="I279" s="72"/>
      <c r="J279" s="4"/>
      <c r="K279" s="62" t="s">
        <v>2333</v>
      </c>
      <c r="L279" s="62" t="s">
        <v>332</v>
      </c>
      <c r="M279" s="55" t="s">
        <v>349</v>
      </c>
      <c r="N279" s="55">
        <v>44505</v>
      </c>
      <c r="O279" s="12" t="s">
        <v>1330</v>
      </c>
      <c r="P279" s="62" t="s">
        <v>2432</v>
      </c>
      <c r="Q279" s="35"/>
      <c r="R279" s="35"/>
      <c r="S279" s="33"/>
      <c r="T279" s="33"/>
      <c r="U279" s="33"/>
    </row>
    <row r="280" spans="2:21" ht="14">
      <c r="B280" s="232"/>
      <c r="C280" s="232"/>
      <c r="D280" s="255"/>
      <c r="E280" s="255"/>
      <c r="F280" s="255"/>
      <c r="G280" s="255"/>
      <c r="H280" s="61"/>
      <c r="I280" s="72"/>
      <c r="J280" s="4"/>
      <c r="K280" s="62" t="s">
        <v>2433</v>
      </c>
      <c r="L280" s="62" t="s">
        <v>332</v>
      </c>
      <c r="M280" s="55" t="s">
        <v>349</v>
      </c>
      <c r="N280" s="55">
        <v>44732</v>
      </c>
      <c r="O280" s="12" t="s">
        <v>1330</v>
      </c>
      <c r="P280" s="62" t="s">
        <v>3020</v>
      </c>
      <c r="Q280" s="35"/>
      <c r="R280" s="35"/>
      <c r="S280" s="33"/>
      <c r="T280" s="33"/>
      <c r="U280" s="33"/>
    </row>
    <row r="281" spans="2:21" ht="14">
      <c r="B281" s="232"/>
      <c r="C281" s="232"/>
      <c r="D281" s="255"/>
      <c r="E281" s="255"/>
      <c r="F281" s="255"/>
      <c r="G281" s="255"/>
      <c r="H281" s="61"/>
      <c r="I281" s="72"/>
      <c r="J281" s="4"/>
      <c r="K281" s="62" t="s">
        <v>2861</v>
      </c>
      <c r="L281" s="62" t="s">
        <v>332</v>
      </c>
      <c r="M281" s="55" t="s">
        <v>349</v>
      </c>
      <c r="N281" s="55">
        <v>44782</v>
      </c>
      <c r="O281" s="12" t="s">
        <v>1330</v>
      </c>
      <c r="P281" s="62" t="s">
        <v>3185</v>
      </c>
      <c r="Q281" s="35"/>
      <c r="R281" s="35"/>
      <c r="S281" s="33"/>
      <c r="T281" s="33"/>
      <c r="U281" s="33"/>
    </row>
    <row r="282" spans="2:21" ht="14">
      <c r="B282" s="232"/>
      <c r="C282" s="232"/>
      <c r="D282" s="255"/>
      <c r="E282" s="255"/>
      <c r="F282" s="255"/>
      <c r="G282" s="255"/>
      <c r="H282" s="61"/>
      <c r="I282" s="72"/>
      <c r="J282" s="4"/>
      <c r="K282" s="62" t="s">
        <v>3021</v>
      </c>
      <c r="L282" s="62" t="s">
        <v>332</v>
      </c>
      <c r="M282" s="55" t="s">
        <v>349</v>
      </c>
      <c r="N282" s="55">
        <v>44860</v>
      </c>
      <c r="O282" s="12" t="s">
        <v>1330</v>
      </c>
      <c r="P282" s="62" t="s">
        <v>3328</v>
      </c>
      <c r="Q282" s="35"/>
      <c r="R282" s="35"/>
      <c r="S282" s="33"/>
      <c r="T282" s="33"/>
      <c r="U282" s="33"/>
    </row>
    <row r="283" spans="2:21" ht="14">
      <c r="B283" s="232"/>
      <c r="C283" s="232"/>
      <c r="D283" s="255"/>
      <c r="E283" s="255"/>
      <c r="F283" s="255"/>
      <c r="G283" s="255"/>
      <c r="H283" s="61"/>
      <c r="I283" s="72"/>
      <c r="J283" s="4"/>
      <c r="K283" s="62" t="s">
        <v>3186</v>
      </c>
      <c r="L283" s="62" t="s">
        <v>332</v>
      </c>
      <c r="M283" s="55" t="s">
        <v>349</v>
      </c>
      <c r="N283" s="55">
        <v>45219</v>
      </c>
      <c r="O283" s="12" t="s">
        <v>1330</v>
      </c>
      <c r="P283" s="62" t="s">
        <v>4051</v>
      </c>
      <c r="Q283" s="35"/>
      <c r="R283" s="35"/>
      <c r="S283" s="33"/>
      <c r="T283" s="33"/>
      <c r="U283" s="33"/>
    </row>
    <row r="284" spans="2:21">
      <c r="B284" s="232"/>
      <c r="C284" s="232"/>
      <c r="D284" s="255"/>
      <c r="E284" s="255"/>
      <c r="F284" s="255"/>
      <c r="G284" s="255"/>
      <c r="H284" s="61"/>
      <c r="I284" s="72"/>
      <c r="J284" s="4"/>
      <c r="K284" s="62"/>
      <c r="L284" s="62"/>
      <c r="M284" s="55"/>
      <c r="N284" s="55"/>
      <c r="O284" s="12"/>
      <c r="P284" s="62"/>
      <c r="Q284" s="35"/>
      <c r="R284" s="35"/>
      <c r="S284" s="33"/>
      <c r="T284" s="33"/>
      <c r="U284" s="33"/>
    </row>
    <row r="285" spans="2:21" ht="14">
      <c r="B285" s="232"/>
      <c r="C285" s="232"/>
      <c r="D285" s="255"/>
      <c r="E285" s="255"/>
      <c r="F285" s="255"/>
      <c r="G285" s="255"/>
      <c r="H285" s="61"/>
      <c r="I285" s="72" t="s">
        <v>1101</v>
      </c>
      <c r="J285" s="101" t="s">
        <v>1866</v>
      </c>
      <c r="K285" s="62" t="s">
        <v>758</v>
      </c>
      <c r="L285" s="62" t="s">
        <v>332</v>
      </c>
      <c r="M285" s="55" t="s">
        <v>349</v>
      </c>
      <c r="N285" s="55">
        <v>44372</v>
      </c>
      <c r="O285" s="12" t="s">
        <v>1835</v>
      </c>
      <c r="P285" s="62" t="s">
        <v>1863</v>
      </c>
      <c r="Q285" s="35"/>
      <c r="R285" s="35"/>
      <c r="S285" s="33"/>
      <c r="T285" s="33"/>
      <c r="U285" s="33"/>
    </row>
    <row r="286" spans="2:21" ht="14">
      <c r="B286" s="232"/>
      <c r="C286" s="232"/>
      <c r="D286" s="255"/>
      <c r="E286" s="255"/>
      <c r="F286" s="255"/>
      <c r="G286" s="255"/>
      <c r="H286" s="61"/>
      <c r="I286" s="72"/>
      <c r="J286" s="4"/>
      <c r="K286" s="62" t="s">
        <v>1164</v>
      </c>
      <c r="L286" s="62" t="s">
        <v>332</v>
      </c>
      <c r="M286" s="55" t="s">
        <v>349</v>
      </c>
      <c r="N286" s="55">
        <v>44419</v>
      </c>
      <c r="O286" s="12" t="s">
        <v>1835</v>
      </c>
      <c r="P286" s="62" t="s">
        <v>2129</v>
      </c>
      <c r="Q286" s="35"/>
      <c r="R286" s="35"/>
      <c r="S286" s="33"/>
      <c r="T286" s="33"/>
      <c r="U286" s="33"/>
    </row>
    <row r="287" spans="2:21" ht="14">
      <c r="B287" s="232"/>
      <c r="C287" s="232"/>
      <c r="D287" s="255"/>
      <c r="E287" s="255"/>
      <c r="F287" s="255"/>
      <c r="G287" s="255"/>
      <c r="H287" s="61"/>
      <c r="I287" s="72"/>
      <c r="J287" s="4"/>
      <c r="K287" s="62" t="s">
        <v>1706</v>
      </c>
      <c r="L287" s="62" t="s">
        <v>332</v>
      </c>
      <c r="M287" s="55" t="s">
        <v>349</v>
      </c>
      <c r="N287" s="55">
        <v>44505</v>
      </c>
      <c r="O287" s="12" t="s">
        <v>1835</v>
      </c>
      <c r="P287" s="62" t="s">
        <v>2432</v>
      </c>
      <c r="Q287" s="35"/>
      <c r="R287" s="35"/>
      <c r="S287" s="33"/>
      <c r="T287" s="33"/>
      <c r="U287" s="33"/>
    </row>
    <row r="288" spans="2:21" ht="14">
      <c r="B288" s="232"/>
      <c r="C288" s="232"/>
      <c r="D288" s="255"/>
      <c r="E288" s="255"/>
      <c r="F288" s="255"/>
      <c r="G288" s="255"/>
      <c r="H288" s="61"/>
      <c r="I288" s="72"/>
      <c r="J288" s="4"/>
      <c r="K288" s="62" t="s">
        <v>1865</v>
      </c>
      <c r="L288" s="62" t="s">
        <v>332</v>
      </c>
      <c r="M288" s="55" t="s">
        <v>349</v>
      </c>
      <c r="N288" s="55">
        <v>44656</v>
      </c>
      <c r="O288" s="12" t="s">
        <v>1835</v>
      </c>
      <c r="P288" s="62" t="s">
        <v>2840</v>
      </c>
      <c r="Q288" s="35"/>
      <c r="R288" s="35"/>
      <c r="S288" s="33"/>
      <c r="T288" s="33"/>
      <c r="U288" s="33"/>
    </row>
    <row r="289" spans="2:21" ht="14">
      <c r="B289" s="232"/>
      <c r="C289" s="232"/>
      <c r="D289" s="255"/>
      <c r="E289" s="255"/>
      <c r="F289" s="255"/>
      <c r="G289" s="255"/>
      <c r="H289" s="61"/>
      <c r="I289" s="72"/>
      <c r="J289" s="4"/>
      <c r="K289" s="62" t="s">
        <v>2096</v>
      </c>
      <c r="L289" s="62" t="s">
        <v>332</v>
      </c>
      <c r="M289" s="55" t="s">
        <v>349</v>
      </c>
      <c r="N289" s="55">
        <v>44732</v>
      </c>
      <c r="O289" s="12" t="s">
        <v>1835</v>
      </c>
      <c r="P289" s="62" t="s">
        <v>3020</v>
      </c>
      <c r="Q289" s="35"/>
      <c r="R289" s="35"/>
      <c r="S289" s="33"/>
      <c r="T289" s="33"/>
      <c r="U289" s="33"/>
    </row>
    <row r="290" spans="2:21" ht="14">
      <c r="B290" s="232"/>
      <c r="C290" s="232"/>
      <c r="D290" s="255"/>
      <c r="E290" s="255"/>
      <c r="F290" s="255"/>
      <c r="G290" s="255"/>
      <c r="H290" s="61"/>
      <c r="I290" s="72"/>
      <c r="J290" s="4"/>
      <c r="K290" s="62" t="s">
        <v>2333</v>
      </c>
      <c r="L290" s="62" t="s">
        <v>332</v>
      </c>
      <c r="M290" s="55" t="s">
        <v>349</v>
      </c>
      <c r="N290" s="55">
        <v>44782</v>
      </c>
      <c r="O290" s="12" t="s">
        <v>1835</v>
      </c>
      <c r="P290" s="62" t="s">
        <v>3185</v>
      </c>
      <c r="Q290" s="35"/>
      <c r="R290" s="35"/>
      <c r="S290" s="33"/>
      <c r="T290" s="33"/>
      <c r="U290" s="33"/>
    </row>
    <row r="291" spans="2:21" ht="14">
      <c r="B291" s="232"/>
      <c r="C291" s="232"/>
      <c r="D291" s="255"/>
      <c r="E291" s="255"/>
      <c r="F291" s="255"/>
      <c r="G291" s="255"/>
      <c r="H291" s="61"/>
      <c r="I291" s="72"/>
      <c r="J291" s="4"/>
      <c r="K291" s="62" t="s">
        <v>2861</v>
      </c>
      <c r="L291" s="62" t="s">
        <v>332</v>
      </c>
      <c r="M291" s="55" t="s">
        <v>349</v>
      </c>
      <c r="N291" s="55">
        <v>44858</v>
      </c>
      <c r="O291" s="12" t="s">
        <v>1835</v>
      </c>
      <c r="P291" s="62" t="s">
        <v>3309</v>
      </c>
      <c r="Q291" s="35"/>
      <c r="R291" s="35"/>
      <c r="S291" s="33"/>
      <c r="T291" s="33"/>
      <c r="U291" s="33"/>
    </row>
    <row r="292" spans="2:21" ht="14">
      <c r="B292" s="232"/>
      <c r="C292" s="232"/>
      <c r="D292" s="255"/>
      <c r="E292" s="255"/>
      <c r="F292" s="255"/>
      <c r="G292" s="255"/>
      <c r="H292" s="61"/>
      <c r="I292" s="72"/>
      <c r="J292" s="4"/>
      <c r="K292" s="62" t="s">
        <v>3021</v>
      </c>
      <c r="L292" s="62" t="s">
        <v>332</v>
      </c>
      <c r="M292" s="55" t="s">
        <v>349</v>
      </c>
      <c r="N292" s="55">
        <v>45219</v>
      </c>
      <c r="O292" s="12" t="s">
        <v>1835</v>
      </c>
      <c r="P292" s="62" t="s">
        <v>4051</v>
      </c>
      <c r="Q292" s="35"/>
      <c r="R292" s="35"/>
      <c r="S292" s="33"/>
      <c r="T292" s="33"/>
      <c r="U292" s="33"/>
    </row>
    <row r="293" spans="2:21">
      <c r="B293" s="232"/>
      <c r="C293" s="232"/>
      <c r="D293" s="255"/>
      <c r="E293" s="255"/>
      <c r="F293" s="255"/>
      <c r="G293" s="255"/>
      <c r="H293" s="61"/>
      <c r="I293" s="72"/>
      <c r="J293" s="4"/>
      <c r="K293" s="62"/>
      <c r="L293" s="62"/>
      <c r="M293" s="55"/>
      <c r="N293" s="55"/>
      <c r="O293" s="12"/>
      <c r="P293" s="62"/>
      <c r="Q293" s="35"/>
      <c r="R293" s="35"/>
      <c r="S293" s="33"/>
      <c r="T293" s="33"/>
      <c r="U293" s="33"/>
    </row>
    <row r="294" spans="2:21" ht="14">
      <c r="B294" s="232"/>
      <c r="C294" s="232"/>
      <c r="D294" s="255"/>
      <c r="E294" s="255"/>
      <c r="F294" s="255"/>
      <c r="G294" s="255"/>
      <c r="H294" s="61"/>
      <c r="I294" s="72" t="s">
        <v>1102</v>
      </c>
      <c r="J294" s="101" t="s">
        <v>2256</v>
      </c>
      <c r="K294" s="62" t="s">
        <v>758</v>
      </c>
      <c r="L294" s="62" t="s">
        <v>332</v>
      </c>
      <c r="M294" s="55" t="s">
        <v>349</v>
      </c>
      <c r="N294" s="55">
        <v>44452</v>
      </c>
      <c r="O294" s="12" t="s">
        <v>2257</v>
      </c>
      <c r="P294" s="62" t="s">
        <v>2255</v>
      </c>
      <c r="Q294" s="35"/>
      <c r="R294" s="35"/>
      <c r="S294" s="33"/>
      <c r="T294" s="33"/>
      <c r="U294" s="33"/>
    </row>
    <row r="295" spans="2:21">
      <c r="B295" s="232"/>
      <c r="C295" s="232"/>
      <c r="D295" s="255"/>
      <c r="E295" s="255"/>
      <c r="F295" s="255"/>
      <c r="G295" s="255"/>
      <c r="H295" s="61"/>
      <c r="I295" s="72"/>
      <c r="J295" s="4"/>
      <c r="K295" s="62"/>
      <c r="L295" s="62"/>
      <c r="M295" s="55"/>
      <c r="N295" s="55"/>
      <c r="O295" s="12"/>
      <c r="P295" s="62"/>
      <c r="Q295" s="35"/>
      <c r="R295" s="35"/>
      <c r="S295" s="33"/>
      <c r="T295" s="33"/>
      <c r="U295" s="33"/>
    </row>
    <row r="296" spans="2:21" ht="14">
      <c r="B296" s="232"/>
      <c r="C296" s="232"/>
      <c r="D296" s="255"/>
      <c r="E296" s="255"/>
      <c r="F296" s="255"/>
      <c r="G296" s="255"/>
      <c r="H296" s="61"/>
      <c r="I296" s="72" t="s">
        <v>1103</v>
      </c>
      <c r="J296" s="101" t="s">
        <v>2841</v>
      </c>
      <c r="K296" s="62" t="s">
        <v>1865</v>
      </c>
      <c r="L296" s="62" t="s">
        <v>332</v>
      </c>
      <c r="M296" s="55" t="s">
        <v>349</v>
      </c>
      <c r="N296" s="55">
        <v>44656</v>
      </c>
      <c r="O296" s="12" t="s">
        <v>2823</v>
      </c>
      <c r="P296" s="62" t="s">
        <v>2840</v>
      </c>
      <c r="Q296" s="35"/>
      <c r="R296" s="35"/>
      <c r="S296" s="33"/>
      <c r="T296" s="33"/>
      <c r="U296" s="33"/>
    </row>
    <row r="297" spans="2:21" ht="14">
      <c r="B297" s="232"/>
      <c r="C297" s="232"/>
      <c r="D297" s="255"/>
      <c r="E297" s="255"/>
      <c r="F297" s="255"/>
      <c r="G297" s="255"/>
      <c r="H297" s="61"/>
      <c r="I297" s="72"/>
      <c r="J297" s="4"/>
      <c r="K297" s="62" t="s">
        <v>2095</v>
      </c>
      <c r="L297" s="62" t="s">
        <v>332</v>
      </c>
      <c r="M297" s="55" t="s">
        <v>349</v>
      </c>
      <c r="N297" s="55">
        <v>44732</v>
      </c>
      <c r="O297" s="12" t="s">
        <v>2823</v>
      </c>
      <c r="P297" s="62" t="s">
        <v>3020</v>
      </c>
      <c r="Q297" s="35"/>
      <c r="R297" s="35"/>
      <c r="S297" s="33"/>
      <c r="T297" s="33"/>
      <c r="U297" s="33"/>
    </row>
    <row r="298" spans="2:21" ht="14">
      <c r="B298" s="232"/>
      <c r="C298" s="232"/>
      <c r="D298" s="255"/>
      <c r="E298" s="255"/>
      <c r="F298" s="255"/>
      <c r="G298" s="255"/>
      <c r="H298" s="61"/>
      <c r="I298" s="72"/>
      <c r="J298" s="4"/>
      <c r="K298" s="62" t="s">
        <v>2333</v>
      </c>
      <c r="L298" s="62" t="s">
        <v>332</v>
      </c>
      <c r="M298" s="55" t="s">
        <v>349</v>
      </c>
      <c r="N298" s="55">
        <v>44782</v>
      </c>
      <c r="O298" s="12" t="s">
        <v>2823</v>
      </c>
      <c r="P298" s="62" t="s">
        <v>3185</v>
      </c>
      <c r="Q298" s="35"/>
      <c r="R298" s="35"/>
      <c r="S298" s="33"/>
      <c r="T298" s="33"/>
      <c r="U298" s="33"/>
    </row>
    <row r="299" spans="2:21" ht="14">
      <c r="B299" s="232"/>
      <c r="C299" s="232"/>
      <c r="D299" s="255"/>
      <c r="E299" s="255"/>
      <c r="F299" s="255"/>
      <c r="G299" s="255"/>
      <c r="H299" s="61"/>
      <c r="I299" s="72"/>
      <c r="J299" s="4"/>
      <c r="K299" s="62" t="s">
        <v>2433</v>
      </c>
      <c r="L299" s="62" t="s">
        <v>332</v>
      </c>
      <c r="M299" s="55" t="s">
        <v>349</v>
      </c>
      <c r="N299" s="55">
        <v>45219</v>
      </c>
      <c r="O299" s="12" t="s">
        <v>2823</v>
      </c>
      <c r="P299" s="62" t="s">
        <v>4051</v>
      </c>
      <c r="Q299" s="35"/>
      <c r="R299" s="35"/>
      <c r="S299" s="33"/>
      <c r="T299" s="33"/>
      <c r="U299" s="33"/>
    </row>
    <row r="300" spans="2:21">
      <c r="B300" s="232"/>
      <c r="C300" s="232"/>
      <c r="D300" s="255"/>
      <c r="E300" s="255"/>
      <c r="F300" s="255"/>
      <c r="G300" s="255"/>
      <c r="H300" s="61"/>
      <c r="I300" s="72"/>
      <c r="J300" s="4"/>
      <c r="K300" s="62"/>
      <c r="L300" s="62"/>
      <c r="M300" s="55"/>
      <c r="N300" s="55"/>
      <c r="O300" s="12"/>
      <c r="P300" s="62"/>
      <c r="Q300" s="35"/>
      <c r="R300" s="35"/>
      <c r="S300" s="33"/>
      <c r="T300" s="33"/>
      <c r="U300" s="33"/>
    </row>
    <row r="301" spans="2:21" ht="14">
      <c r="B301" s="232"/>
      <c r="C301" s="232"/>
      <c r="D301" s="255"/>
      <c r="E301" s="255"/>
      <c r="F301" s="255"/>
      <c r="G301" s="255"/>
      <c r="H301" s="61" t="s">
        <v>177</v>
      </c>
      <c r="I301" s="61"/>
      <c r="J301" s="7" t="s">
        <v>1340</v>
      </c>
      <c r="K301" s="35" t="s">
        <v>330</v>
      </c>
      <c r="L301" s="35" t="s">
        <v>333</v>
      </c>
      <c r="M301" s="53">
        <v>44007</v>
      </c>
      <c r="N301" s="53">
        <v>44007</v>
      </c>
      <c r="O301" s="35" t="s">
        <v>344</v>
      </c>
      <c r="P301" s="35" t="s">
        <v>335</v>
      </c>
      <c r="Q301" s="35"/>
      <c r="R301" s="35"/>
      <c r="S301" s="33"/>
      <c r="T301" s="33"/>
      <c r="U301" s="33"/>
    </row>
    <row r="302" spans="2:21">
      <c r="B302" s="232"/>
      <c r="C302" s="232"/>
      <c r="D302" s="255"/>
      <c r="E302" s="255"/>
      <c r="F302" s="255"/>
      <c r="G302" s="255"/>
      <c r="H302" s="61"/>
      <c r="I302" s="61"/>
      <c r="J302" s="269"/>
      <c r="K302" s="270"/>
      <c r="L302" s="270"/>
      <c r="M302" s="270"/>
      <c r="N302" s="270"/>
      <c r="O302" s="270"/>
      <c r="P302" s="271"/>
      <c r="Q302" s="35"/>
      <c r="R302" s="35"/>
      <c r="S302" s="33"/>
      <c r="T302" s="33"/>
      <c r="U302" s="33"/>
    </row>
    <row r="303" spans="2:21" ht="14">
      <c r="B303" s="232"/>
      <c r="C303" s="232"/>
      <c r="D303" s="255"/>
      <c r="E303" s="255"/>
      <c r="F303" s="255"/>
      <c r="G303" s="255"/>
      <c r="H303" s="61"/>
      <c r="I303" s="72" t="s">
        <v>807</v>
      </c>
      <c r="J303" s="101" t="s">
        <v>1321</v>
      </c>
      <c r="K303" s="62" t="s">
        <v>330</v>
      </c>
      <c r="L303" s="62" t="s">
        <v>333</v>
      </c>
      <c r="M303" s="55" t="s">
        <v>349</v>
      </c>
      <c r="N303" s="55">
        <v>44164</v>
      </c>
      <c r="O303" s="12" t="s">
        <v>691</v>
      </c>
      <c r="P303" s="62" t="s">
        <v>679</v>
      </c>
      <c r="Q303" s="35"/>
      <c r="R303" s="35"/>
      <c r="S303" s="33"/>
      <c r="T303" s="33"/>
      <c r="U303" s="33"/>
    </row>
    <row r="304" spans="2:21" ht="14">
      <c r="B304" s="232"/>
      <c r="C304" s="232"/>
      <c r="D304" s="255"/>
      <c r="E304" s="255"/>
      <c r="F304" s="255"/>
      <c r="G304" s="255"/>
      <c r="H304" s="61"/>
      <c r="I304" s="72"/>
      <c r="J304" s="101"/>
      <c r="K304" s="62" t="s">
        <v>758</v>
      </c>
      <c r="L304" s="62" t="s">
        <v>332</v>
      </c>
      <c r="M304" s="55">
        <v>44071</v>
      </c>
      <c r="N304" s="55">
        <v>44176</v>
      </c>
      <c r="O304" s="12" t="s">
        <v>691</v>
      </c>
      <c r="P304" s="62" t="s">
        <v>757</v>
      </c>
      <c r="Q304" s="35"/>
      <c r="R304" s="35"/>
      <c r="S304" s="33"/>
      <c r="T304" s="33"/>
      <c r="U304" s="33"/>
    </row>
    <row r="305" spans="2:21" ht="14">
      <c r="B305" s="232"/>
      <c r="C305" s="232"/>
      <c r="D305" s="255"/>
      <c r="E305" s="255"/>
      <c r="F305" s="255"/>
      <c r="G305" s="255"/>
      <c r="H305" s="61"/>
      <c r="I305" s="72"/>
      <c r="J305" s="101"/>
      <c r="K305" s="62" t="s">
        <v>1164</v>
      </c>
      <c r="L305" s="62" t="s">
        <v>332</v>
      </c>
      <c r="M305" s="55" t="s">
        <v>349</v>
      </c>
      <c r="N305" s="55">
        <v>44253</v>
      </c>
      <c r="O305" s="12" t="s">
        <v>691</v>
      </c>
      <c r="P305" s="62" t="s">
        <v>1165</v>
      </c>
      <c r="Q305" s="35"/>
      <c r="R305" s="35"/>
      <c r="S305" s="33"/>
      <c r="T305" s="33"/>
      <c r="U305" s="33"/>
    </row>
    <row r="306" spans="2:21" ht="14">
      <c r="B306" s="232"/>
      <c r="C306" s="232"/>
      <c r="D306" s="255"/>
      <c r="E306" s="255"/>
      <c r="F306" s="255"/>
      <c r="G306" s="255"/>
      <c r="H306" s="61"/>
      <c r="I306" s="72"/>
      <c r="J306" s="101"/>
      <c r="K306" s="62" t="s">
        <v>1706</v>
      </c>
      <c r="L306" s="62" t="s">
        <v>332</v>
      </c>
      <c r="M306" s="55" t="s">
        <v>349</v>
      </c>
      <c r="N306" s="55">
        <v>44334</v>
      </c>
      <c r="O306" s="12" t="s">
        <v>691</v>
      </c>
      <c r="P306" s="62" t="s">
        <v>1707</v>
      </c>
      <c r="Q306" s="35"/>
      <c r="R306" s="35"/>
      <c r="S306" s="33"/>
      <c r="T306" s="33"/>
      <c r="U306" s="33"/>
    </row>
    <row r="307" spans="2:21" ht="14">
      <c r="B307" s="232"/>
      <c r="C307" s="232"/>
      <c r="D307" s="255"/>
      <c r="E307" s="255"/>
      <c r="F307" s="255"/>
      <c r="G307" s="255"/>
      <c r="H307" s="61"/>
      <c r="I307" s="72"/>
      <c r="J307" s="101"/>
      <c r="K307" s="62" t="s">
        <v>1706</v>
      </c>
      <c r="L307" s="62" t="s">
        <v>332</v>
      </c>
      <c r="M307" s="55" t="s">
        <v>349</v>
      </c>
      <c r="N307" s="55">
        <v>44372</v>
      </c>
      <c r="O307" s="12" t="s">
        <v>691</v>
      </c>
      <c r="P307" s="62" t="s">
        <v>1863</v>
      </c>
      <c r="Q307" s="62"/>
      <c r="R307" s="62"/>
      <c r="S307" s="54"/>
      <c r="T307" s="54" t="s">
        <v>1864</v>
      </c>
      <c r="U307" s="33"/>
    </row>
    <row r="308" spans="2:21" ht="14">
      <c r="B308" s="232"/>
      <c r="C308" s="232"/>
      <c r="D308" s="255"/>
      <c r="E308" s="255"/>
      <c r="F308" s="255"/>
      <c r="G308" s="255"/>
      <c r="H308" s="61"/>
      <c r="I308" s="72"/>
      <c r="J308" s="101"/>
      <c r="K308" s="62" t="s">
        <v>1865</v>
      </c>
      <c r="L308" s="62" t="s">
        <v>332</v>
      </c>
      <c r="M308" s="55" t="s">
        <v>349</v>
      </c>
      <c r="N308" s="55">
        <v>44418</v>
      </c>
      <c r="O308" s="12" t="s">
        <v>691</v>
      </c>
      <c r="P308" s="62" t="s">
        <v>2094</v>
      </c>
      <c r="Q308" s="62"/>
      <c r="R308" s="62"/>
      <c r="S308" s="54"/>
      <c r="T308" s="54"/>
      <c r="U308" s="33"/>
    </row>
    <row r="309" spans="2:21" ht="14">
      <c r="B309" s="232"/>
      <c r="C309" s="232"/>
      <c r="D309" s="255"/>
      <c r="E309" s="255"/>
      <c r="F309" s="255"/>
      <c r="G309" s="255"/>
      <c r="H309" s="61"/>
      <c r="I309" s="72"/>
      <c r="J309" s="101"/>
      <c r="K309" s="62" t="s">
        <v>2095</v>
      </c>
      <c r="L309" s="62" t="s">
        <v>332</v>
      </c>
      <c r="M309" s="55" t="s">
        <v>349</v>
      </c>
      <c r="N309" s="55">
        <v>44505</v>
      </c>
      <c r="O309" s="12" t="s">
        <v>691</v>
      </c>
      <c r="P309" s="62" t="s">
        <v>2432</v>
      </c>
      <c r="Q309" s="62"/>
      <c r="R309" s="62"/>
      <c r="S309" s="54"/>
      <c r="T309" s="54"/>
      <c r="U309" s="33"/>
    </row>
    <row r="310" spans="2:21" ht="14">
      <c r="B310" s="232"/>
      <c r="C310" s="232"/>
      <c r="D310" s="255"/>
      <c r="E310" s="255"/>
      <c r="F310" s="255"/>
      <c r="G310" s="255"/>
      <c r="H310" s="61"/>
      <c r="I310" s="72"/>
      <c r="J310" s="101"/>
      <c r="K310" s="62" t="s">
        <v>2096</v>
      </c>
      <c r="L310" s="62" t="s">
        <v>332</v>
      </c>
      <c r="M310" s="55" t="s">
        <v>349</v>
      </c>
      <c r="N310" s="55">
        <v>44665</v>
      </c>
      <c r="O310" s="12" t="s">
        <v>691</v>
      </c>
      <c r="P310" s="62" t="s">
        <v>2860</v>
      </c>
      <c r="Q310" s="62"/>
      <c r="R310" s="62"/>
      <c r="S310" s="54"/>
      <c r="T310" s="54"/>
      <c r="U310" s="33"/>
    </row>
    <row r="311" spans="2:21" ht="14">
      <c r="B311" s="232"/>
      <c r="C311" s="232"/>
      <c r="D311" s="255"/>
      <c r="E311" s="255"/>
      <c r="F311" s="255"/>
      <c r="G311" s="255"/>
      <c r="H311" s="61"/>
      <c r="I311" s="72"/>
      <c r="J311" s="101"/>
      <c r="K311" s="62" t="s">
        <v>2333</v>
      </c>
      <c r="L311" s="62" t="s">
        <v>332</v>
      </c>
      <c r="M311" s="55" t="s">
        <v>349</v>
      </c>
      <c r="N311" s="55">
        <v>44732</v>
      </c>
      <c r="O311" s="12" t="s">
        <v>691</v>
      </c>
      <c r="P311" s="62" t="s">
        <v>3020</v>
      </c>
      <c r="Q311" s="62"/>
      <c r="R311" s="62"/>
      <c r="S311" s="54"/>
      <c r="T311" s="54"/>
      <c r="U311" s="33"/>
    </row>
    <row r="312" spans="2:21" ht="14">
      <c r="B312" s="232"/>
      <c r="C312" s="232"/>
      <c r="D312" s="255"/>
      <c r="E312" s="255"/>
      <c r="F312" s="255"/>
      <c r="G312" s="255"/>
      <c r="H312" s="61"/>
      <c r="I312" s="72"/>
      <c r="J312" s="101"/>
      <c r="K312" s="62" t="s">
        <v>2433</v>
      </c>
      <c r="L312" s="62" t="s">
        <v>332</v>
      </c>
      <c r="M312" s="55" t="s">
        <v>349</v>
      </c>
      <c r="N312" s="55">
        <v>44782</v>
      </c>
      <c r="O312" s="12" t="s">
        <v>691</v>
      </c>
      <c r="P312" s="62" t="s">
        <v>3185</v>
      </c>
      <c r="Q312" s="62"/>
      <c r="R312" s="62"/>
      <c r="S312" s="54"/>
      <c r="T312" s="54"/>
      <c r="U312" s="33"/>
    </row>
    <row r="313" spans="2:21" ht="14">
      <c r="B313" s="232"/>
      <c r="C313" s="232"/>
      <c r="D313" s="255"/>
      <c r="E313" s="255"/>
      <c r="F313" s="255"/>
      <c r="G313" s="255"/>
      <c r="H313" s="61"/>
      <c r="I313" s="72"/>
      <c r="J313" s="101"/>
      <c r="K313" s="62" t="s">
        <v>2861</v>
      </c>
      <c r="L313" s="62" t="s">
        <v>332</v>
      </c>
      <c r="M313" s="55" t="s">
        <v>349</v>
      </c>
      <c r="N313" s="55">
        <v>45219</v>
      </c>
      <c r="O313" s="12" t="s">
        <v>691</v>
      </c>
      <c r="P313" s="62" t="s">
        <v>4051</v>
      </c>
      <c r="Q313" s="62"/>
      <c r="R313" s="62"/>
      <c r="S313" s="54"/>
      <c r="T313" s="54"/>
      <c r="U313" s="33"/>
    </row>
    <row r="314" spans="2:21">
      <c r="B314" s="232"/>
      <c r="C314" s="232"/>
      <c r="D314" s="255"/>
      <c r="E314" s="255"/>
      <c r="F314" s="255"/>
      <c r="G314" s="255"/>
      <c r="H314" s="61"/>
      <c r="I314" s="72"/>
      <c r="J314" s="4"/>
      <c r="K314" s="62"/>
      <c r="L314" s="62"/>
      <c r="M314" s="55"/>
      <c r="N314" s="55"/>
      <c r="O314" s="12"/>
      <c r="P314" s="62"/>
      <c r="Q314" s="35"/>
      <c r="R314" s="35"/>
      <c r="S314" s="33"/>
      <c r="T314" s="33"/>
      <c r="U314" s="33"/>
    </row>
    <row r="315" spans="2:21" ht="14">
      <c r="B315" s="232"/>
      <c r="C315" s="232"/>
      <c r="D315" s="255"/>
      <c r="E315" s="255"/>
      <c r="F315" s="255"/>
      <c r="G315" s="255"/>
      <c r="H315" s="61"/>
      <c r="I315" s="72" t="s">
        <v>808</v>
      </c>
      <c r="J315" s="101" t="s">
        <v>1331</v>
      </c>
      <c r="K315" s="62" t="s">
        <v>330</v>
      </c>
      <c r="L315" s="62" t="s">
        <v>333</v>
      </c>
      <c r="M315" s="55" t="s">
        <v>349</v>
      </c>
      <c r="N315" s="55">
        <v>44164</v>
      </c>
      <c r="O315" s="12" t="s">
        <v>693</v>
      </c>
      <c r="P315" s="62" t="s">
        <v>679</v>
      </c>
      <c r="Q315" s="35"/>
      <c r="R315" s="35"/>
      <c r="S315" s="33"/>
      <c r="T315" s="33"/>
      <c r="U315" s="33"/>
    </row>
    <row r="316" spans="2:21" ht="14">
      <c r="B316" s="232"/>
      <c r="C316" s="232"/>
      <c r="D316" s="255"/>
      <c r="E316" s="255"/>
      <c r="F316" s="255"/>
      <c r="G316" s="255"/>
      <c r="H316" s="61"/>
      <c r="I316" s="61"/>
      <c r="J316" s="4"/>
      <c r="K316" s="62" t="s">
        <v>758</v>
      </c>
      <c r="L316" s="62" t="s">
        <v>332</v>
      </c>
      <c r="M316" s="55">
        <v>44071</v>
      </c>
      <c r="N316" s="55">
        <v>44176</v>
      </c>
      <c r="O316" s="12" t="s">
        <v>693</v>
      </c>
      <c r="P316" s="62" t="s">
        <v>757</v>
      </c>
      <c r="Q316" s="35"/>
      <c r="R316" s="35"/>
      <c r="S316" s="33"/>
      <c r="T316" s="33"/>
      <c r="U316" s="33"/>
    </row>
    <row r="317" spans="2:21" ht="14">
      <c r="B317" s="232"/>
      <c r="C317" s="232"/>
      <c r="D317" s="255"/>
      <c r="E317" s="255"/>
      <c r="F317" s="255"/>
      <c r="G317" s="255"/>
      <c r="H317" s="61"/>
      <c r="I317" s="72"/>
      <c r="J317" s="4"/>
      <c r="K317" s="62" t="s">
        <v>1164</v>
      </c>
      <c r="L317" s="62" t="s">
        <v>332</v>
      </c>
      <c r="M317" s="55" t="s">
        <v>349</v>
      </c>
      <c r="N317" s="55">
        <v>44253</v>
      </c>
      <c r="O317" s="12" t="s">
        <v>693</v>
      </c>
      <c r="P317" s="62" t="s">
        <v>1165</v>
      </c>
      <c r="Q317" s="35"/>
      <c r="R317" s="35"/>
      <c r="S317" s="33"/>
      <c r="T317" s="33"/>
      <c r="U317" s="33"/>
    </row>
    <row r="318" spans="2:21" ht="14">
      <c r="B318" s="232"/>
      <c r="C318" s="232"/>
      <c r="D318" s="255"/>
      <c r="E318" s="255"/>
      <c r="F318" s="255"/>
      <c r="G318" s="255"/>
      <c r="H318" s="61"/>
      <c r="I318" s="72"/>
      <c r="J318" s="4"/>
      <c r="K318" s="62" t="s">
        <v>1706</v>
      </c>
      <c r="L318" s="62" t="s">
        <v>332</v>
      </c>
      <c r="M318" s="55" t="s">
        <v>349</v>
      </c>
      <c r="N318" s="55">
        <v>44334</v>
      </c>
      <c r="O318" s="12" t="s">
        <v>693</v>
      </c>
      <c r="P318" s="62" t="s">
        <v>1707</v>
      </c>
      <c r="Q318" s="35"/>
      <c r="R318" s="35"/>
      <c r="S318" s="33"/>
      <c r="T318" s="33"/>
      <c r="U318" s="33"/>
    </row>
    <row r="319" spans="2:21" ht="14">
      <c r="B319" s="232"/>
      <c r="C319" s="232"/>
      <c r="D319" s="255"/>
      <c r="E319" s="255"/>
      <c r="F319" s="255"/>
      <c r="G319" s="255"/>
      <c r="H319" s="61"/>
      <c r="I319" s="72"/>
      <c r="J319" s="4"/>
      <c r="K319" s="62" t="s">
        <v>1865</v>
      </c>
      <c r="L319" s="62" t="s">
        <v>332</v>
      </c>
      <c r="M319" s="55" t="s">
        <v>349</v>
      </c>
      <c r="N319" s="55">
        <v>44372</v>
      </c>
      <c r="O319" s="12" t="s">
        <v>693</v>
      </c>
      <c r="P319" s="62" t="s">
        <v>1863</v>
      </c>
      <c r="Q319" s="35"/>
      <c r="R319" s="35"/>
      <c r="S319" s="33"/>
      <c r="T319" s="33"/>
      <c r="U319" s="33"/>
    </row>
    <row r="320" spans="2:21" ht="14">
      <c r="B320" s="232"/>
      <c r="C320" s="232"/>
      <c r="D320" s="255"/>
      <c r="E320" s="255"/>
      <c r="F320" s="255"/>
      <c r="G320" s="255"/>
      <c r="H320" s="61"/>
      <c r="I320" s="72"/>
      <c r="J320" s="4"/>
      <c r="K320" s="62" t="s">
        <v>2095</v>
      </c>
      <c r="L320" s="62" t="s">
        <v>332</v>
      </c>
      <c r="M320" s="55" t="s">
        <v>349</v>
      </c>
      <c r="N320" s="55">
        <v>44418</v>
      </c>
      <c r="O320" s="12" t="s">
        <v>693</v>
      </c>
      <c r="P320" s="62" t="s">
        <v>2094</v>
      </c>
      <c r="Q320" s="35"/>
      <c r="R320" s="35"/>
      <c r="S320" s="33"/>
      <c r="T320" s="33"/>
      <c r="U320" s="33"/>
    </row>
    <row r="321" spans="2:21" ht="14">
      <c r="B321" s="232"/>
      <c r="C321" s="232"/>
      <c r="D321" s="255"/>
      <c r="E321" s="255"/>
      <c r="F321" s="255"/>
      <c r="G321" s="255"/>
      <c r="H321" s="61"/>
      <c r="I321" s="72"/>
      <c r="J321" s="4"/>
      <c r="K321" s="62" t="s">
        <v>2096</v>
      </c>
      <c r="L321" s="62" t="s">
        <v>332</v>
      </c>
      <c r="M321" s="55" t="s">
        <v>349</v>
      </c>
      <c r="N321" s="55">
        <v>44474</v>
      </c>
      <c r="O321" s="12" t="s">
        <v>693</v>
      </c>
      <c r="P321" s="62" t="s">
        <v>2332</v>
      </c>
      <c r="Q321" s="35"/>
      <c r="R321" s="35"/>
      <c r="S321" s="33"/>
      <c r="T321" s="33"/>
      <c r="U321" s="33"/>
    </row>
    <row r="322" spans="2:21" ht="14">
      <c r="B322" s="232"/>
      <c r="C322" s="232"/>
      <c r="D322" s="255"/>
      <c r="E322" s="255"/>
      <c r="F322" s="255"/>
      <c r="G322" s="255"/>
      <c r="H322" s="61"/>
      <c r="I322" s="72"/>
      <c r="J322" s="4"/>
      <c r="K322" s="62" t="s">
        <v>2333</v>
      </c>
      <c r="L322" s="62" t="s">
        <v>332</v>
      </c>
      <c r="M322" s="55" t="s">
        <v>349</v>
      </c>
      <c r="N322" s="55">
        <v>44505</v>
      </c>
      <c r="O322" s="12" t="s">
        <v>693</v>
      </c>
      <c r="P322" s="62" t="s">
        <v>2432</v>
      </c>
      <c r="Q322" s="35"/>
      <c r="R322" s="35"/>
      <c r="S322" s="33"/>
      <c r="T322" s="33"/>
      <c r="U322" s="33"/>
    </row>
    <row r="323" spans="2:21" ht="14">
      <c r="B323" s="232"/>
      <c r="C323" s="232"/>
      <c r="D323" s="255"/>
      <c r="E323" s="255"/>
      <c r="F323" s="255"/>
      <c r="G323" s="255"/>
      <c r="H323" s="61"/>
      <c r="I323" s="72"/>
      <c r="J323" s="4"/>
      <c r="K323" s="62" t="s">
        <v>2861</v>
      </c>
      <c r="L323" s="62" t="s">
        <v>332</v>
      </c>
      <c r="M323" s="55" t="s">
        <v>349</v>
      </c>
      <c r="N323" s="55">
        <v>44665</v>
      </c>
      <c r="O323" s="12" t="s">
        <v>693</v>
      </c>
      <c r="P323" s="62" t="s">
        <v>2860</v>
      </c>
      <c r="Q323" s="35"/>
      <c r="R323" s="35"/>
      <c r="S323" s="33"/>
      <c r="T323" s="33"/>
      <c r="U323" s="33"/>
    </row>
    <row r="324" spans="2:21" ht="14">
      <c r="B324" s="232"/>
      <c r="C324" s="232"/>
      <c r="D324" s="255"/>
      <c r="E324" s="255"/>
      <c r="F324" s="255"/>
      <c r="G324" s="255"/>
      <c r="H324" s="61"/>
      <c r="I324" s="72"/>
      <c r="J324" s="4"/>
      <c r="K324" s="62" t="s">
        <v>3021</v>
      </c>
      <c r="L324" s="62" t="s">
        <v>332</v>
      </c>
      <c r="M324" s="55" t="s">
        <v>349</v>
      </c>
      <c r="N324" s="55">
        <v>44732</v>
      </c>
      <c r="O324" s="12" t="s">
        <v>693</v>
      </c>
      <c r="P324" s="62" t="s">
        <v>3020</v>
      </c>
      <c r="Q324" s="35"/>
      <c r="R324" s="35"/>
      <c r="S324" s="33"/>
      <c r="T324" s="33"/>
      <c r="U324" s="33"/>
    </row>
    <row r="325" spans="2:21" ht="14">
      <c r="B325" s="232"/>
      <c r="C325" s="232"/>
      <c r="D325" s="255"/>
      <c r="E325" s="255"/>
      <c r="F325" s="255"/>
      <c r="G325" s="255"/>
      <c r="H325" s="61"/>
      <c r="I325" s="72"/>
      <c r="J325" s="4"/>
      <c r="K325" s="62" t="s">
        <v>3186</v>
      </c>
      <c r="L325" s="62" t="s">
        <v>332</v>
      </c>
      <c r="M325" s="55" t="s">
        <v>349</v>
      </c>
      <c r="N325" s="55">
        <v>44782</v>
      </c>
      <c r="O325" s="12" t="s">
        <v>693</v>
      </c>
      <c r="P325" s="62" t="s">
        <v>3185</v>
      </c>
      <c r="Q325" s="35"/>
      <c r="R325" s="35"/>
      <c r="S325" s="33"/>
      <c r="T325" s="33"/>
      <c r="U325" s="33"/>
    </row>
    <row r="326" spans="2:21" ht="14">
      <c r="B326" s="232"/>
      <c r="C326" s="232"/>
      <c r="D326" s="255"/>
      <c r="E326" s="255"/>
      <c r="F326" s="255"/>
      <c r="G326" s="255"/>
      <c r="H326" s="61"/>
      <c r="I326" s="72"/>
      <c r="J326" s="4"/>
      <c r="K326" s="62" t="s">
        <v>3748</v>
      </c>
      <c r="L326" s="62" t="s">
        <v>332</v>
      </c>
      <c r="M326" s="55" t="s">
        <v>349</v>
      </c>
      <c r="N326" s="55">
        <v>45219</v>
      </c>
      <c r="O326" s="12" t="s">
        <v>693</v>
      </c>
      <c r="P326" s="62" t="s">
        <v>4051</v>
      </c>
      <c r="Q326" s="35"/>
      <c r="R326" s="35"/>
      <c r="S326" s="33"/>
      <c r="T326" s="33"/>
      <c r="U326" s="33"/>
    </row>
    <row r="327" spans="2:21">
      <c r="B327" s="232"/>
      <c r="C327" s="232"/>
      <c r="D327" s="255"/>
      <c r="E327" s="255"/>
      <c r="F327" s="255"/>
      <c r="G327" s="255"/>
      <c r="H327" s="61"/>
      <c r="I327" s="72"/>
      <c r="J327" s="4"/>
      <c r="K327" s="62"/>
      <c r="L327" s="62"/>
      <c r="M327" s="55"/>
      <c r="N327" s="55"/>
      <c r="O327" s="12"/>
      <c r="P327" s="62"/>
      <c r="Q327" s="35"/>
      <c r="R327" s="35"/>
      <c r="S327" s="33"/>
      <c r="T327" s="33"/>
      <c r="U327" s="33"/>
    </row>
    <row r="328" spans="2:21" ht="14">
      <c r="B328" s="232"/>
      <c r="C328" s="232"/>
      <c r="D328" s="255"/>
      <c r="E328" s="255"/>
      <c r="F328" s="255"/>
      <c r="G328" s="255"/>
      <c r="H328" s="61"/>
      <c r="I328" s="72" t="s">
        <v>809</v>
      </c>
      <c r="J328" s="101" t="s">
        <v>1332</v>
      </c>
      <c r="K328" s="62" t="s">
        <v>758</v>
      </c>
      <c r="L328" s="62" t="s">
        <v>332</v>
      </c>
      <c r="M328" s="55">
        <v>44071</v>
      </c>
      <c r="N328" s="55">
        <v>44176</v>
      </c>
      <c r="O328" s="12" t="s">
        <v>1337</v>
      </c>
      <c r="P328" s="62" t="s">
        <v>757</v>
      </c>
      <c r="Q328" s="35"/>
      <c r="R328" s="35"/>
      <c r="S328" s="33"/>
      <c r="T328" s="33"/>
      <c r="U328" s="33"/>
    </row>
    <row r="329" spans="2:21" ht="14">
      <c r="B329" s="232"/>
      <c r="C329" s="232"/>
      <c r="D329" s="255"/>
      <c r="E329" s="255"/>
      <c r="F329" s="255"/>
      <c r="G329" s="255"/>
      <c r="H329" s="61"/>
      <c r="I329" s="72"/>
      <c r="J329" s="4"/>
      <c r="K329" s="62" t="s">
        <v>1164</v>
      </c>
      <c r="L329" s="62" t="s">
        <v>332</v>
      </c>
      <c r="M329" s="55" t="s">
        <v>349</v>
      </c>
      <c r="N329" s="55">
        <v>44253</v>
      </c>
      <c r="O329" s="12" t="s">
        <v>1337</v>
      </c>
      <c r="P329" s="62" t="s">
        <v>1165</v>
      </c>
      <c r="Q329" s="35"/>
      <c r="R329" s="35"/>
      <c r="S329" s="33"/>
      <c r="T329" s="33"/>
      <c r="U329" s="33"/>
    </row>
    <row r="330" spans="2:21" ht="14">
      <c r="B330" s="232"/>
      <c r="C330" s="232"/>
      <c r="D330" s="255"/>
      <c r="E330" s="255"/>
      <c r="F330" s="255"/>
      <c r="G330" s="255"/>
      <c r="H330" s="61"/>
      <c r="I330" s="72"/>
      <c r="J330" s="4"/>
      <c r="K330" s="62" t="s">
        <v>1706</v>
      </c>
      <c r="L330" s="62" t="s">
        <v>332</v>
      </c>
      <c r="M330" s="55" t="s">
        <v>349</v>
      </c>
      <c r="N330" s="55">
        <v>44334</v>
      </c>
      <c r="O330" s="12" t="s">
        <v>1337</v>
      </c>
      <c r="P330" s="62" t="s">
        <v>1707</v>
      </c>
      <c r="Q330" s="35"/>
      <c r="R330" s="35"/>
      <c r="S330" s="33"/>
      <c r="T330" s="33"/>
      <c r="U330" s="33"/>
    </row>
    <row r="331" spans="2:21" ht="14">
      <c r="B331" s="232"/>
      <c r="C331" s="232"/>
      <c r="D331" s="255"/>
      <c r="E331" s="255"/>
      <c r="F331" s="255"/>
      <c r="G331" s="255"/>
      <c r="H331" s="61"/>
      <c r="I331" s="72"/>
      <c r="J331" s="4"/>
      <c r="K331" s="62" t="s">
        <v>1865</v>
      </c>
      <c r="L331" s="62" t="s">
        <v>332</v>
      </c>
      <c r="M331" s="55" t="s">
        <v>349</v>
      </c>
      <c r="N331" s="55">
        <v>44372</v>
      </c>
      <c r="O331" s="12" t="s">
        <v>1337</v>
      </c>
      <c r="P331" s="62" t="s">
        <v>1863</v>
      </c>
      <c r="Q331" s="35"/>
      <c r="R331" s="35"/>
      <c r="S331" s="33"/>
      <c r="T331" s="33"/>
      <c r="U331" s="33"/>
    </row>
    <row r="332" spans="2:21" ht="14">
      <c r="B332" s="232"/>
      <c r="C332" s="232"/>
      <c r="D332" s="255"/>
      <c r="E332" s="255"/>
      <c r="F332" s="255"/>
      <c r="G332" s="255"/>
      <c r="H332" s="61"/>
      <c r="I332" s="72"/>
      <c r="J332" s="4"/>
      <c r="K332" s="62" t="s">
        <v>2095</v>
      </c>
      <c r="L332" s="62" t="s">
        <v>332</v>
      </c>
      <c r="M332" s="55" t="s">
        <v>349</v>
      </c>
      <c r="N332" s="55">
        <v>44418</v>
      </c>
      <c r="O332" s="12" t="s">
        <v>1337</v>
      </c>
      <c r="P332" s="62" t="s">
        <v>2094</v>
      </c>
      <c r="Q332" s="35"/>
      <c r="R332" s="35"/>
      <c r="S332" s="33"/>
      <c r="T332" s="33"/>
      <c r="U332" s="33"/>
    </row>
    <row r="333" spans="2:21" ht="14">
      <c r="B333" s="232"/>
      <c r="C333" s="232"/>
      <c r="D333" s="255"/>
      <c r="E333" s="255"/>
      <c r="F333" s="255"/>
      <c r="G333" s="255"/>
      <c r="H333" s="61"/>
      <c r="I333" s="72"/>
      <c r="J333" s="4"/>
      <c r="K333" s="62" t="s">
        <v>2096</v>
      </c>
      <c r="L333" s="62" t="s">
        <v>332</v>
      </c>
      <c r="M333" s="55" t="s">
        <v>349</v>
      </c>
      <c r="N333" s="55">
        <v>44505</v>
      </c>
      <c r="O333" s="12" t="s">
        <v>1337</v>
      </c>
      <c r="P333" s="62" t="s">
        <v>2432</v>
      </c>
      <c r="Q333" s="35"/>
      <c r="R333" s="35"/>
      <c r="S333" s="33"/>
      <c r="T333" s="33"/>
      <c r="U333" s="33"/>
    </row>
    <row r="334" spans="2:21" ht="14">
      <c r="B334" s="232"/>
      <c r="C334" s="232"/>
      <c r="D334" s="255"/>
      <c r="E334" s="255"/>
      <c r="F334" s="255"/>
      <c r="G334" s="255"/>
      <c r="H334" s="61"/>
      <c r="I334" s="72"/>
      <c r="J334" s="4"/>
      <c r="K334" s="62" t="s">
        <v>2861</v>
      </c>
      <c r="L334" s="62" t="s">
        <v>332</v>
      </c>
      <c r="M334" s="55" t="s">
        <v>349</v>
      </c>
      <c r="N334" s="55">
        <v>44732</v>
      </c>
      <c r="O334" s="12" t="s">
        <v>1337</v>
      </c>
      <c r="P334" s="62" t="s">
        <v>3020</v>
      </c>
      <c r="Q334" s="35"/>
      <c r="R334" s="35"/>
      <c r="S334" s="33"/>
      <c r="T334" s="33"/>
      <c r="U334" s="33"/>
    </row>
    <row r="335" spans="2:21" ht="14">
      <c r="B335" s="232"/>
      <c r="C335" s="232"/>
      <c r="D335" s="255"/>
      <c r="E335" s="255"/>
      <c r="F335" s="255"/>
      <c r="G335" s="255"/>
      <c r="H335" s="61"/>
      <c r="I335" s="72"/>
      <c r="J335" s="4"/>
      <c r="K335" s="62" t="s">
        <v>3021</v>
      </c>
      <c r="L335" s="62" t="s">
        <v>332</v>
      </c>
      <c r="M335" s="55" t="s">
        <v>349</v>
      </c>
      <c r="N335" s="55">
        <v>44782</v>
      </c>
      <c r="O335" s="12" t="s">
        <v>1337</v>
      </c>
      <c r="P335" s="62" t="s">
        <v>3185</v>
      </c>
      <c r="Q335" s="35"/>
      <c r="R335" s="35"/>
      <c r="S335" s="33"/>
      <c r="T335" s="33"/>
      <c r="U335" s="33"/>
    </row>
    <row r="336" spans="2:21" ht="14">
      <c r="B336" s="232"/>
      <c r="C336" s="232"/>
      <c r="D336" s="255"/>
      <c r="E336" s="255"/>
      <c r="F336" s="255"/>
      <c r="G336" s="255"/>
      <c r="H336" s="61"/>
      <c r="I336" s="72"/>
      <c r="J336" s="4"/>
      <c r="K336" s="62" t="s">
        <v>3186</v>
      </c>
      <c r="L336" s="62" t="s">
        <v>332</v>
      </c>
      <c r="M336" s="55" t="s">
        <v>349</v>
      </c>
      <c r="N336" s="55">
        <v>44858</v>
      </c>
      <c r="O336" s="12" t="s">
        <v>1337</v>
      </c>
      <c r="P336" s="62" t="s">
        <v>3309</v>
      </c>
      <c r="Q336" s="35"/>
      <c r="R336" s="35"/>
      <c r="S336" s="33"/>
      <c r="T336" s="33"/>
      <c r="U336" s="33"/>
    </row>
    <row r="337" spans="2:21" ht="14">
      <c r="B337" s="232"/>
      <c r="C337" s="232"/>
      <c r="D337" s="255"/>
      <c r="E337" s="255"/>
      <c r="F337" s="255"/>
      <c r="G337" s="255"/>
      <c r="H337" s="61"/>
      <c r="I337" s="72"/>
      <c r="J337" s="4"/>
      <c r="K337" s="62" t="s">
        <v>3748</v>
      </c>
      <c r="L337" s="62" t="s">
        <v>332</v>
      </c>
      <c r="M337" s="55" t="s">
        <v>349</v>
      </c>
      <c r="N337" s="55">
        <v>45058</v>
      </c>
      <c r="O337" s="12" t="s">
        <v>1337</v>
      </c>
      <c r="P337" s="62" t="s">
        <v>3749</v>
      </c>
      <c r="Q337" s="35"/>
      <c r="R337" s="35"/>
      <c r="S337" s="33"/>
      <c r="T337" s="33"/>
      <c r="U337" s="33"/>
    </row>
    <row r="338" spans="2:21" ht="14">
      <c r="B338" s="232"/>
      <c r="C338" s="232"/>
      <c r="D338" s="255"/>
      <c r="E338" s="255"/>
      <c r="F338" s="255"/>
      <c r="G338" s="255"/>
      <c r="H338" s="61"/>
      <c r="I338" s="72"/>
      <c r="J338" s="4"/>
      <c r="K338" s="62" t="s">
        <v>4052</v>
      </c>
      <c r="L338" s="62" t="s">
        <v>332</v>
      </c>
      <c r="M338" s="55" t="s">
        <v>349</v>
      </c>
      <c r="N338" s="55">
        <v>45219</v>
      </c>
      <c r="O338" s="12" t="s">
        <v>1337</v>
      </c>
      <c r="P338" s="62" t="s">
        <v>4051</v>
      </c>
      <c r="Q338" s="35"/>
      <c r="R338" s="35"/>
      <c r="S338" s="33"/>
      <c r="T338" s="33"/>
      <c r="U338" s="33"/>
    </row>
    <row r="339" spans="2:21">
      <c r="B339" s="232"/>
      <c r="C339" s="232"/>
      <c r="D339" s="255"/>
      <c r="E339" s="255"/>
      <c r="F339" s="255"/>
      <c r="G339" s="255"/>
      <c r="H339" s="61"/>
      <c r="I339" s="72"/>
      <c r="J339" s="4"/>
      <c r="K339" s="62"/>
      <c r="L339" s="62"/>
      <c r="M339" s="55"/>
      <c r="N339" s="55"/>
      <c r="O339" s="12"/>
      <c r="P339" s="62"/>
      <c r="Q339" s="35"/>
      <c r="R339" s="35"/>
      <c r="S339" s="33"/>
      <c r="T339" s="33"/>
      <c r="U339" s="33"/>
    </row>
    <row r="340" spans="2:21" ht="14">
      <c r="B340" s="232"/>
      <c r="C340" s="232"/>
      <c r="D340" s="255"/>
      <c r="E340" s="255"/>
      <c r="F340" s="255"/>
      <c r="G340" s="255"/>
      <c r="H340" s="61"/>
      <c r="I340" s="72" t="s">
        <v>810</v>
      </c>
      <c r="J340" s="101" t="s">
        <v>1333</v>
      </c>
      <c r="K340" s="62" t="s">
        <v>758</v>
      </c>
      <c r="L340" s="62" t="s">
        <v>332</v>
      </c>
      <c r="M340" s="55" t="s">
        <v>349</v>
      </c>
      <c r="N340" s="55">
        <v>44253</v>
      </c>
      <c r="O340" s="12" t="s">
        <v>1336</v>
      </c>
      <c r="P340" s="62" t="s">
        <v>1165</v>
      </c>
      <c r="Q340" s="35"/>
      <c r="R340" s="35"/>
      <c r="S340" s="33"/>
      <c r="T340" s="33"/>
      <c r="U340" s="33"/>
    </row>
    <row r="341" spans="2:21" ht="14">
      <c r="B341" s="232"/>
      <c r="C341" s="232"/>
      <c r="D341" s="255"/>
      <c r="E341" s="255"/>
      <c r="F341" s="255"/>
      <c r="G341" s="255"/>
      <c r="H341" s="61"/>
      <c r="I341" s="72"/>
      <c r="J341" s="101"/>
      <c r="K341" s="62" t="s">
        <v>1706</v>
      </c>
      <c r="L341" s="62" t="s">
        <v>332</v>
      </c>
      <c r="M341" s="55" t="s">
        <v>349</v>
      </c>
      <c r="N341" s="55">
        <v>44334</v>
      </c>
      <c r="O341" s="12" t="s">
        <v>1336</v>
      </c>
      <c r="P341" s="62" t="s">
        <v>1707</v>
      </c>
      <c r="Q341" s="35"/>
      <c r="R341" s="35"/>
      <c r="S341" s="33"/>
      <c r="T341" s="33"/>
      <c r="U341" s="33"/>
    </row>
    <row r="342" spans="2:21" ht="14">
      <c r="B342" s="232"/>
      <c r="C342" s="232"/>
      <c r="D342" s="255"/>
      <c r="E342" s="255"/>
      <c r="F342" s="255"/>
      <c r="G342" s="255"/>
      <c r="H342" s="61"/>
      <c r="I342" s="72"/>
      <c r="J342" s="101"/>
      <c r="K342" s="62" t="s">
        <v>1865</v>
      </c>
      <c r="L342" s="62" t="s">
        <v>332</v>
      </c>
      <c r="M342" s="55" t="s">
        <v>349</v>
      </c>
      <c r="N342" s="55">
        <v>44372</v>
      </c>
      <c r="O342" s="12" t="s">
        <v>1336</v>
      </c>
      <c r="P342" s="62" t="s">
        <v>1863</v>
      </c>
      <c r="Q342" s="35"/>
      <c r="R342" s="35"/>
      <c r="S342" s="33"/>
      <c r="T342" s="33"/>
      <c r="U342" s="33"/>
    </row>
    <row r="343" spans="2:21" ht="14">
      <c r="B343" s="232"/>
      <c r="C343" s="232"/>
      <c r="D343" s="255"/>
      <c r="E343" s="255"/>
      <c r="F343" s="255"/>
      <c r="G343" s="255"/>
      <c r="H343" s="61"/>
      <c r="I343" s="72"/>
      <c r="J343" s="101"/>
      <c r="K343" s="62" t="s">
        <v>2095</v>
      </c>
      <c r="L343" s="62" t="s">
        <v>332</v>
      </c>
      <c r="M343" s="55" t="s">
        <v>349</v>
      </c>
      <c r="N343" s="55">
        <v>44418</v>
      </c>
      <c r="O343" s="12" t="s">
        <v>1336</v>
      </c>
      <c r="P343" s="62" t="s">
        <v>2094</v>
      </c>
      <c r="Q343" s="35"/>
      <c r="R343" s="35"/>
      <c r="S343" s="33"/>
      <c r="T343" s="33"/>
      <c r="U343" s="33"/>
    </row>
    <row r="344" spans="2:21" ht="14">
      <c r="B344" s="232"/>
      <c r="C344" s="232"/>
      <c r="D344" s="255"/>
      <c r="E344" s="255"/>
      <c r="F344" s="255"/>
      <c r="G344" s="255"/>
      <c r="H344" s="61"/>
      <c r="I344" s="72"/>
      <c r="J344" s="101"/>
      <c r="K344" s="62" t="s">
        <v>2096</v>
      </c>
      <c r="L344" s="62" t="s">
        <v>332</v>
      </c>
      <c r="M344" s="55" t="s">
        <v>349</v>
      </c>
      <c r="N344" s="55">
        <v>44505</v>
      </c>
      <c r="O344" s="12" t="s">
        <v>1336</v>
      </c>
      <c r="P344" s="62" t="s">
        <v>2432</v>
      </c>
      <c r="Q344" s="35"/>
      <c r="R344" s="35"/>
      <c r="S344" s="33"/>
      <c r="T344" s="33"/>
      <c r="U344" s="33"/>
    </row>
    <row r="345" spans="2:21" ht="14">
      <c r="B345" s="232"/>
      <c r="C345" s="232"/>
      <c r="D345" s="255"/>
      <c r="E345" s="255"/>
      <c r="F345" s="255"/>
      <c r="G345" s="255"/>
      <c r="H345" s="61"/>
      <c r="I345" s="72"/>
      <c r="J345" s="101"/>
      <c r="K345" s="62" t="s">
        <v>2433</v>
      </c>
      <c r="L345" s="62" t="s">
        <v>332</v>
      </c>
      <c r="M345" s="55" t="s">
        <v>349</v>
      </c>
      <c r="N345" s="55">
        <v>44732</v>
      </c>
      <c r="O345" s="12" t="s">
        <v>1336</v>
      </c>
      <c r="P345" s="62" t="s">
        <v>3020</v>
      </c>
      <c r="Q345" s="35"/>
      <c r="R345" s="35"/>
      <c r="S345" s="33"/>
      <c r="T345" s="33"/>
      <c r="U345" s="33"/>
    </row>
    <row r="346" spans="2:21" ht="14">
      <c r="B346" s="232"/>
      <c r="C346" s="232"/>
      <c r="D346" s="255"/>
      <c r="E346" s="255"/>
      <c r="F346" s="255"/>
      <c r="G346" s="255"/>
      <c r="H346" s="61"/>
      <c r="I346" s="72"/>
      <c r="J346" s="101"/>
      <c r="K346" s="62" t="s">
        <v>2861</v>
      </c>
      <c r="L346" s="62" t="s">
        <v>332</v>
      </c>
      <c r="M346" s="55" t="s">
        <v>349</v>
      </c>
      <c r="N346" s="55">
        <v>44782</v>
      </c>
      <c r="O346" s="12" t="s">
        <v>1336</v>
      </c>
      <c r="P346" s="62" t="s">
        <v>3185</v>
      </c>
      <c r="Q346" s="35"/>
      <c r="R346" s="35"/>
      <c r="S346" s="33"/>
      <c r="T346" s="33"/>
      <c r="U346" s="33"/>
    </row>
    <row r="347" spans="2:21" ht="14">
      <c r="B347" s="232"/>
      <c r="C347" s="232"/>
      <c r="D347" s="255"/>
      <c r="E347" s="255"/>
      <c r="F347" s="255"/>
      <c r="G347" s="255"/>
      <c r="H347" s="61"/>
      <c r="I347" s="72"/>
      <c r="J347" s="101"/>
      <c r="K347" s="62" t="s">
        <v>3021</v>
      </c>
      <c r="L347" s="62" t="s">
        <v>332</v>
      </c>
      <c r="M347" s="55" t="s">
        <v>349</v>
      </c>
      <c r="N347" s="55">
        <v>45219</v>
      </c>
      <c r="O347" s="12" t="s">
        <v>1336</v>
      </c>
      <c r="P347" s="62" t="s">
        <v>4051</v>
      </c>
      <c r="Q347" s="35"/>
      <c r="R347" s="35"/>
      <c r="S347" s="33"/>
      <c r="T347" s="33"/>
      <c r="U347" s="33"/>
    </row>
    <row r="348" spans="2:21">
      <c r="B348" s="232"/>
      <c r="C348" s="232"/>
      <c r="D348" s="255"/>
      <c r="E348" s="255"/>
      <c r="F348" s="255"/>
      <c r="G348" s="255"/>
      <c r="H348" s="61"/>
      <c r="I348" s="72"/>
      <c r="J348" s="4"/>
      <c r="K348" s="62"/>
      <c r="L348" s="62"/>
      <c r="M348" s="55"/>
      <c r="N348" s="55"/>
      <c r="O348" s="12"/>
      <c r="P348" s="62"/>
      <c r="Q348" s="35"/>
      <c r="R348" s="35"/>
      <c r="S348" s="33"/>
      <c r="T348" s="33"/>
      <c r="U348" s="33"/>
    </row>
    <row r="349" spans="2:21" ht="14">
      <c r="B349" s="232"/>
      <c r="C349" s="232"/>
      <c r="D349" s="255"/>
      <c r="E349" s="255"/>
      <c r="F349" s="255"/>
      <c r="G349" s="255"/>
      <c r="H349" s="61"/>
      <c r="I349" s="72" t="s">
        <v>811</v>
      </c>
      <c r="J349" s="101" t="s">
        <v>1334</v>
      </c>
      <c r="K349" s="62" t="s">
        <v>758</v>
      </c>
      <c r="L349" s="62" t="s">
        <v>332</v>
      </c>
      <c r="M349" s="55" t="s">
        <v>349</v>
      </c>
      <c r="N349" s="55">
        <v>44253</v>
      </c>
      <c r="O349" s="12" t="s">
        <v>1335</v>
      </c>
      <c r="P349" s="62" t="s">
        <v>1165</v>
      </c>
      <c r="Q349" s="35"/>
      <c r="R349" s="35"/>
      <c r="S349" s="33"/>
      <c r="T349" s="33"/>
      <c r="U349" s="33"/>
    </row>
    <row r="350" spans="2:21" ht="14">
      <c r="B350" s="232"/>
      <c r="C350" s="232"/>
      <c r="D350" s="255"/>
      <c r="E350" s="255"/>
      <c r="F350" s="255"/>
      <c r="G350" s="255"/>
      <c r="H350" s="61"/>
      <c r="I350" s="72"/>
      <c r="J350" s="101"/>
      <c r="K350" s="62" t="s">
        <v>1706</v>
      </c>
      <c r="L350" s="62" t="s">
        <v>332</v>
      </c>
      <c r="M350" s="55" t="s">
        <v>349</v>
      </c>
      <c r="N350" s="55">
        <v>44334</v>
      </c>
      <c r="O350" s="12" t="s">
        <v>1335</v>
      </c>
      <c r="P350" s="62" t="s">
        <v>1707</v>
      </c>
      <c r="Q350" s="35"/>
      <c r="R350" s="35"/>
      <c r="S350" s="33"/>
      <c r="T350" s="33"/>
      <c r="U350" s="33"/>
    </row>
    <row r="351" spans="2:21" ht="14">
      <c r="B351" s="232"/>
      <c r="C351" s="232"/>
      <c r="D351" s="255"/>
      <c r="E351" s="255"/>
      <c r="F351" s="255"/>
      <c r="G351" s="255"/>
      <c r="H351" s="61"/>
      <c r="I351" s="72"/>
      <c r="J351" s="101"/>
      <c r="K351" s="62" t="s">
        <v>1865</v>
      </c>
      <c r="L351" s="62" t="s">
        <v>332</v>
      </c>
      <c r="M351" s="55" t="s">
        <v>349</v>
      </c>
      <c r="N351" s="55">
        <v>44372</v>
      </c>
      <c r="O351" s="12" t="s">
        <v>1335</v>
      </c>
      <c r="P351" s="62" t="s">
        <v>1863</v>
      </c>
      <c r="Q351" s="35"/>
      <c r="R351" s="35"/>
      <c r="S351" s="33"/>
      <c r="T351" s="33"/>
      <c r="U351" s="33"/>
    </row>
    <row r="352" spans="2:21" ht="14">
      <c r="B352" s="232"/>
      <c r="C352" s="232"/>
      <c r="D352" s="255"/>
      <c r="E352" s="255"/>
      <c r="F352" s="255"/>
      <c r="G352" s="255"/>
      <c r="H352" s="61"/>
      <c r="I352" s="72"/>
      <c r="J352" s="101"/>
      <c r="K352" s="62" t="s">
        <v>2095</v>
      </c>
      <c r="L352" s="62" t="s">
        <v>332</v>
      </c>
      <c r="M352" s="55" t="s">
        <v>349</v>
      </c>
      <c r="N352" s="55">
        <v>44418</v>
      </c>
      <c r="O352" s="12" t="s">
        <v>1335</v>
      </c>
      <c r="P352" s="62" t="s">
        <v>2094</v>
      </c>
      <c r="Q352" s="35"/>
      <c r="R352" s="35"/>
      <c r="S352" s="33"/>
      <c r="T352" s="33"/>
      <c r="U352" s="33"/>
    </row>
    <row r="353" spans="2:21" ht="14">
      <c r="B353" s="232"/>
      <c r="C353" s="232"/>
      <c r="D353" s="255"/>
      <c r="E353" s="255"/>
      <c r="F353" s="255"/>
      <c r="G353" s="255"/>
      <c r="H353" s="61"/>
      <c r="I353" s="72"/>
      <c r="J353" s="101"/>
      <c r="K353" s="62" t="s">
        <v>2096</v>
      </c>
      <c r="L353" s="62" t="s">
        <v>332</v>
      </c>
      <c r="M353" s="55" t="s">
        <v>349</v>
      </c>
      <c r="N353" s="55">
        <v>44474</v>
      </c>
      <c r="O353" s="12" t="s">
        <v>1335</v>
      </c>
      <c r="P353" s="62" t="s">
        <v>2332</v>
      </c>
      <c r="Q353" s="35"/>
      <c r="R353" s="35"/>
      <c r="S353" s="33"/>
      <c r="T353" s="33"/>
      <c r="U353" s="33"/>
    </row>
    <row r="354" spans="2:21" ht="14">
      <c r="B354" s="232"/>
      <c r="C354" s="232"/>
      <c r="D354" s="255"/>
      <c r="E354" s="255"/>
      <c r="F354" s="255"/>
      <c r="G354" s="255"/>
      <c r="H354" s="61"/>
      <c r="I354" s="72"/>
      <c r="J354" s="101"/>
      <c r="K354" s="62" t="s">
        <v>2333</v>
      </c>
      <c r="L354" s="62" t="s">
        <v>332</v>
      </c>
      <c r="M354" s="55" t="s">
        <v>349</v>
      </c>
      <c r="N354" s="55">
        <v>44505</v>
      </c>
      <c r="O354" s="12" t="s">
        <v>1335</v>
      </c>
      <c r="P354" s="62" t="s">
        <v>2432</v>
      </c>
      <c r="Q354" s="35"/>
      <c r="R354" s="35"/>
      <c r="S354" s="33"/>
      <c r="T354" s="33"/>
      <c r="U354" s="33"/>
    </row>
    <row r="355" spans="2:21" ht="14">
      <c r="B355" s="232"/>
      <c r="C355" s="232"/>
      <c r="D355" s="255"/>
      <c r="E355" s="255"/>
      <c r="F355" s="255"/>
      <c r="G355" s="255"/>
      <c r="H355" s="61"/>
      <c r="I355" s="72"/>
      <c r="J355" s="101"/>
      <c r="K355" s="62" t="s">
        <v>2433</v>
      </c>
      <c r="L355" s="62" t="s">
        <v>332</v>
      </c>
      <c r="M355" s="55" t="s">
        <v>349</v>
      </c>
      <c r="N355" s="55">
        <v>44732</v>
      </c>
      <c r="O355" s="12" t="s">
        <v>1335</v>
      </c>
      <c r="P355" s="62" t="s">
        <v>3020</v>
      </c>
      <c r="Q355" s="35"/>
      <c r="R355" s="35"/>
      <c r="S355" s="33"/>
      <c r="T355" s="33"/>
      <c r="U355" s="33"/>
    </row>
    <row r="356" spans="2:21" ht="14">
      <c r="B356" s="232"/>
      <c r="C356" s="232"/>
      <c r="D356" s="255"/>
      <c r="E356" s="255"/>
      <c r="F356" s="255"/>
      <c r="G356" s="255"/>
      <c r="H356" s="61"/>
      <c r="I356" s="72"/>
      <c r="J356" s="101"/>
      <c r="K356" s="62" t="s">
        <v>2861</v>
      </c>
      <c r="L356" s="62" t="s">
        <v>332</v>
      </c>
      <c r="M356" s="55" t="s">
        <v>349</v>
      </c>
      <c r="N356" s="55">
        <v>44782</v>
      </c>
      <c r="O356" s="12" t="s">
        <v>1335</v>
      </c>
      <c r="P356" s="62" t="s">
        <v>3185</v>
      </c>
      <c r="Q356" s="35"/>
      <c r="R356" s="35"/>
      <c r="S356" s="33"/>
      <c r="T356" s="33"/>
      <c r="U356" s="33"/>
    </row>
    <row r="357" spans="2:21" ht="14">
      <c r="B357" s="232"/>
      <c r="C357" s="232"/>
      <c r="D357" s="255"/>
      <c r="E357" s="255"/>
      <c r="F357" s="255"/>
      <c r="G357" s="255"/>
      <c r="H357" s="61"/>
      <c r="I357" s="72"/>
      <c r="J357" s="101"/>
      <c r="K357" s="62" t="s">
        <v>3021</v>
      </c>
      <c r="L357" s="62" t="s">
        <v>332</v>
      </c>
      <c r="M357" s="55" t="s">
        <v>349</v>
      </c>
      <c r="N357" s="55">
        <v>44859</v>
      </c>
      <c r="O357" s="12" t="s">
        <v>1335</v>
      </c>
      <c r="P357" s="62" t="s">
        <v>3328</v>
      </c>
      <c r="Q357" s="35"/>
      <c r="R357" s="35"/>
      <c r="S357" s="33"/>
      <c r="T357" s="33"/>
      <c r="U357" s="33"/>
    </row>
    <row r="358" spans="2:21" ht="14">
      <c r="B358" s="232"/>
      <c r="C358" s="232"/>
      <c r="D358" s="255"/>
      <c r="E358" s="255"/>
      <c r="F358" s="255"/>
      <c r="G358" s="255"/>
      <c r="H358" s="61"/>
      <c r="I358" s="72"/>
      <c r="J358" s="101"/>
      <c r="K358" s="62" t="s">
        <v>3186</v>
      </c>
      <c r="L358" s="62" t="s">
        <v>332</v>
      </c>
      <c r="M358" s="55" t="s">
        <v>349</v>
      </c>
      <c r="N358" s="55">
        <v>45219</v>
      </c>
      <c r="O358" s="12" t="s">
        <v>1335</v>
      </c>
      <c r="P358" s="62" t="s">
        <v>4051</v>
      </c>
      <c r="Q358" s="35"/>
      <c r="R358" s="35"/>
      <c r="S358" s="33"/>
      <c r="T358" s="33"/>
      <c r="U358" s="33"/>
    </row>
    <row r="359" spans="2:21">
      <c r="B359" s="232"/>
      <c r="C359" s="232"/>
      <c r="D359" s="255"/>
      <c r="E359" s="255"/>
      <c r="F359" s="255"/>
      <c r="G359" s="255"/>
      <c r="H359" s="61"/>
      <c r="I359" s="72"/>
      <c r="J359" s="101"/>
      <c r="K359" s="62"/>
      <c r="L359" s="62"/>
      <c r="M359" s="55"/>
      <c r="N359" s="55"/>
      <c r="O359" s="12"/>
      <c r="P359" s="62"/>
      <c r="Q359" s="35"/>
      <c r="R359" s="35"/>
      <c r="S359" s="33"/>
      <c r="T359" s="33"/>
      <c r="U359" s="33"/>
    </row>
    <row r="360" spans="2:21" ht="14">
      <c r="B360" s="232"/>
      <c r="C360" s="232"/>
      <c r="D360" s="255"/>
      <c r="E360" s="255"/>
      <c r="F360" s="255"/>
      <c r="G360" s="255"/>
      <c r="H360" s="61"/>
      <c r="I360" s="72" t="s">
        <v>1101</v>
      </c>
      <c r="J360" s="101" t="s">
        <v>1867</v>
      </c>
      <c r="K360" s="62" t="s">
        <v>758</v>
      </c>
      <c r="L360" s="62" t="s">
        <v>332</v>
      </c>
      <c r="M360" s="55" t="s">
        <v>349</v>
      </c>
      <c r="N360" s="55">
        <v>44372</v>
      </c>
      <c r="O360" s="12" t="s">
        <v>698</v>
      </c>
      <c r="P360" s="62" t="s">
        <v>1863</v>
      </c>
      <c r="Q360" s="35"/>
      <c r="R360" s="35"/>
      <c r="S360" s="33"/>
      <c r="T360" s="33"/>
      <c r="U360" s="33"/>
    </row>
    <row r="361" spans="2:21" ht="14">
      <c r="B361" s="232"/>
      <c r="C361" s="232"/>
      <c r="D361" s="255"/>
      <c r="E361" s="255"/>
      <c r="F361" s="255"/>
      <c r="G361" s="255"/>
      <c r="H361" s="61"/>
      <c r="I361" s="61"/>
      <c r="J361" s="4"/>
      <c r="K361" s="62" t="s">
        <v>1164</v>
      </c>
      <c r="L361" s="62" t="s">
        <v>332</v>
      </c>
      <c r="M361" s="55" t="s">
        <v>349</v>
      </c>
      <c r="N361" s="55">
        <v>44420</v>
      </c>
      <c r="O361" s="12" t="s">
        <v>2137</v>
      </c>
      <c r="P361" s="62" t="s">
        <v>2138</v>
      </c>
      <c r="Q361" s="35"/>
      <c r="R361" s="35"/>
      <c r="S361" s="33"/>
      <c r="T361" s="33"/>
      <c r="U361" s="33"/>
    </row>
    <row r="362" spans="2:21" ht="14">
      <c r="B362" s="232"/>
      <c r="C362" s="232"/>
      <c r="D362" s="255"/>
      <c r="E362" s="255"/>
      <c r="F362" s="255"/>
      <c r="G362" s="255"/>
      <c r="H362" s="61"/>
      <c r="I362" s="61"/>
      <c r="J362" s="4"/>
      <c r="K362" s="62" t="s">
        <v>1706</v>
      </c>
      <c r="L362" s="62" t="s">
        <v>332</v>
      </c>
      <c r="M362" s="55" t="s">
        <v>349</v>
      </c>
      <c r="N362" s="55">
        <v>44505</v>
      </c>
      <c r="O362" s="12" t="s">
        <v>2137</v>
      </c>
      <c r="P362" s="62" t="s">
        <v>2432</v>
      </c>
      <c r="Q362" s="35"/>
      <c r="R362" s="35"/>
      <c r="S362" s="33"/>
      <c r="T362" s="33"/>
      <c r="U362" s="33"/>
    </row>
    <row r="363" spans="2:21" ht="14">
      <c r="B363" s="232"/>
      <c r="C363" s="232"/>
      <c r="D363" s="255"/>
      <c r="E363" s="255"/>
      <c r="F363" s="255"/>
      <c r="G363" s="255"/>
      <c r="H363" s="61"/>
      <c r="I363" s="61"/>
      <c r="J363" s="4"/>
      <c r="K363" s="62" t="s">
        <v>1865</v>
      </c>
      <c r="L363" s="62" t="s">
        <v>332</v>
      </c>
      <c r="M363" s="55" t="s">
        <v>349</v>
      </c>
      <c r="N363" s="55">
        <v>44656</v>
      </c>
      <c r="O363" s="12" t="s">
        <v>2137</v>
      </c>
      <c r="P363" s="62" t="s">
        <v>2840</v>
      </c>
      <c r="Q363" s="35"/>
      <c r="R363" s="35"/>
      <c r="S363" s="33"/>
      <c r="T363" s="33"/>
      <c r="U363" s="33"/>
    </row>
    <row r="364" spans="2:21" ht="14">
      <c r="B364" s="232"/>
      <c r="C364" s="232"/>
      <c r="D364" s="255"/>
      <c r="E364" s="255"/>
      <c r="F364" s="255"/>
      <c r="G364" s="255"/>
      <c r="H364" s="61"/>
      <c r="I364" s="61"/>
      <c r="J364" s="4"/>
      <c r="K364" s="62" t="s">
        <v>2096</v>
      </c>
      <c r="L364" s="62" t="s">
        <v>332</v>
      </c>
      <c r="M364" s="55" t="s">
        <v>349</v>
      </c>
      <c r="N364" s="55">
        <v>44732</v>
      </c>
      <c r="O364" s="12" t="s">
        <v>2137</v>
      </c>
      <c r="P364" s="62" t="s">
        <v>3020</v>
      </c>
      <c r="Q364" s="35"/>
      <c r="R364" s="35"/>
      <c r="S364" s="33"/>
      <c r="T364" s="33"/>
      <c r="U364" s="33"/>
    </row>
    <row r="365" spans="2:21" ht="14">
      <c r="B365" s="232"/>
      <c r="C365" s="232"/>
      <c r="D365" s="255"/>
      <c r="E365" s="255"/>
      <c r="F365" s="255"/>
      <c r="G365" s="255"/>
      <c r="H365" s="61"/>
      <c r="I365" s="61"/>
      <c r="J365" s="4"/>
      <c r="K365" s="62" t="s">
        <v>2333</v>
      </c>
      <c r="L365" s="62" t="s">
        <v>332</v>
      </c>
      <c r="M365" s="55" t="s">
        <v>349</v>
      </c>
      <c r="N365" s="55">
        <v>44782</v>
      </c>
      <c r="O365" s="12" t="s">
        <v>2137</v>
      </c>
      <c r="P365" s="62" t="s">
        <v>3185</v>
      </c>
      <c r="Q365" s="35"/>
      <c r="R365" s="35"/>
      <c r="S365" s="33"/>
      <c r="T365" s="33"/>
      <c r="U365" s="33"/>
    </row>
    <row r="366" spans="2:21" ht="14">
      <c r="B366" s="232"/>
      <c r="C366" s="232"/>
      <c r="D366" s="255"/>
      <c r="E366" s="255"/>
      <c r="F366" s="255"/>
      <c r="G366" s="255"/>
      <c r="H366" s="61"/>
      <c r="I366" s="61"/>
      <c r="J366" s="4"/>
      <c r="K366" s="62" t="s">
        <v>2861</v>
      </c>
      <c r="L366" s="62" t="s">
        <v>332</v>
      </c>
      <c r="M366" s="55" t="s">
        <v>349</v>
      </c>
      <c r="N366" s="55">
        <v>44858</v>
      </c>
      <c r="O366" s="12" t="s">
        <v>2137</v>
      </c>
      <c r="P366" s="62" t="s">
        <v>3309</v>
      </c>
      <c r="Q366" s="35"/>
      <c r="R366" s="35"/>
      <c r="S366" s="33"/>
      <c r="T366" s="33"/>
      <c r="U366" s="33"/>
    </row>
    <row r="367" spans="2:21" ht="14">
      <c r="B367" s="232"/>
      <c r="C367" s="232"/>
      <c r="D367" s="255"/>
      <c r="E367" s="255"/>
      <c r="F367" s="255"/>
      <c r="G367" s="255"/>
      <c r="H367" s="61"/>
      <c r="I367" s="61"/>
      <c r="J367" s="4"/>
      <c r="K367" s="62" t="s">
        <v>3021</v>
      </c>
      <c r="L367" s="62" t="s">
        <v>332</v>
      </c>
      <c r="M367" s="55" t="s">
        <v>349</v>
      </c>
      <c r="N367" s="55">
        <v>45219</v>
      </c>
      <c r="O367" s="12" t="s">
        <v>2137</v>
      </c>
      <c r="P367" s="62" t="s">
        <v>4051</v>
      </c>
      <c r="Q367" s="35"/>
      <c r="R367" s="35"/>
      <c r="S367" s="33"/>
      <c r="T367" s="33"/>
      <c r="U367" s="33"/>
    </row>
    <row r="368" spans="2:21">
      <c r="B368" s="232"/>
      <c r="C368" s="232"/>
      <c r="D368" s="255"/>
      <c r="E368" s="255"/>
      <c r="F368" s="255"/>
      <c r="G368" s="255"/>
      <c r="H368" s="61"/>
      <c r="I368" s="61"/>
      <c r="J368" s="4"/>
      <c r="K368" s="62"/>
      <c r="L368" s="62"/>
      <c r="M368" s="55"/>
      <c r="N368" s="55"/>
      <c r="O368" s="12"/>
      <c r="P368" s="62"/>
      <c r="Q368" s="35"/>
      <c r="R368" s="35"/>
      <c r="S368" s="33"/>
      <c r="T368" s="33"/>
      <c r="U368" s="33"/>
    </row>
    <row r="369" spans="2:21" ht="14">
      <c r="B369" s="232"/>
      <c r="C369" s="232"/>
      <c r="D369" s="255"/>
      <c r="E369" s="255"/>
      <c r="F369" s="255"/>
      <c r="G369" s="255"/>
      <c r="H369" s="61"/>
      <c r="I369" s="72" t="s">
        <v>1102</v>
      </c>
      <c r="J369" s="101" t="s">
        <v>2259</v>
      </c>
      <c r="K369" s="62" t="s">
        <v>758</v>
      </c>
      <c r="L369" s="62" t="s">
        <v>332</v>
      </c>
      <c r="M369" s="55" t="s">
        <v>349</v>
      </c>
      <c r="N369" s="55">
        <v>44452</v>
      </c>
      <c r="O369" s="12" t="s">
        <v>2258</v>
      </c>
      <c r="P369" s="62" t="s">
        <v>2255</v>
      </c>
      <c r="Q369" s="35"/>
      <c r="R369" s="35"/>
      <c r="S369" s="33"/>
      <c r="T369" s="33"/>
      <c r="U369" s="33"/>
    </row>
    <row r="370" spans="2:21">
      <c r="B370" s="232"/>
      <c r="C370" s="232"/>
      <c r="D370" s="255"/>
      <c r="E370" s="255"/>
      <c r="F370" s="255"/>
      <c r="G370" s="255"/>
      <c r="H370" s="61"/>
      <c r="I370" s="61"/>
      <c r="J370" s="4"/>
      <c r="K370" s="62"/>
      <c r="L370" s="62"/>
      <c r="M370" s="55"/>
      <c r="N370" s="55"/>
      <c r="O370" s="12"/>
      <c r="P370" s="62"/>
      <c r="Q370" s="35"/>
      <c r="R370" s="35"/>
      <c r="S370" s="33"/>
      <c r="T370" s="33"/>
      <c r="U370" s="33"/>
    </row>
    <row r="371" spans="2:21" ht="14">
      <c r="B371" s="232"/>
      <c r="C371" s="232"/>
      <c r="D371" s="255"/>
      <c r="E371" s="255"/>
      <c r="F371" s="255"/>
      <c r="G371" s="255"/>
      <c r="H371" s="61"/>
      <c r="I371" s="72" t="s">
        <v>1103</v>
      </c>
      <c r="J371" s="101" t="s">
        <v>2841</v>
      </c>
      <c r="K371" s="62" t="s">
        <v>1865</v>
      </c>
      <c r="L371" s="62" t="s">
        <v>332</v>
      </c>
      <c r="M371" s="55" t="s">
        <v>349</v>
      </c>
      <c r="N371" s="55">
        <v>44656</v>
      </c>
      <c r="O371" s="12" t="s">
        <v>2826</v>
      </c>
      <c r="P371" s="62" t="s">
        <v>2840</v>
      </c>
      <c r="Q371" s="35"/>
      <c r="R371" s="35"/>
      <c r="S371" s="33"/>
      <c r="T371" s="33"/>
      <c r="U371" s="33"/>
    </row>
    <row r="372" spans="2:21" ht="14">
      <c r="B372" s="232"/>
      <c r="C372" s="232"/>
      <c r="D372" s="255"/>
      <c r="E372" s="255"/>
      <c r="F372" s="255"/>
      <c r="G372" s="255"/>
      <c r="H372" s="61"/>
      <c r="I372" s="61"/>
      <c r="J372" s="4"/>
      <c r="K372" s="62" t="s">
        <v>2095</v>
      </c>
      <c r="L372" s="62" t="s">
        <v>332</v>
      </c>
      <c r="M372" s="55" t="s">
        <v>349</v>
      </c>
      <c r="N372" s="55">
        <v>44732</v>
      </c>
      <c r="O372" s="12" t="s">
        <v>2826</v>
      </c>
      <c r="P372" s="62" t="s">
        <v>3020</v>
      </c>
      <c r="Q372" s="35"/>
      <c r="R372" s="35"/>
      <c r="S372" s="33"/>
      <c r="T372" s="33"/>
      <c r="U372" s="33"/>
    </row>
    <row r="373" spans="2:21" ht="14">
      <c r="B373" s="232"/>
      <c r="C373" s="232"/>
      <c r="D373" s="255"/>
      <c r="E373" s="255"/>
      <c r="F373" s="255"/>
      <c r="G373" s="255"/>
      <c r="H373" s="61"/>
      <c r="I373" s="61"/>
      <c r="J373" s="4"/>
      <c r="K373" s="62" t="s">
        <v>2333</v>
      </c>
      <c r="L373" s="62" t="s">
        <v>332</v>
      </c>
      <c r="M373" s="55" t="s">
        <v>349</v>
      </c>
      <c r="N373" s="55">
        <v>44782</v>
      </c>
      <c r="O373" s="12" t="s">
        <v>2826</v>
      </c>
      <c r="P373" s="62" t="s">
        <v>3185</v>
      </c>
      <c r="Q373" s="35"/>
      <c r="R373" s="35"/>
      <c r="S373" s="33"/>
      <c r="T373" s="33"/>
      <c r="U373" s="33"/>
    </row>
    <row r="374" spans="2:21" ht="14">
      <c r="B374" s="232"/>
      <c r="C374" s="232"/>
      <c r="D374" s="255"/>
      <c r="E374" s="255"/>
      <c r="F374" s="255"/>
      <c r="G374" s="255"/>
      <c r="H374" s="61"/>
      <c r="I374" s="61"/>
      <c r="J374" s="4"/>
      <c r="K374" s="62" t="s">
        <v>2433</v>
      </c>
      <c r="L374" s="62" t="s">
        <v>332</v>
      </c>
      <c r="M374" s="55" t="s">
        <v>349</v>
      </c>
      <c r="N374" s="55">
        <v>45219</v>
      </c>
      <c r="O374" s="12" t="s">
        <v>2826</v>
      </c>
      <c r="P374" s="62" t="s">
        <v>4051</v>
      </c>
      <c r="Q374" s="35"/>
      <c r="R374" s="35"/>
      <c r="S374" s="33"/>
      <c r="T374" s="33"/>
      <c r="U374" s="33"/>
    </row>
    <row r="375" spans="2:21">
      <c r="B375" s="232"/>
      <c r="C375" s="232"/>
      <c r="D375" s="255"/>
      <c r="E375" s="255"/>
      <c r="F375" s="255"/>
      <c r="G375" s="255"/>
      <c r="H375" s="61"/>
      <c r="I375" s="61"/>
      <c r="J375" s="4"/>
      <c r="K375" s="62"/>
      <c r="L375" s="62"/>
      <c r="M375" s="55"/>
      <c r="N375" s="55"/>
      <c r="O375" s="12"/>
      <c r="P375" s="62"/>
      <c r="Q375" s="35"/>
      <c r="R375" s="35"/>
      <c r="S375" s="33"/>
      <c r="T375" s="33"/>
      <c r="U375" s="33"/>
    </row>
    <row r="376" spans="2:21" ht="14">
      <c r="B376" s="232"/>
      <c r="C376" s="232"/>
      <c r="D376" s="255"/>
      <c r="E376" s="255"/>
      <c r="F376" s="255"/>
      <c r="G376" s="255"/>
      <c r="H376" s="21" t="s">
        <v>181</v>
      </c>
      <c r="I376" s="21"/>
      <c r="J376" s="7" t="s">
        <v>223</v>
      </c>
      <c r="K376" s="35" t="s">
        <v>330</v>
      </c>
      <c r="L376" s="35" t="s">
        <v>333</v>
      </c>
      <c r="M376" s="53">
        <v>44007</v>
      </c>
      <c r="N376" s="53">
        <v>44007</v>
      </c>
      <c r="O376" s="35" t="s">
        <v>344</v>
      </c>
      <c r="P376" s="35" t="s">
        <v>335</v>
      </c>
      <c r="Q376" s="35"/>
      <c r="R376" s="35"/>
      <c r="S376" s="33"/>
      <c r="T376" s="33"/>
      <c r="U376" s="33"/>
    </row>
    <row r="377" spans="2:21">
      <c r="B377" s="232"/>
      <c r="C377" s="232"/>
      <c r="D377" s="255"/>
      <c r="E377" s="255"/>
      <c r="F377" s="255"/>
      <c r="G377" s="255"/>
      <c r="H377" s="21"/>
      <c r="I377" s="21"/>
      <c r="J377" s="7"/>
      <c r="K377" s="35" t="s">
        <v>330</v>
      </c>
      <c r="L377" s="35" t="s">
        <v>333</v>
      </c>
      <c r="M377" s="55" t="s">
        <v>349</v>
      </c>
      <c r="N377" s="53">
        <v>44164</v>
      </c>
      <c r="O377" s="35" t="s">
        <v>669</v>
      </c>
      <c r="P377" s="35" t="s">
        <v>679</v>
      </c>
      <c r="Q377" s="35"/>
      <c r="R377" s="35"/>
      <c r="S377" s="33"/>
      <c r="T377" s="33"/>
      <c r="U377" s="33"/>
    </row>
    <row r="378" spans="2:21">
      <c r="B378" s="232"/>
      <c r="C378" s="232"/>
      <c r="D378" s="255"/>
      <c r="E378" s="255"/>
      <c r="F378" s="255"/>
      <c r="G378" s="255"/>
      <c r="H378" s="21"/>
      <c r="I378" s="21"/>
      <c r="J378" s="7"/>
      <c r="K378" s="35" t="s">
        <v>758</v>
      </c>
      <c r="L378" s="35" t="s">
        <v>332</v>
      </c>
      <c r="M378" s="53">
        <v>44071</v>
      </c>
      <c r="N378" s="55">
        <v>44176</v>
      </c>
      <c r="O378" s="35" t="s">
        <v>669</v>
      </c>
      <c r="P378" s="62" t="s">
        <v>757</v>
      </c>
      <c r="Q378" s="35"/>
      <c r="R378" s="35"/>
      <c r="S378" s="33"/>
      <c r="T378" s="33"/>
      <c r="U378" s="33"/>
    </row>
    <row r="379" spans="2:21">
      <c r="B379" s="232"/>
      <c r="C379" s="232"/>
      <c r="D379" s="255"/>
      <c r="E379" s="255"/>
      <c r="F379" s="255"/>
      <c r="G379" s="255"/>
      <c r="H379" s="21"/>
      <c r="I379" s="21"/>
      <c r="J379" s="7"/>
      <c r="K379" s="35" t="s">
        <v>1216</v>
      </c>
      <c r="L379" s="35" t="s">
        <v>332</v>
      </c>
      <c r="M379" s="53" t="s">
        <v>349</v>
      </c>
      <c r="N379" s="55">
        <v>44267</v>
      </c>
      <c r="O379" s="35" t="s">
        <v>669</v>
      </c>
      <c r="P379" s="62" t="s">
        <v>1249</v>
      </c>
      <c r="Q379" s="35"/>
      <c r="R379" s="35"/>
      <c r="S379" s="33"/>
      <c r="T379" s="33"/>
      <c r="U379" s="33"/>
    </row>
    <row r="380" spans="2:21">
      <c r="B380" s="232"/>
      <c r="C380" s="232"/>
      <c r="D380" s="255"/>
      <c r="E380" s="255"/>
      <c r="F380" s="255"/>
      <c r="G380" s="255"/>
      <c r="H380" s="21"/>
      <c r="I380" s="21"/>
      <c r="J380" s="7"/>
      <c r="K380" s="35" t="s">
        <v>1216</v>
      </c>
      <c r="L380" s="35" t="s">
        <v>332</v>
      </c>
      <c r="M380" s="53" t="s">
        <v>349</v>
      </c>
      <c r="N380" s="55">
        <v>44274</v>
      </c>
      <c r="O380" s="35" t="s">
        <v>669</v>
      </c>
      <c r="P380" s="62" t="s">
        <v>1692</v>
      </c>
      <c r="Q380" s="35"/>
      <c r="R380" s="35"/>
      <c r="S380" s="33"/>
      <c r="T380" s="33"/>
      <c r="U380" s="33"/>
    </row>
    <row r="381" spans="2:21">
      <c r="B381" s="232"/>
      <c r="C381" s="232"/>
      <c r="D381" s="255"/>
      <c r="E381" s="255"/>
      <c r="F381" s="255"/>
      <c r="G381" s="255"/>
      <c r="H381" s="21"/>
      <c r="I381" s="21"/>
      <c r="J381" s="7"/>
      <c r="K381" s="35" t="s">
        <v>1230</v>
      </c>
      <c r="L381" s="35" t="s">
        <v>332</v>
      </c>
      <c r="M381" s="53" t="s">
        <v>349</v>
      </c>
      <c r="N381" s="55">
        <v>44372</v>
      </c>
      <c r="O381" s="35" t="s">
        <v>669</v>
      </c>
      <c r="P381" s="62" t="s">
        <v>1863</v>
      </c>
      <c r="Q381" s="35"/>
      <c r="R381" s="35"/>
      <c r="S381" s="33"/>
      <c r="T381" s="33"/>
      <c r="U381" s="33"/>
    </row>
    <row r="382" spans="2:21">
      <c r="B382" s="232"/>
      <c r="C382" s="232"/>
      <c r="D382" s="255"/>
      <c r="E382" s="255"/>
      <c r="F382" s="255"/>
      <c r="G382" s="255"/>
      <c r="H382" s="21"/>
      <c r="I382" s="21"/>
      <c r="J382" s="7"/>
      <c r="K382" s="35" t="s">
        <v>1232</v>
      </c>
      <c r="L382" s="35" t="s">
        <v>332</v>
      </c>
      <c r="M382" s="53" t="s">
        <v>349</v>
      </c>
      <c r="N382" s="55">
        <v>44656</v>
      </c>
      <c r="O382" s="35" t="s">
        <v>669</v>
      </c>
      <c r="P382" s="62" t="s">
        <v>2840</v>
      </c>
      <c r="Q382" s="35"/>
      <c r="R382" s="35"/>
      <c r="S382" s="33"/>
      <c r="T382" s="33"/>
      <c r="U382" s="33"/>
    </row>
    <row r="383" spans="2:21">
      <c r="B383" s="232"/>
      <c r="C383" s="232"/>
      <c r="D383" s="255"/>
      <c r="E383" s="255"/>
      <c r="F383" s="255"/>
      <c r="G383" s="255"/>
      <c r="H383" s="21"/>
      <c r="I383" s="21"/>
      <c r="J383" s="7"/>
      <c r="K383" s="35" t="s">
        <v>1396</v>
      </c>
      <c r="L383" s="35" t="s">
        <v>332</v>
      </c>
      <c r="M383" s="53" t="s">
        <v>349</v>
      </c>
      <c r="N383" s="55">
        <v>44732</v>
      </c>
      <c r="O383" s="35" t="s">
        <v>669</v>
      </c>
      <c r="P383" s="62" t="s">
        <v>3020</v>
      </c>
      <c r="Q383" s="35"/>
      <c r="R383" s="35"/>
      <c r="S383" s="33"/>
      <c r="T383" s="33"/>
      <c r="U383" s="33"/>
    </row>
    <row r="384" spans="2:21">
      <c r="B384" s="232"/>
      <c r="C384" s="232"/>
      <c r="D384" s="255"/>
      <c r="E384" s="255"/>
      <c r="F384" s="255"/>
      <c r="G384" s="255"/>
      <c r="H384" s="21"/>
      <c r="I384" s="21"/>
      <c r="J384" s="7"/>
      <c r="K384" s="35" t="s">
        <v>2098</v>
      </c>
      <c r="L384" s="35" t="s">
        <v>332</v>
      </c>
      <c r="M384" s="53" t="s">
        <v>349</v>
      </c>
      <c r="N384" s="55">
        <v>44782</v>
      </c>
      <c r="O384" s="35" t="s">
        <v>669</v>
      </c>
      <c r="P384" s="62" t="s">
        <v>3185</v>
      </c>
      <c r="Q384" s="35"/>
      <c r="R384" s="35"/>
      <c r="S384" s="33"/>
      <c r="T384" s="33"/>
      <c r="U384" s="33"/>
    </row>
    <row r="385" spans="2:21">
      <c r="B385" s="232"/>
      <c r="C385" s="232"/>
      <c r="D385" s="255"/>
      <c r="E385" s="255"/>
      <c r="F385" s="255"/>
      <c r="G385" s="255"/>
      <c r="H385" s="21"/>
      <c r="I385" s="21"/>
      <c r="J385" s="7"/>
      <c r="K385" s="35" t="s">
        <v>1694</v>
      </c>
      <c r="L385" s="35" t="s">
        <v>332</v>
      </c>
      <c r="M385" s="53" t="s">
        <v>349</v>
      </c>
      <c r="N385" s="55">
        <v>44858</v>
      </c>
      <c r="O385" s="35" t="s">
        <v>669</v>
      </c>
      <c r="P385" s="62" t="s">
        <v>3309</v>
      </c>
      <c r="Q385" s="35"/>
      <c r="R385" s="35"/>
      <c r="S385" s="33"/>
      <c r="T385" s="33"/>
      <c r="U385" s="33"/>
    </row>
    <row r="386" spans="2:21">
      <c r="B386" s="232"/>
      <c r="C386" s="232"/>
      <c r="D386" s="255"/>
      <c r="E386" s="255"/>
      <c r="F386" s="255"/>
      <c r="G386" s="255"/>
      <c r="H386" s="21"/>
      <c r="I386" s="21"/>
      <c r="J386" s="7"/>
      <c r="K386" s="62" t="s">
        <v>2097</v>
      </c>
      <c r="L386" s="62" t="s">
        <v>332</v>
      </c>
      <c r="M386" s="55" t="s">
        <v>349</v>
      </c>
      <c r="N386" s="55">
        <v>45058</v>
      </c>
      <c r="O386" s="35" t="s">
        <v>669</v>
      </c>
      <c r="P386" s="62" t="s">
        <v>3749</v>
      </c>
      <c r="Q386" s="35"/>
      <c r="R386" s="35"/>
      <c r="S386" s="33"/>
      <c r="T386" s="33"/>
      <c r="U386" s="33"/>
    </row>
    <row r="387" spans="2:21">
      <c r="B387" s="232"/>
      <c r="C387" s="232"/>
      <c r="D387" s="255"/>
      <c r="E387" s="255"/>
      <c r="F387" s="255"/>
      <c r="G387" s="255"/>
      <c r="H387" s="21"/>
      <c r="I387" s="21"/>
      <c r="J387" s="7"/>
      <c r="K387" s="62" t="s">
        <v>1767</v>
      </c>
      <c r="L387" s="62" t="s">
        <v>332</v>
      </c>
      <c r="M387" s="55" t="s">
        <v>349</v>
      </c>
      <c r="N387" s="55">
        <v>45219</v>
      </c>
      <c r="O387" s="35" t="s">
        <v>669</v>
      </c>
      <c r="P387" s="62" t="s">
        <v>4051</v>
      </c>
      <c r="Q387" s="35"/>
      <c r="R387" s="35"/>
      <c r="S387" s="33"/>
      <c r="T387" s="33"/>
      <c r="U387" s="33"/>
    </row>
    <row r="388" spans="2:21">
      <c r="B388" s="232"/>
      <c r="C388" s="232"/>
      <c r="D388" s="255"/>
      <c r="E388" s="255"/>
      <c r="F388" s="255"/>
      <c r="G388" s="255"/>
      <c r="H388" s="21"/>
      <c r="I388" s="21"/>
      <c r="J388" s="7"/>
      <c r="K388" s="35"/>
      <c r="L388" s="35"/>
      <c r="M388" s="53"/>
      <c r="N388" s="35"/>
      <c r="O388" s="35"/>
      <c r="P388" s="35"/>
      <c r="Q388" s="35"/>
      <c r="R388" s="35"/>
      <c r="S388" s="33"/>
      <c r="T388" s="33"/>
      <c r="U388" s="33"/>
    </row>
    <row r="389" spans="2:21">
      <c r="B389" s="232"/>
      <c r="C389" s="232"/>
      <c r="D389" s="255"/>
      <c r="E389" s="255"/>
      <c r="F389" s="255"/>
      <c r="G389" s="255"/>
      <c r="H389" s="21" t="s">
        <v>183</v>
      </c>
      <c r="I389" s="21"/>
      <c r="J389" s="269" t="s">
        <v>1338</v>
      </c>
      <c r="K389" s="270"/>
      <c r="L389" s="270"/>
      <c r="M389" s="270"/>
      <c r="N389" s="270"/>
      <c r="O389" s="270"/>
      <c r="P389" s="271"/>
      <c r="Q389" s="35"/>
      <c r="R389" s="35"/>
      <c r="S389" s="33"/>
      <c r="T389" s="33"/>
      <c r="U389" s="33"/>
    </row>
    <row r="390" spans="2:21" ht="14">
      <c r="B390" s="232"/>
      <c r="C390" s="232"/>
      <c r="D390" s="255"/>
      <c r="E390" s="255"/>
      <c r="F390" s="255"/>
      <c r="G390" s="255"/>
      <c r="H390" s="21"/>
      <c r="I390" s="102" t="s">
        <v>807</v>
      </c>
      <c r="J390" s="103" t="s">
        <v>759</v>
      </c>
      <c r="K390" s="35" t="s">
        <v>330</v>
      </c>
      <c r="L390" s="35" t="s">
        <v>333</v>
      </c>
      <c r="M390" s="55" t="s">
        <v>349</v>
      </c>
      <c r="N390" s="53">
        <v>44164</v>
      </c>
      <c r="O390" s="35" t="s">
        <v>670</v>
      </c>
      <c r="P390" s="35" t="s">
        <v>679</v>
      </c>
      <c r="Q390" s="35"/>
      <c r="R390" s="35"/>
      <c r="S390" s="33"/>
      <c r="T390" s="33"/>
      <c r="U390" s="33"/>
    </row>
    <row r="391" spans="2:21">
      <c r="B391" s="232"/>
      <c r="C391" s="232"/>
      <c r="D391" s="255"/>
      <c r="E391" s="255"/>
      <c r="F391" s="255"/>
      <c r="G391" s="255"/>
      <c r="H391" s="21"/>
      <c r="I391" s="102"/>
      <c r="J391" s="103"/>
      <c r="K391" s="35" t="s">
        <v>758</v>
      </c>
      <c r="L391" s="35" t="s">
        <v>332</v>
      </c>
      <c r="M391" s="53">
        <v>44071</v>
      </c>
      <c r="N391" s="55">
        <v>44176</v>
      </c>
      <c r="O391" s="35" t="s">
        <v>670</v>
      </c>
      <c r="P391" s="62" t="s">
        <v>757</v>
      </c>
      <c r="Q391" s="35"/>
      <c r="R391" s="35"/>
      <c r="S391" s="33"/>
      <c r="T391" s="33"/>
      <c r="U391" s="33"/>
    </row>
    <row r="392" spans="2:21">
      <c r="B392" s="232"/>
      <c r="C392" s="232"/>
      <c r="D392" s="255"/>
      <c r="E392" s="255"/>
      <c r="F392" s="255"/>
      <c r="G392" s="255"/>
      <c r="H392" s="21"/>
      <c r="I392" s="21"/>
      <c r="J392" s="103"/>
      <c r="K392" s="35" t="s">
        <v>1164</v>
      </c>
      <c r="L392" s="35" t="s">
        <v>332</v>
      </c>
      <c r="M392" s="55" t="s">
        <v>349</v>
      </c>
      <c r="N392" s="55">
        <v>44253</v>
      </c>
      <c r="O392" s="35" t="s">
        <v>670</v>
      </c>
      <c r="P392" s="62" t="s">
        <v>1165</v>
      </c>
      <c r="Q392" s="35"/>
      <c r="R392" s="35"/>
      <c r="S392" s="33"/>
      <c r="T392" s="33"/>
      <c r="U392" s="33"/>
    </row>
    <row r="393" spans="2:21">
      <c r="B393" s="232"/>
      <c r="C393" s="232"/>
      <c r="D393" s="255"/>
      <c r="E393" s="255"/>
      <c r="F393" s="255"/>
      <c r="G393" s="255"/>
      <c r="H393" s="21"/>
      <c r="I393" s="21"/>
      <c r="J393" s="103"/>
      <c r="K393" s="35" t="s">
        <v>1706</v>
      </c>
      <c r="L393" s="35" t="s">
        <v>332</v>
      </c>
      <c r="M393" s="55" t="s">
        <v>349</v>
      </c>
      <c r="N393" s="55">
        <v>44334</v>
      </c>
      <c r="O393" s="35" t="s">
        <v>670</v>
      </c>
      <c r="P393" s="62" t="s">
        <v>1707</v>
      </c>
      <c r="Q393" s="35"/>
      <c r="R393" s="35"/>
      <c r="S393" s="33"/>
      <c r="T393" s="33"/>
      <c r="U393" s="33"/>
    </row>
    <row r="394" spans="2:21">
      <c r="B394" s="232"/>
      <c r="C394" s="232"/>
      <c r="D394" s="255"/>
      <c r="E394" s="255"/>
      <c r="F394" s="255"/>
      <c r="G394" s="255"/>
      <c r="H394" s="21"/>
      <c r="I394" s="21"/>
      <c r="J394" s="103"/>
      <c r="K394" s="35" t="s">
        <v>1865</v>
      </c>
      <c r="L394" s="35" t="s">
        <v>332</v>
      </c>
      <c r="M394" s="55" t="s">
        <v>349</v>
      </c>
      <c r="N394" s="55">
        <v>44371</v>
      </c>
      <c r="O394" s="35" t="s">
        <v>670</v>
      </c>
      <c r="P394" s="62" t="s">
        <v>1863</v>
      </c>
      <c r="Q394" s="35"/>
      <c r="R394" s="35"/>
      <c r="S394" s="33"/>
      <c r="T394" s="33"/>
      <c r="U394" s="33"/>
    </row>
    <row r="395" spans="2:21">
      <c r="B395" s="232"/>
      <c r="C395" s="232"/>
      <c r="D395" s="255"/>
      <c r="E395" s="255"/>
      <c r="F395" s="255"/>
      <c r="G395" s="255"/>
      <c r="H395" s="21"/>
      <c r="I395" s="21"/>
      <c r="J395" s="103"/>
      <c r="K395" s="35" t="s">
        <v>2095</v>
      </c>
      <c r="L395" s="35" t="s">
        <v>332</v>
      </c>
      <c r="M395" s="55" t="s">
        <v>349</v>
      </c>
      <c r="N395" s="55">
        <v>44505</v>
      </c>
      <c r="O395" s="35" t="s">
        <v>670</v>
      </c>
      <c r="P395" s="62" t="s">
        <v>2432</v>
      </c>
      <c r="Q395" s="35"/>
      <c r="R395" s="35"/>
      <c r="S395" s="33"/>
      <c r="T395" s="33"/>
      <c r="U395" s="33"/>
    </row>
    <row r="396" spans="2:21">
      <c r="B396" s="232"/>
      <c r="C396" s="232"/>
      <c r="D396" s="255"/>
      <c r="E396" s="255"/>
      <c r="F396" s="255"/>
      <c r="G396" s="255"/>
      <c r="H396" s="21"/>
      <c r="I396" s="21"/>
      <c r="J396" s="103"/>
      <c r="K396" s="35" t="s">
        <v>2333</v>
      </c>
      <c r="L396" s="35" t="s">
        <v>332</v>
      </c>
      <c r="M396" s="55" t="s">
        <v>349</v>
      </c>
      <c r="N396" s="55">
        <v>44732</v>
      </c>
      <c r="O396" s="35" t="s">
        <v>670</v>
      </c>
      <c r="P396" s="62" t="s">
        <v>3020</v>
      </c>
      <c r="Q396" s="35"/>
      <c r="R396" s="35"/>
      <c r="S396" s="33"/>
      <c r="T396" s="33"/>
      <c r="U396" s="33"/>
    </row>
    <row r="397" spans="2:21">
      <c r="B397" s="232"/>
      <c r="C397" s="232"/>
      <c r="D397" s="255"/>
      <c r="E397" s="255"/>
      <c r="F397" s="255"/>
      <c r="G397" s="255"/>
      <c r="H397" s="21"/>
      <c r="I397" s="21"/>
      <c r="J397" s="103"/>
      <c r="K397" s="35" t="s">
        <v>2433</v>
      </c>
      <c r="L397" s="35" t="s">
        <v>332</v>
      </c>
      <c r="M397" s="55" t="s">
        <v>349</v>
      </c>
      <c r="N397" s="55">
        <v>44733</v>
      </c>
      <c r="O397" s="35" t="s">
        <v>670</v>
      </c>
      <c r="P397" s="62" t="s">
        <v>3105</v>
      </c>
      <c r="Q397" s="35"/>
      <c r="R397" s="35"/>
      <c r="S397" s="33"/>
      <c r="T397" s="33"/>
      <c r="U397" s="33"/>
    </row>
    <row r="398" spans="2:21">
      <c r="B398" s="232"/>
      <c r="C398" s="232"/>
      <c r="D398" s="255"/>
      <c r="E398" s="255"/>
      <c r="F398" s="255"/>
      <c r="G398" s="255"/>
      <c r="H398" s="21"/>
      <c r="I398" s="21"/>
      <c r="J398" s="103"/>
      <c r="K398" s="35" t="s">
        <v>2861</v>
      </c>
      <c r="L398" s="35" t="s">
        <v>332</v>
      </c>
      <c r="M398" s="55" t="s">
        <v>349</v>
      </c>
      <c r="N398" s="55">
        <v>44782</v>
      </c>
      <c r="O398" s="35" t="s">
        <v>670</v>
      </c>
      <c r="P398" s="62" t="s">
        <v>3185</v>
      </c>
      <c r="Q398" s="35"/>
      <c r="R398" s="35"/>
      <c r="S398" s="33"/>
      <c r="T398" s="33"/>
      <c r="U398" s="33"/>
    </row>
    <row r="399" spans="2:21">
      <c r="B399" s="232"/>
      <c r="C399" s="232"/>
      <c r="D399" s="255"/>
      <c r="E399" s="255"/>
      <c r="F399" s="255"/>
      <c r="G399" s="255"/>
      <c r="H399" s="21"/>
      <c r="I399" s="21"/>
      <c r="J399" s="103"/>
      <c r="K399" s="35" t="s">
        <v>3021</v>
      </c>
      <c r="L399" s="35" t="s">
        <v>332</v>
      </c>
      <c r="M399" s="55" t="s">
        <v>349</v>
      </c>
      <c r="N399" s="55">
        <v>44858</v>
      </c>
      <c r="O399" s="35" t="s">
        <v>670</v>
      </c>
      <c r="P399" s="62" t="s">
        <v>3309</v>
      </c>
      <c r="Q399" s="35"/>
      <c r="R399" s="35"/>
      <c r="S399" s="33"/>
      <c r="T399" s="33"/>
      <c r="U399" s="33"/>
    </row>
    <row r="400" spans="2:21">
      <c r="B400" s="232"/>
      <c r="C400" s="232"/>
      <c r="D400" s="255"/>
      <c r="E400" s="255"/>
      <c r="F400" s="255"/>
      <c r="G400" s="255"/>
      <c r="H400" s="21"/>
      <c r="I400" s="21"/>
      <c r="J400" s="103"/>
      <c r="K400" s="35" t="s">
        <v>3748</v>
      </c>
      <c r="L400" s="35" t="s">
        <v>332</v>
      </c>
      <c r="M400" s="55" t="s">
        <v>349</v>
      </c>
      <c r="N400" s="55">
        <v>45219</v>
      </c>
      <c r="O400" s="35" t="s">
        <v>670</v>
      </c>
      <c r="P400" s="62" t="s">
        <v>4051</v>
      </c>
      <c r="Q400" s="35"/>
      <c r="R400" s="35"/>
      <c r="S400" s="33"/>
      <c r="T400" s="33"/>
      <c r="U400" s="33"/>
    </row>
    <row r="401" spans="2:21">
      <c r="B401" s="232"/>
      <c r="C401" s="232"/>
      <c r="D401" s="255"/>
      <c r="E401" s="255"/>
      <c r="F401" s="255"/>
      <c r="G401" s="255"/>
      <c r="H401" s="21"/>
      <c r="I401" s="21"/>
      <c r="J401" s="7"/>
      <c r="K401" s="35"/>
      <c r="L401" s="35"/>
      <c r="M401" s="55"/>
      <c r="N401" s="53"/>
      <c r="O401" s="35"/>
      <c r="P401" s="35"/>
      <c r="Q401" s="35"/>
      <c r="R401" s="35"/>
      <c r="S401" s="33"/>
      <c r="T401" s="33"/>
      <c r="U401" s="33"/>
    </row>
    <row r="402" spans="2:21" ht="14">
      <c r="B402" s="232"/>
      <c r="C402" s="232"/>
      <c r="D402" s="255"/>
      <c r="E402" s="255"/>
      <c r="F402" s="255"/>
      <c r="G402" s="255"/>
      <c r="H402" s="21"/>
      <c r="I402" s="102" t="s">
        <v>808</v>
      </c>
      <c r="J402" s="103" t="s">
        <v>760</v>
      </c>
      <c r="K402" s="35" t="s">
        <v>330</v>
      </c>
      <c r="L402" s="35" t="s">
        <v>333</v>
      </c>
      <c r="M402" s="53" t="s">
        <v>349</v>
      </c>
      <c r="N402" s="53">
        <v>44164</v>
      </c>
      <c r="O402" s="35" t="s">
        <v>671</v>
      </c>
      <c r="P402" s="35" t="s">
        <v>679</v>
      </c>
      <c r="Q402" s="35"/>
      <c r="R402" s="35"/>
      <c r="S402" s="33"/>
      <c r="T402" s="33"/>
      <c r="U402" s="33"/>
    </row>
    <row r="403" spans="2:21">
      <c r="B403" s="232"/>
      <c r="C403" s="232"/>
      <c r="D403" s="255"/>
      <c r="E403" s="255"/>
      <c r="F403" s="255"/>
      <c r="G403" s="255"/>
      <c r="H403" s="21"/>
      <c r="I403" s="21"/>
      <c r="J403" s="103"/>
      <c r="K403" s="35" t="s">
        <v>758</v>
      </c>
      <c r="L403" s="35" t="s">
        <v>332</v>
      </c>
      <c r="M403" s="53">
        <v>44071</v>
      </c>
      <c r="N403" s="55">
        <v>44176</v>
      </c>
      <c r="O403" s="35" t="s">
        <v>671</v>
      </c>
      <c r="P403" s="62" t="s">
        <v>757</v>
      </c>
      <c r="Q403" s="35"/>
      <c r="R403" s="35"/>
      <c r="S403" s="33"/>
      <c r="T403" s="33"/>
      <c r="U403" s="33"/>
    </row>
    <row r="404" spans="2:21">
      <c r="B404" s="232"/>
      <c r="C404" s="232"/>
      <c r="D404" s="255"/>
      <c r="E404" s="255"/>
      <c r="F404" s="255"/>
      <c r="G404" s="255"/>
      <c r="H404" s="21"/>
      <c r="I404" s="21"/>
      <c r="J404" s="103"/>
      <c r="K404" s="35" t="s">
        <v>1164</v>
      </c>
      <c r="L404" s="35" t="s">
        <v>332</v>
      </c>
      <c r="M404" s="55" t="s">
        <v>349</v>
      </c>
      <c r="N404" s="55">
        <v>44253</v>
      </c>
      <c r="O404" s="35" t="s">
        <v>671</v>
      </c>
      <c r="P404" s="62" t="s">
        <v>1165</v>
      </c>
      <c r="Q404" s="35"/>
      <c r="R404" s="35"/>
      <c r="S404" s="33"/>
      <c r="T404" s="33"/>
      <c r="U404" s="33"/>
    </row>
    <row r="405" spans="2:21">
      <c r="B405" s="232"/>
      <c r="C405" s="232"/>
      <c r="D405" s="255"/>
      <c r="E405" s="255"/>
      <c r="F405" s="255"/>
      <c r="G405" s="255"/>
      <c r="H405" s="21"/>
      <c r="I405" s="21"/>
      <c r="J405" s="103"/>
      <c r="K405" s="35" t="s">
        <v>1706</v>
      </c>
      <c r="L405" s="35" t="s">
        <v>332</v>
      </c>
      <c r="M405" s="55" t="s">
        <v>349</v>
      </c>
      <c r="N405" s="55">
        <v>44334</v>
      </c>
      <c r="O405" s="35" t="s">
        <v>671</v>
      </c>
      <c r="P405" s="62" t="s">
        <v>1707</v>
      </c>
      <c r="Q405" s="35"/>
      <c r="R405" s="35"/>
      <c r="S405" s="33"/>
      <c r="T405" s="33"/>
      <c r="U405" s="33"/>
    </row>
    <row r="406" spans="2:21">
      <c r="B406" s="232"/>
      <c r="C406" s="232"/>
      <c r="D406" s="255"/>
      <c r="E406" s="255"/>
      <c r="F406" s="255"/>
      <c r="G406" s="255"/>
      <c r="H406" s="21"/>
      <c r="I406" s="21"/>
      <c r="J406" s="103"/>
      <c r="K406" s="35" t="s">
        <v>1865</v>
      </c>
      <c r="L406" s="35" t="s">
        <v>332</v>
      </c>
      <c r="M406" s="55" t="s">
        <v>349</v>
      </c>
      <c r="N406" s="55">
        <v>44371</v>
      </c>
      <c r="O406" s="35" t="s">
        <v>671</v>
      </c>
      <c r="P406" s="62" t="s">
        <v>1863</v>
      </c>
      <c r="Q406" s="35"/>
      <c r="R406" s="35"/>
      <c r="S406" s="33"/>
      <c r="T406" s="33"/>
      <c r="U406" s="33"/>
    </row>
    <row r="407" spans="2:21">
      <c r="B407" s="232"/>
      <c r="C407" s="232"/>
      <c r="D407" s="255"/>
      <c r="E407" s="255"/>
      <c r="F407" s="255"/>
      <c r="G407" s="255"/>
      <c r="H407" s="21"/>
      <c r="I407" s="21"/>
      <c r="J407" s="103"/>
      <c r="K407" s="35" t="s">
        <v>2095</v>
      </c>
      <c r="L407" s="35" t="s">
        <v>332</v>
      </c>
      <c r="M407" s="55" t="s">
        <v>349</v>
      </c>
      <c r="N407" s="55">
        <v>44418</v>
      </c>
      <c r="O407" s="35" t="s">
        <v>671</v>
      </c>
      <c r="P407" s="62" t="s">
        <v>2094</v>
      </c>
      <c r="Q407" s="35"/>
      <c r="R407" s="35"/>
      <c r="S407" s="33"/>
      <c r="T407" s="33"/>
      <c r="U407" s="33"/>
    </row>
    <row r="408" spans="2:21">
      <c r="B408" s="232"/>
      <c r="C408" s="232"/>
      <c r="D408" s="255"/>
      <c r="E408" s="255"/>
      <c r="F408" s="255"/>
      <c r="G408" s="255"/>
      <c r="H408" s="21"/>
      <c r="I408" s="21"/>
      <c r="J408" s="103"/>
      <c r="K408" s="35" t="s">
        <v>2096</v>
      </c>
      <c r="L408" s="35" t="s">
        <v>332</v>
      </c>
      <c r="M408" s="55" t="s">
        <v>349</v>
      </c>
      <c r="N408" s="55">
        <v>44732</v>
      </c>
      <c r="O408" s="35" t="s">
        <v>671</v>
      </c>
      <c r="P408" s="62" t="s">
        <v>3020</v>
      </c>
      <c r="Q408" s="35"/>
      <c r="R408" s="35"/>
      <c r="S408" s="33"/>
      <c r="T408" s="33"/>
      <c r="U408" s="33"/>
    </row>
    <row r="409" spans="2:21">
      <c r="B409" s="232"/>
      <c r="C409" s="232"/>
      <c r="D409" s="255"/>
      <c r="E409" s="255"/>
      <c r="F409" s="255"/>
      <c r="G409" s="255"/>
      <c r="H409" s="21"/>
      <c r="I409" s="21"/>
      <c r="J409" s="103"/>
      <c r="K409" s="35" t="s">
        <v>2333</v>
      </c>
      <c r="L409" s="35" t="s">
        <v>332</v>
      </c>
      <c r="M409" s="55" t="s">
        <v>349</v>
      </c>
      <c r="N409" s="55">
        <v>44782</v>
      </c>
      <c r="O409" s="35" t="s">
        <v>671</v>
      </c>
      <c r="P409" s="62" t="s">
        <v>3185</v>
      </c>
      <c r="Q409" s="35"/>
      <c r="R409" s="35"/>
      <c r="S409" s="33"/>
      <c r="T409" s="33"/>
      <c r="U409" s="33"/>
    </row>
    <row r="410" spans="2:21">
      <c r="B410" s="232"/>
      <c r="C410" s="232"/>
      <c r="D410" s="255"/>
      <c r="E410" s="255"/>
      <c r="F410" s="255"/>
      <c r="G410" s="255"/>
      <c r="H410" s="21"/>
      <c r="I410" s="21"/>
      <c r="J410" s="103"/>
      <c r="K410" s="35" t="s">
        <v>2433</v>
      </c>
      <c r="L410" s="35" t="s">
        <v>332</v>
      </c>
      <c r="M410" s="55" t="s">
        <v>349</v>
      </c>
      <c r="N410" s="55">
        <v>45219</v>
      </c>
      <c r="O410" s="35" t="s">
        <v>671</v>
      </c>
      <c r="P410" s="62" t="s">
        <v>4051</v>
      </c>
      <c r="Q410" s="35"/>
      <c r="R410" s="35"/>
      <c r="S410" s="33"/>
      <c r="T410" s="33"/>
      <c r="U410" s="33"/>
    </row>
    <row r="411" spans="2:21">
      <c r="B411" s="232"/>
      <c r="C411" s="232"/>
      <c r="D411" s="255"/>
      <c r="E411" s="255"/>
      <c r="F411" s="255"/>
      <c r="G411" s="255"/>
      <c r="H411" s="21"/>
      <c r="I411" s="21"/>
      <c r="J411" s="7"/>
      <c r="K411" s="35"/>
      <c r="L411" s="35"/>
      <c r="M411" s="55"/>
      <c r="N411" s="53"/>
      <c r="O411" s="35"/>
      <c r="P411" s="35"/>
      <c r="Q411" s="35"/>
      <c r="R411" s="35"/>
      <c r="S411" s="33"/>
      <c r="T411" s="33"/>
      <c r="U411" s="33"/>
    </row>
    <row r="412" spans="2:21" ht="14">
      <c r="B412" s="232"/>
      <c r="C412" s="232"/>
      <c r="D412" s="255"/>
      <c r="E412" s="255"/>
      <c r="F412" s="255"/>
      <c r="G412" s="255"/>
      <c r="H412" s="21"/>
      <c r="I412" s="102" t="s">
        <v>809</v>
      </c>
      <c r="J412" s="103" t="s">
        <v>1341</v>
      </c>
      <c r="K412" s="35" t="s">
        <v>758</v>
      </c>
      <c r="L412" s="35" t="s">
        <v>332</v>
      </c>
      <c r="M412" s="55" t="s">
        <v>349</v>
      </c>
      <c r="N412" s="55">
        <v>44253</v>
      </c>
      <c r="O412" s="35" t="s">
        <v>1342</v>
      </c>
      <c r="P412" s="62" t="s">
        <v>1165</v>
      </c>
      <c r="Q412" s="35"/>
      <c r="R412" s="35"/>
      <c r="S412" s="33"/>
      <c r="T412" s="33"/>
      <c r="U412" s="33"/>
    </row>
    <row r="413" spans="2:21">
      <c r="B413" s="232"/>
      <c r="C413" s="232"/>
      <c r="D413" s="255"/>
      <c r="E413" s="255"/>
      <c r="F413" s="255"/>
      <c r="G413" s="255"/>
      <c r="H413" s="21"/>
      <c r="I413" s="102"/>
      <c r="J413" s="103"/>
      <c r="K413" s="35" t="s">
        <v>1164</v>
      </c>
      <c r="L413" s="35" t="s">
        <v>332</v>
      </c>
      <c r="M413" s="55" t="s">
        <v>349</v>
      </c>
      <c r="N413" s="55">
        <v>44334</v>
      </c>
      <c r="O413" s="35" t="s">
        <v>1342</v>
      </c>
      <c r="P413" s="62" t="s">
        <v>1707</v>
      </c>
      <c r="Q413" s="35"/>
      <c r="R413" s="35"/>
      <c r="S413" s="33"/>
      <c r="T413" s="33"/>
      <c r="U413" s="33"/>
    </row>
    <row r="414" spans="2:21">
      <c r="B414" s="232"/>
      <c r="C414" s="232"/>
      <c r="D414" s="255"/>
      <c r="E414" s="255"/>
      <c r="F414" s="255"/>
      <c r="G414" s="255"/>
      <c r="H414" s="21"/>
      <c r="I414" s="102"/>
      <c r="J414" s="103"/>
      <c r="K414" s="35" t="s">
        <v>1865</v>
      </c>
      <c r="L414" s="35" t="s">
        <v>332</v>
      </c>
      <c r="M414" s="55" t="s">
        <v>349</v>
      </c>
      <c r="N414" s="55">
        <v>44371</v>
      </c>
      <c r="O414" s="35" t="s">
        <v>1342</v>
      </c>
      <c r="P414" s="62" t="s">
        <v>1863</v>
      </c>
      <c r="Q414" s="35"/>
      <c r="R414" s="35"/>
      <c r="S414" s="33"/>
      <c r="T414" s="33"/>
      <c r="U414" s="33"/>
    </row>
    <row r="415" spans="2:21">
      <c r="B415" s="232"/>
      <c r="C415" s="232"/>
      <c r="D415" s="255"/>
      <c r="E415" s="255"/>
      <c r="F415" s="255"/>
      <c r="G415" s="255"/>
      <c r="H415" s="21"/>
      <c r="I415" s="102"/>
      <c r="J415" s="103"/>
      <c r="K415" s="35" t="s">
        <v>2096</v>
      </c>
      <c r="L415" s="35" t="s">
        <v>332</v>
      </c>
      <c r="M415" s="55" t="s">
        <v>349</v>
      </c>
      <c r="N415" s="55">
        <v>44418</v>
      </c>
      <c r="O415" s="35" t="s">
        <v>1342</v>
      </c>
      <c r="P415" s="62" t="s">
        <v>2094</v>
      </c>
      <c r="Q415" s="35"/>
      <c r="R415" s="35"/>
      <c r="S415" s="33"/>
      <c r="T415" s="33"/>
      <c r="U415" s="33"/>
    </row>
    <row r="416" spans="2:21">
      <c r="B416" s="232"/>
      <c r="C416" s="232"/>
      <c r="D416" s="255"/>
      <c r="E416" s="255"/>
      <c r="F416" s="255"/>
      <c r="G416" s="255"/>
      <c r="H416" s="21"/>
      <c r="I416" s="102"/>
      <c r="J416" s="103"/>
      <c r="K416" s="35" t="s">
        <v>2433</v>
      </c>
      <c r="L416" s="35" t="s">
        <v>332</v>
      </c>
      <c r="M416" s="55" t="s">
        <v>349</v>
      </c>
      <c r="N416" s="55">
        <v>44505</v>
      </c>
      <c r="O416" s="35" t="s">
        <v>1342</v>
      </c>
      <c r="P416" s="62" t="s">
        <v>2432</v>
      </c>
      <c r="Q416" s="35"/>
      <c r="R416" s="35"/>
      <c r="S416" s="33"/>
      <c r="T416" s="33"/>
      <c r="U416" s="33"/>
    </row>
    <row r="417" spans="2:21">
      <c r="B417" s="232"/>
      <c r="C417" s="232"/>
      <c r="D417" s="255"/>
      <c r="E417" s="255"/>
      <c r="F417" s="255"/>
      <c r="G417" s="255"/>
      <c r="H417" s="21"/>
      <c r="I417" s="102"/>
      <c r="J417" s="103"/>
      <c r="K417" s="35" t="s">
        <v>2861</v>
      </c>
      <c r="L417" s="35" t="s">
        <v>332</v>
      </c>
      <c r="M417" s="55" t="s">
        <v>349</v>
      </c>
      <c r="N417" s="55">
        <v>44732</v>
      </c>
      <c r="O417" s="35" t="s">
        <v>1342</v>
      </c>
      <c r="P417" s="62" t="s">
        <v>3020</v>
      </c>
      <c r="Q417" s="35"/>
      <c r="R417" s="35"/>
      <c r="S417" s="33"/>
      <c r="T417" s="33"/>
      <c r="U417" s="33"/>
    </row>
    <row r="418" spans="2:21">
      <c r="B418" s="232"/>
      <c r="C418" s="232"/>
      <c r="D418" s="255"/>
      <c r="E418" s="255"/>
      <c r="F418" s="255"/>
      <c r="G418" s="255"/>
      <c r="H418" s="21"/>
      <c r="I418" s="102"/>
      <c r="J418" s="103"/>
      <c r="K418" s="35" t="s">
        <v>3021</v>
      </c>
      <c r="L418" s="35" t="s">
        <v>332</v>
      </c>
      <c r="M418" s="55" t="s">
        <v>349</v>
      </c>
      <c r="N418" s="55">
        <v>44782</v>
      </c>
      <c r="O418" s="35" t="s">
        <v>1342</v>
      </c>
      <c r="P418" s="62" t="s">
        <v>3185</v>
      </c>
      <c r="Q418" s="35"/>
      <c r="R418" s="35"/>
      <c r="S418" s="33"/>
      <c r="T418" s="33"/>
      <c r="U418" s="33"/>
    </row>
    <row r="419" spans="2:21">
      <c r="B419" s="232"/>
      <c r="C419" s="232"/>
      <c r="D419" s="255"/>
      <c r="E419" s="255"/>
      <c r="F419" s="255"/>
      <c r="G419" s="255"/>
      <c r="H419" s="21"/>
      <c r="I419" s="102"/>
      <c r="J419" s="103"/>
      <c r="K419" s="62" t="s">
        <v>3748</v>
      </c>
      <c r="L419" s="62" t="s">
        <v>332</v>
      </c>
      <c r="M419" s="55" t="s">
        <v>349</v>
      </c>
      <c r="N419" s="55">
        <v>45058</v>
      </c>
      <c r="O419" s="35" t="s">
        <v>1342</v>
      </c>
      <c r="P419" s="62" t="s">
        <v>3749</v>
      </c>
      <c r="Q419" s="35"/>
      <c r="R419" s="35"/>
      <c r="S419" s="33"/>
      <c r="T419" s="33"/>
      <c r="U419" s="33"/>
    </row>
    <row r="420" spans="2:21">
      <c r="B420" s="232"/>
      <c r="C420" s="232"/>
      <c r="D420" s="255"/>
      <c r="E420" s="255"/>
      <c r="F420" s="255"/>
      <c r="G420" s="255"/>
      <c r="H420" s="21"/>
      <c r="I420" s="102"/>
      <c r="J420" s="103"/>
      <c r="K420" s="62" t="s">
        <v>4052</v>
      </c>
      <c r="L420" s="62" t="s">
        <v>332</v>
      </c>
      <c r="M420" s="55" t="s">
        <v>349</v>
      </c>
      <c r="N420" s="55">
        <v>45219</v>
      </c>
      <c r="O420" s="35" t="s">
        <v>1342</v>
      </c>
      <c r="P420" s="62" t="s">
        <v>4051</v>
      </c>
      <c r="Q420" s="35"/>
      <c r="R420" s="35"/>
      <c r="S420" s="33"/>
      <c r="T420" s="33"/>
      <c r="U420" s="33"/>
    </row>
    <row r="421" spans="2:21">
      <c r="B421" s="232"/>
      <c r="C421" s="232"/>
      <c r="D421" s="255"/>
      <c r="E421" s="255"/>
      <c r="F421" s="255"/>
      <c r="G421" s="255"/>
      <c r="H421" s="21"/>
      <c r="I421" s="21"/>
      <c r="J421" s="7"/>
      <c r="K421" s="35"/>
      <c r="L421" s="35"/>
      <c r="M421" s="55"/>
      <c r="N421" s="53"/>
      <c r="O421" s="35"/>
      <c r="P421" s="35"/>
      <c r="Q421" s="35"/>
      <c r="R421" s="35"/>
      <c r="S421" s="33"/>
      <c r="T421" s="33"/>
      <c r="U421" s="33"/>
    </row>
    <row r="422" spans="2:21" ht="14">
      <c r="B422" s="232"/>
      <c r="C422" s="232"/>
      <c r="D422" s="255"/>
      <c r="E422" s="255"/>
      <c r="F422" s="255"/>
      <c r="G422" s="255"/>
      <c r="H422" s="21"/>
      <c r="I422" s="72" t="s">
        <v>810</v>
      </c>
      <c r="J422" s="101" t="s">
        <v>1343</v>
      </c>
      <c r="K422" s="35" t="s">
        <v>758</v>
      </c>
      <c r="L422" s="35" t="s">
        <v>332</v>
      </c>
      <c r="M422" s="55" t="s">
        <v>349</v>
      </c>
      <c r="N422" s="55">
        <v>44253</v>
      </c>
      <c r="O422" s="35" t="s">
        <v>1344</v>
      </c>
      <c r="P422" s="62" t="s">
        <v>1165</v>
      </c>
      <c r="Q422" s="35"/>
      <c r="R422" s="35"/>
      <c r="S422" s="33"/>
      <c r="T422" s="33"/>
      <c r="U422" s="33"/>
    </row>
    <row r="423" spans="2:21">
      <c r="B423" s="232"/>
      <c r="C423" s="232"/>
      <c r="D423" s="255"/>
      <c r="E423" s="255"/>
      <c r="F423" s="255"/>
      <c r="G423" s="255"/>
      <c r="H423" s="21"/>
      <c r="I423" s="72"/>
      <c r="J423" s="101"/>
      <c r="K423" s="35" t="s">
        <v>1164</v>
      </c>
      <c r="L423" s="35" t="s">
        <v>332</v>
      </c>
      <c r="M423" s="55" t="s">
        <v>349</v>
      </c>
      <c r="N423" s="55">
        <v>44334</v>
      </c>
      <c r="O423" s="35" t="s">
        <v>1344</v>
      </c>
      <c r="P423" s="62" t="s">
        <v>1707</v>
      </c>
      <c r="Q423" s="35"/>
      <c r="R423" s="35"/>
      <c r="S423" s="33"/>
      <c r="T423" s="33"/>
      <c r="U423" s="33"/>
    </row>
    <row r="424" spans="2:21">
      <c r="B424" s="232"/>
      <c r="C424" s="232"/>
      <c r="D424" s="255"/>
      <c r="E424" s="255"/>
      <c r="F424" s="255"/>
      <c r="G424" s="255"/>
      <c r="H424" s="21"/>
      <c r="I424" s="72"/>
      <c r="J424" s="101"/>
      <c r="K424" s="35" t="s">
        <v>1865</v>
      </c>
      <c r="L424" s="35" t="s">
        <v>332</v>
      </c>
      <c r="M424" s="55" t="s">
        <v>349</v>
      </c>
      <c r="N424" s="55">
        <v>44371</v>
      </c>
      <c r="O424" s="35" t="s">
        <v>1344</v>
      </c>
      <c r="P424" s="62" t="s">
        <v>1863</v>
      </c>
      <c r="Q424" s="35"/>
      <c r="R424" s="35"/>
      <c r="S424" s="33"/>
      <c r="T424" s="33"/>
      <c r="U424" s="33"/>
    </row>
    <row r="425" spans="2:21">
      <c r="B425" s="232"/>
      <c r="C425" s="232"/>
      <c r="D425" s="255"/>
      <c r="E425" s="255"/>
      <c r="F425" s="255"/>
      <c r="G425" s="255"/>
      <c r="H425" s="21"/>
      <c r="I425" s="72"/>
      <c r="J425" s="101"/>
      <c r="K425" s="35" t="s">
        <v>2095</v>
      </c>
      <c r="L425" s="35" t="s">
        <v>332</v>
      </c>
      <c r="M425" s="55" t="s">
        <v>349</v>
      </c>
      <c r="N425" s="55">
        <v>44418</v>
      </c>
      <c r="O425" s="35" t="s">
        <v>1344</v>
      </c>
      <c r="P425" s="62" t="s">
        <v>2094</v>
      </c>
      <c r="Q425" s="35"/>
      <c r="R425" s="35"/>
      <c r="S425" s="33"/>
      <c r="T425" s="33"/>
      <c r="U425" s="33"/>
    </row>
    <row r="426" spans="2:21">
      <c r="B426" s="232"/>
      <c r="C426" s="232"/>
      <c r="D426" s="255"/>
      <c r="E426" s="255"/>
      <c r="F426" s="255"/>
      <c r="G426" s="255"/>
      <c r="H426" s="21"/>
      <c r="I426" s="72"/>
      <c r="J426" s="101"/>
      <c r="K426" s="35" t="s">
        <v>2096</v>
      </c>
      <c r="L426" s="35" t="s">
        <v>332</v>
      </c>
      <c r="M426" s="55" t="s">
        <v>349</v>
      </c>
      <c r="N426" s="55">
        <v>44452</v>
      </c>
      <c r="O426" s="35" t="s">
        <v>1344</v>
      </c>
      <c r="P426" s="62" t="s">
        <v>2255</v>
      </c>
      <c r="Q426" s="35"/>
      <c r="R426" s="35"/>
      <c r="S426" s="33"/>
      <c r="T426" s="33"/>
      <c r="U426" s="33"/>
    </row>
    <row r="427" spans="2:21">
      <c r="B427" s="232"/>
      <c r="C427" s="232"/>
      <c r="D427" s="255"/>
      <c r="E427" s="255"/>
      <c r="F427" s="255"/>
      <c r="G427" s="255"/>
      <c r="H427" s="21"/>
      <c r="I427" s="72"/>
      <c r="J427" s="101"/>
      <c r="K427" s="35" t="s">
        <v>2333</v>
      </c>
      <c r="L427" s="35" t="s">
        <v>332</v>
      </c>
      <c r="M427" s="55" t="s">
        <v>349</v>
      </c>
      <c r="N427" s="55">
        <v>44474</v>
      </c>
      <c r="O427" s="35" t="s">
        <v>1344</v>
      </c>
      <c r="P427" s="62" t="s">
        <v>2332</v>
      </c>
      <c r="Q427" s="35"/>
      <c r="R427" s="35"/>
      <c r="S427" s="33"/>
      <c r="T427" s="33"/>
      <c r="U427" s="33"/>
    </row>
    <row r="428" spans="2:21">
      <c r="B428" s="232"/>
      <c r="C428" s="232"/>
      <c r="D428" s="255"/>
      <c r="E428" s="255"/>
      <c r="F428" s="255"/>
      <c r="G428" s="255"/>
      <c r="H428" s="21"/>
      <c r="I428" s="72"/>
      <c r="J428" s="101"/>
      <c r="K428" s="35" t="s">
        <v>2433</v>
      </c>
      <c r="L428" s="35" t="s">
        <v>332</v>
      </c>
      <c r="M428" s="55" t="s">
        <v>349</v>
      </c>
      <c r="N428" s="55">
        <v>44732</v>
      </c>
      <c r="O428" s="35" t="s">
        <v>1344</v>
      </c>
      <c r="P428" s="62" t="s">
        <v>3020</v>
      </c>
      <c r="Q428" s="35"/>
      <c r="R428" s="35"/>
      <c r="S428" s="33"/>
      <c r="T428" s="33"/>
      <c r="U428" s="33"/>
    </row>
    <row r="429" spans="2:21">
      <c r="B429" s="232"/>
      <c r="C429" s="232"/>
      <c r="D429" s="255"/>
      <c r="E429" s="255"/>
      <c r="F429" s="255"/>
      <c r="G429" s="255"/>
      <c r="H429" s="21"/>
      <c r="I429" s="72"/>
      <c r="J429" s="101"/>
      <c r="K429" s="35" t="s">
        <v>2861</v>
      </c>
      <c r="L429" s="35" t="s">
        <v>332</v>
      </c>
      <c r="M429" s="55" t="s">
        <v>349</v>
      </c>
      <c r="N429" s="55">
        <v>44782</v>
      </c>
      <c r="O429" s="35" t="s">
        <v>1344</v>
      </c>
      <c r="P429" s="62" t="s">
        <v>3185</v>
      </c>
      <c r="Q429" s="35"/>
      <c r="R429" s="35"/>
      <c r="S429" s="33"/>
      <c r="T429" s="33"/>
      <c r="U429" s="33"/>
    </row>
    <row r="430" spans="2:21">
      <c r="B430" s="232"/>
      <c r="C430" s="232"/>
      <c r="D430" s="255"/>
      <c r="E430" s="255"/>
      <c r="F430" s="255"/>
      <c r="G430" s="255"/>
      <c r="H430" s="21"/>
      <c r="I430" s="72"/>
      <c r="J430" s="101"/>
      <c r="K430" s="35" t="s">
        <v>3021</v>
      </c>
      <c r="L430" s="35" t="s">
        <v>332</v>
      </c>
      <c r="M430" s="55" t="s">
        <v>349</v>
      </c>
      <c r="N430" s="55">
        <v>45219</v>
      </c>
      <c r="O430" s="35" t="s">
        <v>1344</v>
      </c>
      <c r="P430" s="62" t="s">
        <v>4051</v>
      </c>
      <c r="Q430" s="35"/>
      <c r="R430" s="35"/>
      <c r="S430" s="33"/>
      <c r="T430" s="33"/>
      <c r="U430" s="33"/>
    </row>
    <row r="431" spans="2:21">
      <c r="B431" s="232"/>
      <c r="C431" s="232"/>
      <c r="D431" s="255"/>
      <c r="E431" s="255"/>
      <c r="F431" s="255"/>
      <c r="G431" s="255"/>
      <c r="H431" s="21"/>
      <c r="I431" s="72"/>
      <c r="J431" s="101"/>
      <c r="K431" s="35"/>
      <c r="L431" s="35"/>
      <c r="M431" s="55"/>
      <c r="N431" s="55"/>
      <c r="O431" s="35"/>
      <c r="P431" s="62"/>
      <c r="Q431" s="35"/>
      <c r="R431" s="35"/>
      <c r="S431" s="33"/>
      <c r="T431" s="33"/>
      <c r="U431" s="33"/>
    </row>
    <row r="432" spans="2:21" ht="14">
      <c r="B432" s="232"/>
      <c r="C432" s="232"/>
      <c r="D432" s="255"/>
      <c r="E432" s="255"/>
      <c r="F432" s="255"/>
      <c r="G432" s="255"/>
      <c r="H432" s="21"/>
      <c r="I432" s="72" t="s">
        <v>811</v>
      </c>
      <c r="J432" s="101" t="s">
        <v>2136</v>
      </c>
      <c r="K432" s="62" t="s">
        <v>1164</v>
      </c>
      <c r="L432" s="62" t="s">
        <v>332</v>
      </c>
      <c r="M432" s="55" t="s">
        <v>349</v>
      </c>
      <c r="N432" s="55">
        <v>44372</v>
      </c>
      <c r="O432" s="35" t="s">
        <v>1849</v>
      </c>
      <c r="P432" s="62" t="s">
        <v>1863</v>
      </c>
      <c r="Q432" s="35"/>
      <c r="R432" s="35"/>
      <c r="S432" s="33"/>
      <c r="T432" s="33"/>
      <c r="U432" s="33"/>
    </row>
    <row r="433" spans="2:21">
      <c r="B433" s="232"/>
      <c r="C433" s="232"/>
      <c r="D433" s="255"/>
      <c r="E433" s="255"/>
      <c r="F433" s="255"/>
      <c r="G433" s="255"/>
      <c r="H433" s="21"/>
      <c r="I433" s="72"/>
      <c r="J433" s="101"/>
      <c r="K433" s="62" t="s">
        <v>1865</v>
      </c>
      <c r="L433" s="62" t="s">
        <v>332</v>
      </c>
      <c r="M433" s="55" t="s">
        <v>349</v>
      </c>
      <c r="N433" s="55">
        <v>44419</v>
      </c>
      <c r="O433" s="35" t="s">
        <v>1849</v>
      </c>
      <c r="P433" s="62" t="s">
        <v>2129</v>
      </c>
      <c r="Q433" s="35"/>
      <c r="R433" s="35"/>
      <c r="S433" s="33"/>
      <c r="T433" s="33"/>
      <c r="U433" s="33"/>
    </row>
    <row r="434" spans="2:21">
      <c r="B434" s="232"/>
      <c r="C434" s="232"/>
      <c r="D434" s="255"/>
      <c r="E434" s="255"/>
      <c r="F434" s="255"/>
      <c r="G434" s="255"/>
      <c r="H434" s="21"/>
      <c r="I434" s="72"/>
      <c r="J434" s="101"/>
      <c r="K434" s="62" t="s">
        <v>2095</v>
      </c>
      <c r="L434" s="35" t="s">
        <v>332</v>
      </c>
      <c r="M434" s="55" t="s">
        <v>349</v>
      </c>
      <c r="N434" s="55">
        <v>44505</v>
      </c>
      <c r="O434" s="35" t="s">
        <v>1849</v>
      </c>
      <c r="P434" s="62" t="s">
        <v>2432</v>
      </c>
      <c r="Q434" s="35"/>
      <c r="R434" s="35"/>
      <c r="S434" s="33"/>
      <c r="T434" s="33"/>
      <c r="U434" s="33"/>
    </row>
    <row r="435" spans="2:21">
      <c r="B435" s="232"/>
      <c r="C435" s="232"/>
      <c r="D435" s="255"/>
      <c r="E435" s="255"/>
      <c r="F435" s="255"/>
      <c r="G435" s="255"/>
      <c r="H435" s="21"/>
      <c r="I435" s="72"/>
      <c r="J435" s="101"/>
      <c r="K435" s="62" t="s">
        <v>2096</v>
      </c>
      <c r="L435" s="35" t="s">
        <v>332</v>
      </c>
      <c r="M435" s="55" t="s">
        <v>349</v>
      </c>
      <c r="N435" s="55">
        <v>44732</v>
      </c>
      <c r="O435" s="35" t="s">
        <v>1849</v>
      </c>
      <c r="P435" s="62" t="s">
        <v>3020</v>
      </c>
      <c r="Q435" s="35"/>
      <c r="R435" s="35"/>
      <c r="S435" s="33"/>
      <c r="T435" s="33"/>
      <c r="U435" s="33"/>
    </row>
    <row r="436" spans="2:21">
      <c r="B436" s="232"/>
      <c r="C436" s="232"/>
      <c r="D436" s="255"/>
      <c r="E436" s="255"/>
      <c r="F436" s="255"/>
      <c r="G436" s="255"/>
      <c r="H436" s="21"/>
      <c r="I436" s="72"/>
      <c r="J436" s="101"/>
      <c r="K436" s="62" t="s">
        <v>2333</v>
      </c>
      <c r="L436" s="35" t="s">
        <v>332</v>
      </c>
      <c r="M436" s="55" t="s">
        <v>349</v>
      </c>
      <c r="N436" s="55">
        <v>44782</v>
      </c>
      <c r="O436" s="35" t="s">
        <v>1849</v>
      </c>
      <c r="P436" s="62" t="s">
        <v>3185</v>
      </c>
      <c r="Q436" s="35"/>
      <c r="R436" s="35"/>
      <c r="S436" s="33"/>
      <c r="T436" s="33"/>
      <c r="U436" s="33"/>
    </row>
    <row r="437" spans="2:21">
      <c r="B437" s="232"/>
      <c r="C437" s="232"/>
      <c r="D437" s="255"/>
      <c r="E437" s="255"/>
      <c r="F437" s="255"/>
      <c r="G437" s="255"/>
      <c r="H437" s="21"/>
      <c r="I437" s="72"/>
      <c r="J437" s="101"/>
      <c r="K437" s="62" t="s">
        <v>2433</v>
      </c>
      <c r="L437" s="35" t="s">
        <v>332</v>
      </c>
      <c r="M437" s="55" t="s">
        <v>349</v>
      </c>
      <c r="N437" s="55">
        <v>44858</v>
      </c>
      <c r="O437" s="35" t="s">
        <v>1849</v>
      </c>
      <c r="P437" s="62" t="s">
        <v>3309</v>
      </c>
      <c r="Q437" s="35"/>
      <c r="R437" s="35"/>
      <c r="S437" s="33"/>
      <c r="T437" s="33"/>
      <c r="U437" s="33"/>
    </row>
    <row r="438" spans="2:21">
      <c r="B438" s="232"/>
      <c r="C438" s="232"/>
      <c r="D438" s="255"/>
      <c r="E438" s="255"/>
      <c r="F438" s="255"/>
      <c r="G438" s="255"/>
      <c r="H438" s="21"/>
      <c r="I438" s="72"/>
      <c r="J438" s="101"/>
      <c r="K438" s="62" t="s">
        <v>2861</v>
      </c>
      <c r="L438" s="35" t="s">
        <v>332</v>
      </c>
      <c r="M438" s="55" t="s">
        <v>349</v>
      </c>
      <c r="N438" s="55">
        <v>45219</v>
      </c>
      <c r="O438" s="35" t="s">
        <v>1849</v>
      </c>
      <c r="P438" s="62" t="s">
        <v>4051</v>
      </c>
      <c r="Q438" s="35"/>
      <c r="R438" s="35"/>
      <c r="S438" s="33"/>
      <c r="T438" s="33"/>
      <c r="U438" s="33"/>
    </row>
    <row r="439" spans="2:21">
      <c r="B439" s="232"/>
      <c r="C439" s="232"/>
      <c r="D439" s="255"/>
      <c r="E439" s="255"/>
      <c r="F439" s="255"/>
      <c r="G439" s="255"/>
      <c r="H439" s="21"/>
      <c r="I439" s="72"/>
      <c r="J439" s="101"/>
      <c r="K439" s="62"/>
      <c r="L439" s="35"/>
      <c r="M439" s="55"/>
      <c r="N439" s="55"/>
      <c r="O439" s="35"/>
      <c r="P439" s="62"/>
      <c r="Q439" s="35"/>
      <c r="R439" s="35"/>
      <c r="S439" s="33"/>
      <c r="T439" s="33"/>
      <c r="U439" s="33"/>
    </row>
    <row r="440" spans="2:21" ht="14">
      <c r="B440" s="232"/>
      <c r="C440" s="232"/>
      <c r="D440" s="255"/>
      <c r="E440" s="255"/>
      <c r="F440" s="255"/>
      <c r="G440" s="255"/>
      <c r="H440" s="21"/>
      <c r="I440" s="72" t="s">
        <v>1101</v>
      </c>
      <c r="J440" s="101" t="s">
        <v>2841</v>
      </c>
      <c r="K440" s="62" t="s">
        <v>1706</v>
      </c>
      <c r="L440" s="62" t="s">
        <v>332</v>
      </c>
      <c r="M440" s="55" t="s">
        <v>349</v>
      </c>
      <c r="N440" s="55">
        <v>44656</v>
      </c>
      <c r="O440" s="12" t="s">
        <v>2828</v>
      </c>
      <c r="P440" s="62" t="s">
        <v>2840</v>
      </c>
      <c r="Q440" s="35"/>
      <c r="R440" s="35"/>
      <c r="S440" s="33"/>
      <c r="T440" s="33"/>
      <c r="U440" s="33"/>
    </row>
    <row r="441" spans="2:21" ht="14">
      <c r="B441" s="232"/>
      <c r="C441" s="232"/>
      <c r="D441" s="255"/>
      <c r="E441" s="255"/>
      <c r="F441" s="255"/>
      <c r="G441" s="255"/>
      <c r="H441" s="21"/>
      <c r="I441" s="72"/>
      <c r="J441" s="101"/>
      <c r="K441" s="62" t="s">
        <v>1865</v>
      </c>
      <c r="L441" s="62" t="s">
        <v>332</v>
      </c>
      <c r="M441" s="55" t="s">
        <v>349</v>
      </c>
      <c r="N441" s="55">
        <v>44732</v>
      </c>
      <c r="O441" s="12" t="s">
        <v>2828</v>
      </c>
      <c r="P441" s="62" t="s">
        <v>3020</v>
      </c>
      <c r="Q441" s="35"/>
      <c r="R441" s="35"/>
      <c r="S441" s="33"/>
      <c r="T441" s="33"/>
      <c r="U441" s="33"/>
    </row>
    <row r="442" spans="2:21" ht="14">
      <c r="B442" s="232"/>
      <c r="C442" s="232"/>
      <c r="D442" s="255"/>
      <c r="E442" s="255"/>
      <c r="F442" s="255"/>
      <c r="G442" s="255"/>
      <c r="H442" s="21"/>
      <c r="I442" s="72"/>
      <c r="J442" s="101"/>
      <c r="K442" s="62" t="s">
        <v>2095</v>
      </c>
      <c r="L442" s="62" t="s">
        <v>332</v>
      </c>
      <c r="M442" s="55" t="s">
        <v>349</v>
      </c>
      <c r="N442" s="55">
        <v>44782</v>
      </c>
      <c r="O442" s="12" t="s">
        <v>2828</v>
      </c>
      <c r="P442" s="62" t="s">
        <v>3185</v>
      </c>
      <c r="Q442" s="35"/>
      <c r="R442" s="35"/>
      <c r="S442" s="33"/>
      <c r="T442" s="33"/>
      <c r="U442" s="33"/>
    </row>
    <row r="443" spans="2:21" ht="14">
      <c r="B443" s="232"/>
      <c r="C443" s="232"/>
      <c r="D443" s="255"/>
      <c r="E443" s="255"/>
      <c r="F443" s="255"/>
      <c r="G443" s="255"/>
      <c r="H443" s="21"/>
      <c r="I443" s="72"/>
      <c r="J443" s="101"/>
      <c r="K443" s="62" t="s">
        <v>2096</v>
      </c>
      <c r="L443" s="62" t="s">
        <v>332</v>
      </c>
      <c r="M443" s="55" t="s">
        <v>349</v>
      </c>
      <c r="N443" s="55">
        <v>45219</v>
      </c>
      <c r="O443" s="12" t="s">
        <v>2828</v>
      </c>
      <c r="P443" s="62" t="s">
        <v>4051</v>
      </c>
      <c r="Q443" s="35"/>
      <c r="R443" s="35"/>
      <c r="S443" s="33"/>
      <c r="T443" s="33"/>
      <c r="U443" s="33"/>
    </row>
    <row r="444" spans="2:21">
      <c r="B444" s="232"/>
      <c r="C444" s="232"/>
      <c r="D444" s="255"/>
      <c r="E444" s="255"/>
      <c r="F444" s="255"/>
      <c r="G444" s="255"/>
      <c r="H444" s="21"/>
      <c r="I444" s="72"/>
      <c r="J444" s="101"/>
      <c r="K444" s="35"/>
      <c r="L444" s="35"/>
      <c r="M444" s="55"/>
      <c r="N444" s="55"/>
      <c r="O444" s="35"/>
      <c r="P444" s="62"/>
      <c r="Q444" s="35"/>
      <c r="R444" s="35"/>
      <c r="S444" s="33"/>
      <c r="T444" s="33"/>
      <c r="U444" s="33"/>
    </row>
    <row r="445" spans="2:21" ht="14">
      <c r="B445" s="232"/>
      <c r="C445" s="232"/>
      <c r="D445" s="255"/>
      <c r="E445" s="255"/>
      <c r="F445" s="255"/>
      <c r="G445" s="255"/>
      <c r="H445" s="21" t="s">
        <v>184</v>
      </c>
      <c r="I445" s="72"/>
      <c r="J445" s="101" t="s">
        <v>1693</v>
      </c>
      <c r="K445" s="35" t="s">
        <v>758</v>
      </c>
      <c r="L445" s="35" t="s">
        <v>332</v>
      </c>
      <c r="M445" s="55" t="s">
        <v>349</v>
      </c>
      <c r="N445" s="55">
        <v>44333</v>
      </c>
      <c r="O445" s="35" t="s">
        <v>687</v>
      </c>
      <c r="P445" s="62" t="s">
        <v>1692</v>
      </c>
      <c r="Q445" s="35"/>
      <c r="R445" s="35"/>
      <c r="S445" s="33"/>
      <c r="T445" s="33" t="s">
        <v>1868</v>
      </c>
      <c r="U445" s="33"/>
    </row>
    <row r="446" spans="2:21">
      <c r="B446" s="232"/>
      <c r="C446" s="232"/>
      <c r="D446" s="255"/>
      <c r="E446" s="255"/>
      <c r="F446" s="255"/>
      <c r="G446" s="255"/>
      <c r="H446" s="21"/>
      <c r="I446" s="21"/>
      <c r="J446" s="7"/>
      <c r="K446" s="35"/>
      <c r="L446" s="35"/>
      <c r="M446" s="55"/>
      <c r="N446" s="53"/>
      <c r="O446" s="35"/>
      <c r="P446" s="35"/>
      <c r="Q446" s="35"/>
      <c r="R446" s="35"/>
      <c r="S446" s="33"/>
      <c r="T446" s="33"/>
      <c r="U446" s="33"/>
    </row>
    <row r="447" spans="2:21">
      <c r="B447" s="232"/>
      <c r="C447" s="232"/>
      <c r="D447" s="255"/>
      <c r="E447" s="255"/>
      <c r="F447" s="21" t="s">
        <v>29</v>
      </c>
      <c r="G447" s="256"/>
      <c r="H447" s="257"/>
      <c r="I447" s="257"/>
      <c r="J447" s="257"/>
      <c r="K447" s="257"/>
      <c r="L447" s="257"/>
      <c r="M447" s="257"/>
      <c r="N447" s="257"/>
      <c r="O447" s="257"/>
      <c r="P447" s="257"/>
      <c r="Q447" s="258"/>
      <c r="R447" s="39"/>
      <c r="S447" s="21"/>
      <c r="T447" s="21"/>
      <c r="U447" s="21"/>
    </row>
    <row r="448" spans="2:21">
      <c r="B448" s="232"/>
      <c r="C448" s="232"/>
      <c r="D448" s="255"/>
      <c r="E448" s="255"/>
      <c r="F448" s="255"/>
      <c r="G448" s="255"/>
      <c r="H448" s="61" t="s">
        <v>176</v>
      </c>
      <c r="I448" s="61"/>
      <c r="J448" s="4"/>
      <c r="K448" s="62"/>
      <c r="L448" s="62"/>
      <c r="M448" s="55"/>
      <c r="N448" s="55"/>
      <c r="O448" s="12"/>
      <c r="P448" s="62"/>
      <c r="Q448" s="62"/>
      <c r="R448" s="35"/>
      <c r="S448" s="33"/>
      <c r="T448" s="33"/>
      <c r="U448" s="21"/>
    </row>
    <row r="449" spans="2:21">
      <c r="B449" s="232"/>
      <c r="C449" s="232"/>
      <c r="D449" s="255"/>
      <c r="E449" s="255"/>
      <c r="F449" s="255"/>
      <c r="G449" s="255"/>
      <c r="H449" s="61"/>
      <c r="I449" s="61"/>
      <c r="J449" s="4"/>
      <c r="K449" s="62"/>
      <c r="L449" s="62"/>
      <c r="M449" s="55"/>
      <c r="N449" s="55"/>
      <c r="O449" s="12"/>
      <c r="P449" s="62"/>
      <c r="Q449" s="62"/>
      <c r="R449" s="35"/>
      <c r="S449" s="33"/>
      <c r="T449" s="33"/>
      <c r="U449" s="21"/>
    </row>
    <row r="450" spans="2:21">
      <c r="B450" s="232"/>
      <c r="C450" s="232"/>
      <c r="D450" s="39" t="s">
        <v>55</v>
      </c>
      <c r="E450" s="256" t="s">
        <v>79</v>
      </c>
      <c r="F450" s="257"/>
      <c r="G450" s="257"/>
      <c r="H450" s="257"/>
      <c r="I450" s="257"/>
      <c r="J450" s="257"/>
      <c r="K450" s="257"/>
      <c r="L450" s="257"/>
      <c r="M450" s="257"/>
      <c r="N450" s="257"/>
      <c r="O450" s="257"/>
      <c r="P450" s="257"/>
      <c r="Q450" s="257"/>
      <c r="R450" s="257"/>
      <c r="S450" s="257"/>
      <c r="T450" s="258"/>
      <c r="U450" s="21"/>
    </row>
    <row r="451" spans="2:21">
      <c r="B451" s="232"/>
      <c r="C451" s="232"/>
      <c r="D451" s="255"/>
      <c r="E451" s="255"/>
      <c r="F451" s="21" t="s">
        <v>27</v>
      </c>
      <c r="G451" s="256" t="s">
        <v>175</v>
      </c>
      <c r="H451" s="257"/>
      <c r="I451" s="257"/>
      <c r="J451" s="257"/>
      <c r="K451" s="257"/>
      <c r="L451" s="257"/>
      <c r="M451" s="257"/>
      <c r="N451" s="257"/>
      <c r="O451" s="257"/>
      <c r="P451" s="257"/>
      <c r="Q451" s="258"/>
      <c r="R451" s="39" t="s">
        <v>26</v>
      </c>
      <c r="S451" s="21"/>
      <c r="T451" s="21"/>
      <c r="U451" s="21"/>
    </row>
    <row r="452" spans="2:21">
      <c r="B452" s="232"/>
      <c r="C452" s="232"/>
      <c r="D452" s="255"/>
      <c r="E452" s="255"/>
      <c r="F452" s="255"/>
      <c r="G452" s="255"/>
      <c r="H452" s="21" t="s">
        <v>176</v>
      </c>
      <c r="I452" s="21"/>
      <c r="J452" s="33" t="s">
        <v>264</v>
      </c>
      <c r="K452" s="35" t="s">
        <v>330</v>
      </c>
      <c r="L452" s="35" t="s">
        <v>333</v>
      </c>
      <c r="M452" s="53">
        <v>44000</v>
      </c>
      <c r="N452" s="53">
        <v>44000</v>
      </c>
      <c r="O452" s="35" t="s">
        <v>345</v>
      </c>
      <c r="P452" s="35" t="s">
        <v>335</v>
      </c>
      <c r="Q452" s="35"/>
      <c r="R452" s="35"/>
      <c r="S452" s="33"/>
      <c r="T452" s="33"/>
      <c r="U452" s="21"/>
    </row>
    <row r="453" spans="2:21">
      <c r="B453" s="232"/>
      <c r="C453" s="232"/>
      <c r="D453" s="255"/>
      <c r="E453" s="255"/>
      <c r="F453" s="255"/>
      <c r="G453" s="255"/>
      <c r="H453" s="21"/>
      <c r="I453" s="21"/>
      <c r="J453" s="33" t="s">
        <v>264</v>
      </c>
      <c r="K453" s="56" t="s">
        <v>3</v>
      </c>
      <c r="L453" s="35" t="s">
        <v>332</v>
      </c>
      <c r="M453" s="53">
        <v>44074</v>
      </c>
      <c r="N453" s="53">
        <v>44071</v>
      </c>
      <c r="O453" s="35" t="s">
        <v>2206</v>
      </c>
      <c r="P453" s="35" t="s">
        <v>352</v>
      </c>
      <c r="Q453" s="35"/>
      <c r="R453" s="35"/>
      <c r="S453" s="33"/>
      <c r="T453" s="33"/>
      <c r="U453" s="21"/>
    </row>
    <row r="454" spans="2:21">
      <c r="B454" s="232"/>
      <c r="C454" s="232"/>
      <c r="D454" s="255"/>
      <c r="E454" s="255"/>
      <c r="F454" s="255"/>
      <c r="G454" s="255"/>
      <c r="H454" s="21"/>
      <c r="I454" s="21"/>
      <c r="J454" s="33" t="s">
        <v>264</v>
      </c>
      <c r="K454" s="56" t="s">
        <v>654</v>
      </c>
      <c r="L454" s="35" t="s">
        <v>332</v>
      </c>
      <c r="M454" s="53" t="s">
        <v>349</v>
      </c>
      <c r="N454" s="53">
        <v>44175</v>
      </c>
      <c r="O454" s="35" t="s">
        <v>2206</v>
      </c>
      <c r="P454" s="35" t="s">
        <v>755</v>
      </c>
      <c r="Q454" s="35"/>
      <c r="R454" s="35"/>
      <c r="S454" s="33"/>
      <c r="T454" s="33"/>
      <c r="U454" s="21"/>
    </row>
    <row r="455" spans="2:21">
      <c r="B455" s="232"/>
      <c r="C455" s="232"/>
      <c r="D455" s="255"/>
      <c r="E455" s="255"/>
      <c r="F455" s="255"/>
      <c r="G455" s="255"/>
      <c r="H455" s="21"/>
      <c r="I455" s="21"/>
      <c r="J455" s="33" t="s">
        <v>264</v>
      </c>
      <c r="K455" s="56" t="s">
        <v>729</v>
      </c>
      <c r="L455" s="35" t="s">
        <v>332</v>
      </c>
      <c r="M455" s="53" t="s">
        <v>349</v>
      </c>
      <c r="N455" s="53">
        <v>44523</v>
      </c>
      <c r="O455" s="35" t="s">
        <v>2206</v>
      </c>
      <c r="P455" s="35" t="s">
        <v>2466</v>
      </c>
      <c r="Q455" s="35"/>
      <c r="R455" s="35"/>
      <c r="S455" s="33"/>
      <c r="T455" s="33"/>
      <c r="U455" s="21"/>
    </row>
    <row r="456" spans="2:21">
      <c r="B456" s="232"/>
      <c r="C456" s="232"/>
      <c r="D456" s="255"/>
      <c r="E456" s="255"/>
      <c r="F456" s="255"/>
      <c r="G456" s="255"/>
      <c r="H456" s="21"/>
      <c r="I456" s="21"/>
      <c r="J456" s="33" t="s">
        <v>264</v>
      </c>
      <c r="K456" s="56" t="s">
        <v>730</v>
      </c>
      <c r="L456" s="35" t="s">
        <v>332</v>
      </c>
      <c r="M456" s="53" t="s">
        <v>349</v>
      </c>
      <c r="N456" s="53">
        <v>44662</v>
      </c>
      <c r="O456" s="35" t="s">
        <v>2206</v>
      </c>
      <c r="P456" s="35" t="s">
        <v>2858</v>
      </c>
      <c r="Q456" s="35"/>
      <c r="R456" s="35"/>
      <c r="S456" s="33"/>
      <c r="T456" s="33"/>
      <c r="U456" s="21"/>
    </row>
    <row r="457" spans="2:21" ht="13.5" customHeight="1">
      <c r="B457" s="232"/>
      <c r="C457" s="232"/>
      <c r="D457" s="255"/>
      <c r="E457" s="255"/>
      <c r="F457" s="255"/>
      <c r="G457" s="255"/>
      <c r="H457" s="21"/>
      <c r="I457" s="21"/>
      <c r="J457" s="33"/>
      <c r="K457" s="35"/>
      <c r="L457" s="35"/>
      <c r="M457" s="53"/>
      <c r="N457" s="53"/>
      <c r="O457" s="35"/>
      <c r="P457" s="35"/>
      <c r="Q457" s="35"/>
      <c r="R457" s="35" t="s">
        <v>324</v>
      </c>
      <c r="S457" s="33"/>
      <c r="T457" s="33"/>
      <c r="U457" s="21"/>
    </row>
    <row r="458" spans="2:21" ht="13.5" customHeight="1">
      <c r="B458" s="232"/>
      <c r="C458" s="232"/>
      <c r="D458" s="255"/>
      <c r="E458" s="255"/>
      <c r="F458" s="255"/>
      <c r="G458" s="255"/>
      <c r="H458" s="21" t="s">
        <v>177</v>
      </c>
      <c r="I458" s="21"/>
      <c r="J458" s="33" t="s">
        <v>185</v>
      </c>
      <c r="K458" s="35" t="s">
        <v>330</v>
      </c>
      <c r="L458" s="35" t="s">
        <v>333</v>
      </c>
      <c r="M458" s="53">
        <v>44000</v>
      </c>
      <c r="N458" s="53">
        <v>44000</v>
      </c>
      <c r="O458" s="35" t="s">
        <v>345</v>
      </c>
      <c r="P458" s="35" t="s">
        <v>335</v>
      </c>
      <c r="Q458" s="35"/>
      <c r="R458" s="35"/>
      <c r="S458" s="33"/>
      <c r="T458" s="33"/>
      <c r="U458" s="21"/>
    </row>
    <row r="459" spans="2:21" ht="13.5" customHeight="1">
      <c r="B459" s="232"/>
      <c r="C459" s="232"/>
      <c r="D459" s="255"/>
      <c r="E459" s="255"/>
      <c r="F459" s="255"/>
      <c r="G459" s="255"/>
      <c r="H459" s="21"/>
      <c r="I459" s="21"/>
      <c r="J459" s="33" t="s">
        <v>446</v>
      </c>
      <c r="K459" s="56" t="s">
        <v>3</v>
      </c>
      <c r="L459" s="35" t="s">
        <v>332</v>
      </c>
      <c r="M459" s="53">
        <v>44074</v>
      </c>
      <c r="N459" s="53">
        <v>44071</v>
      </c>
      <c r="O459" s="35" t="s">
        <v>1750</v>
      </c>
      <c r="P459" s="35" t="s">
        <v>352</v>
      </c>
      <c r="Q459" s="35"/>
      <c r="R459" s="35"/>
      <c r="S459" s="33"/>
      <c r="T459" s="33"/>
      <c r="U459" s="21"/>
    </row>
    <row r="460" spans="2:21" ht="13.5" customHeight="1">
      <c r="B460" s="232"/>
      <c r="C460" s="232"/>
      <c r="D460" s="255"/>
      <c r="E460" s="255"/>
      <c r="F460" s="255"/>
      <c r="G460" s="255"/>
      <c r="H460" s="21"/>
      <c r="I460" s="21"/>
      <c r="J460" s="33" t="s">
        <v>446</v>
      </c>
      <c r="K460" s="56" t="s">
        <v>654</v>
      </c>
      <c r="L460" s="35" t="s">
        <v>332</v>
      </c>
      <c r="M460" s="53" t="s">
        <v>349</v>
      </c>
      <c r="N460" s="53">
        <v>44175</v>
      </c>
      <c r="O460" s="35" t="s">
        <v>1750</v>
      </c>
      <c r="P460" s="35" t="s">
        <v>755</v>
      </c>
      <c r="Q460" s="35"/>
      <c r="R460" s="35"/>
      <c r="S460" s="33"/>
      <c r="T460" s="33"/>
      <c r="U460" s="21"/>
    </row>
    <row r="461" spans="2:21" ht="13.5" customHeight="1">
      <c r="B461" s="232"/>
      <c r="C461" s="232"/>
      <c r="D461" s="255"/>
      <c r="E461" s="255"/>
      <c r="F461" s="255"/>
      <c r="G461" s="255"/>
      <c r="H461" s="21"/>
      <c r="I461" s="21"/>
      <c r="J461" s="33" t="s">
        <v>446</v>
      </c>
      <c r="K461" s="56" t="s">
        <v>729</v>
      </c>
      <c r="L461" s="35" t="s">
        <v>332</v>
      </c>
      <c r="M461" s="53" t="s">
        <v>349</v>
      </c>
      <c r="N461" s="53">
        <v>44349</v>
      </c>
      <c r="O461" s="35" t="s">
        <v>1750</v>
      </c>
      <c r="P461" s="35" t="s">
        <v>1751</v>
      </c>
      <c r="Q461" s="35"/>
      <c r="R461" s="35"/>
      <c r="S461" s="33"/>
      <c r="T461" s="33"/>
      <c r="U461" s="21"/>
    </row>
    <row r="462" spans="2:21" ht="13.5" customHeight="1">
      <c r="B462" s="232"/>
      <c r="C462" s="232"/>
      <c r="D462" s="255"/>
      <c r="E462" s="255"/>
      <c r="F462" s="255"/>
      <c r="G462" s="255"/>
      <c r="H462" s="21"/>
      <c r="I462" s="21"/>
      <c r="J462" s="33" t="s">
        <v>446</v>
      </c>
      <c r="K462" s="56" t="s">
        <v>730</v>
      </c>
      <c r="L462" s="35" t="s">
        <v>332</v>
      </c>
      <c r="M462" s="53" t="s">
        <v>349</v>
      </c>
      <c r="N462" s="53">
        <v>44432</v>
      </c>
      <c r="O462" s="35" t="s">
        <v>1750</v>
      </c>
      <c r="P462" s="35" t="s">
        <v>2205</v>
      </c>
      <c r="Q462" s="35"/>
      <c r="R462" s="35"/>
      <c r="S462" s="33"/>
      <c r="T462" s="33"/>
      <c r="U462" s="21"/>
    </row>
    <row r="463" spans="2:21" ht="13.5" customHeight="1">
      <c r="B463" s="232"/>
      <c r="C463" s="232"/>
      <c r="D463" s="255"/>
      <c r="E463" s="255"/>
      <c r="F463" s="255"/>
      <c r="G463" s="255"/>
      <c r="H463" s="21"/>
      <c r="I463" s="21"/>
      <c r="J463" s="33" t="s">
        <v>446</v>
      </c>
      <c r="K463" s="56" t="s">
        <v>1161</v>
      </c>
      <c r="L463" s="35" t="s">
        <v>332</v>
      </c>
      <c r="M463" s="53" t="s">
        <v>349</v>
      </c>
      <c r="N463" s="53">
        <v>44473</v>
      </c>
      <c r="O463" s="35" t="s">
        <v>1750</v>
      </c>
      <c r="P463" s="35" t="s">
        <v>2313</v>
      </c>
      <c r="Q463" s="35"/>
      <c r="R463" s="35"/>
      <c r="S463" s="33"/>
      <c r="T463" s="33"/>
      <c r="U463" s="21"/>
    </row>
    <row r="464" spans="2:21" ht="13.5" customHeight="1">
      <c r="B464" s="232"/>
      <c r="C464" s="232"/>
      <c r="D464" s="255"/>
      <c r="E464" s="255"/>
      <c r="F464" s="255"/>
      <c r="G464" s="255"/>
      <c r="H464" s="21"/>
      <c r="I464" s="21"/>
      <c r="J464" s="33" t="s">
        <v>446</v>
      </c>
      <c r="K464" s="56" t="s">
        <v>917</v>
      </c>
      <c r="L464" s="35" t="s">
        <v>332</v>
      </c>
      <c r="M464" s="53" t="s">
        <v>349</v>
      </c>
      <c r="N464" s="53">
        <v>44515</v>
      </c>
      <c r="O464" s="35" t="s">
        <v>1750</v>
      </c>
      <c r="P464" s="35" t="s">
        <v>2441</v>
      </c>
      <c r="Q464" s="35"/>
      <c r="R464" s="35"/>
      <c r="S464" s="33"/>
      <c r="T464" s="33"/>
      <c r="U464" s="21"/>
    </row>
    <row r="465" spans="2:21" ht="13.5" customHeight="1">
      <c r="B465" s="232"/>
      <c r="C465" s="232"/>
      <c r="D465" s="255"/>
      <c r="E465" s="255"/>
      <c r="F465" s="255"/>
      <c r="G465" s="255"/>
      <c r="H465" s="21"/>
      <c r="I465" s="21"/>
      <c r="J465" s="33" t="s">
        <v>446</v>
      </c>
      <c r="K465" s="56" t="s">
        <v>2082</v>
      </c>
      <c r="L465" s="35" t="s">
        <v>332</v>
      </c>
      <c r="M465" s="53" t="s">
        <v>349</v>
      </c>
      <c r="N465" s="53">
        <v>44544</v>
      </c>
      <c r="O465" s="35" t="s">
        <v>1750</v>
      </c>
      <c r="P465" s="35" t="s">
        <v>2561</v>
      </c>
      <c r="Q465" s="35"/>
      <c r="R465" s="35"/>
      <c r="S465" s="33"/>
      <c r="T465" s="33"/>
      <c r="U465" s="21"/>
    </row>
    <row r="466" spans="2:21" ht="13.5" customHeight="1">
      <c r="B466" s="232"/>
      <c r="C466" s="232"/>
      <c r="D466" s="255"/>
      <c r="E466" s="255"/>
      <c r="F466" s="255"/>
      <c r="G466" s="255"/>
      <c r="H466" s="21"/>
      <c r="I466" s="21"/>
      <c r="J466" s="33" t="s">
        <v>446</v>
      </c>
      <c r="K466" s="56" t="s">
        <v>2169</v>
      </c>
      <c r="L466" s="35" t="s">
        <v>332</v>
      </c>
      <c r="M466" s="53" t="s">
        <v>349</v>
      </c>
      <c r="N466" s="53">
        <v>44662</v>
      </c>
      <c r="O466" s="35" t="s">
        <v>1750</v>
      </c>
      <c r="P466" s="35" t="s">
        <v>2858</v>
      </c>
      <c r="Q466" s="35"/>
      <c r="R466" s="35"/>
      <c r="S466" s="33"/>
      <c r="T466" s="33"/>
      <c r="U466" s="21"/>
    </row>
    <row r="467" spans="2:21">
      <c r="B467" s="232"/>
      <c r="C467" s="232"/>
      <c r="D467" s="255"/>
      <c r="E467" s="255"/>
      <c r="F467" s="255"/>
      <c r="G467" s="255"/>
      <c r="H467" s="21"/>
      <c r="I467" s="21"/>
      <c r="J467" s="33"/>
      <c r="K467" s="35"/>
      <c r="L467" s="35"/>
      <c r="M467" s="53"/>
      <c r="N467" s="53"/>
      <c r="O467" s="35"/>
      <c r="P467" s="35"/>
      <c r="Q467" s="35"/>
      <c r="R467" s="35" t="s">
        <v>324</v>
      </c>
      <c r="S467" s="33"/>
      <c r="T467" s="33"/>
      <c r="U467" s="21"/>
    </row>
    <row r="468" spans="2:21">
      <c r="B468" s="232"/>
      <c r="C468" s="232"/>
      <c r="D468" s="255"/>
      <c r="E468" s="255"/>
      <c r="F468" s="255"/>
      <c r="G468" s="255"/>
      <c r="H468" s="21" t="s">
        <v>181</v>
      </c>
      <c r="I468" s="21"/>
      <c r="J468" s="33" t="s">
        <v>265</v>
      </c>
      <c r="K468" s="35" t="s">
        <v>330</v>
      </c>
      <c r="L468" s="35" t="s">
        <v>333</v>
      </c>
      <c r="M468" s="53">
        <v>44000</v>
      </c>
      <c r="N468" s="53">
        <v>44000</v>
      </c>
      <c r="O468" s="35" t="s">
        <v>345</v>
      </c>
      <c r="P468" s="35" t="s">
        <v>335</v>
      </c>
      <c r="Q468" s="35"/>
      <c r="R468" s="35"/>
      <c r="S468" s="33"/>
      <c r="T468" s="33"/>
      <c r="U468" s="21"/>
    </row>
    <row r="469" spans="2:21">
      <c r="B469" s="232"/>
      <c r="C469" s="232"/>
      <c r="D469" s="255"/>
      <c r="E469" s="255"/>
      <c r="F469" s="255"/>
      <c r="G469" s="255"/>
      <c r="H469" s="21"/>
      <c r="I469" s="21"/>
      <c r="J469" s="33" t="s">
        <v>265</v>
      </c>
      <c r="K469" s="56" t="s">
        <v>3</v>
      </c>
      <c r="L469" s="35" t="s">
        <v>332</v>
      </c>
      <c r="M469" s="53">
        <v>44074</v>
      </c>
      <c r="N469" s="53">
        <v>44071</v>
      </c>
      <c r="O469" s="35" t="s">
        <v>1752</v>
      </c>
      <c r="P469" s="35" t="s">
        <v>352</v>
      </c>
      <c r="Q469" s="35"/>
      <c r="R469" s="35"/>
      <c r="S469" s="33"/>
      <c r="T469" s="33"/>
      <c r="U469" s="21"/>
    </row>
    <row r="470" spans="2:21">
      <c r="B470" s="232"/>
      <c r="C470" s="232"/>
      <c r="D470" s="255"/>
      <c r="E470" s="255"/>
      <c r="F470" s="255"/>
      <c r="G470" s="255"/>
      <c r="H470" s="21"/>
      <c r="I470" s="21"/>
      <c r="J470" s="33" t="s">
        <v>265</v>
      </c>
      <c r="K470" s="56" t="s">
        <v>512</v>
      </c>
      <c r="L470" s="35" t="s">
        <v>332</v>
      </c>
      <c r="M470" s="53" t="s">
        <v>349</v>
      </c>
      <c r="N470" s="53">
        <v>44175</v>
      </c>
      <c r="O470" s="35" t="s">
        <v>1752</v>
      </c>
      <c r="P470" s="35" t="s">
        <v>755</v>
      </c>
      <c r="Q470" s="35"/>
      <c r="R470" s="35"/>
      <c r="S470" s="33"/>
      <c r="T470" s="33"/>
      <c r="U470" s="21"/>
    </row>
    <row r="471" spans="2:21">
      <c r="B471" s="232"/>
      <c r="C471" s="232"/>
      <c r="D471" s="255"/>
      <c r="E471" s="255"/>
      <c r="F471" s="255"/>
      <c r="G471" s="255"/>
      <c r="H471" s="21"/>
      <c r="I471" s="21"/>
      <c r="J471" s="33" t="s">
        <v>265</v>
      </c>
      <c r="K471" s="56" t="s">
        <v>654</v>
      </c>
      <c r="L471" s="35" t="s">
        <v>332</v>
      </c>
      <c r="M471" s="53" t="s">
        <v>349</v>
      </c>
      <c r="N471" s="53">
        <v>44349</v>
      </c>
      <c r="O471" s="35" t="s">
        <v>1752</v>
      </c>
      <c r="P471" s="35" t="s">
        <v>1751</v>
      </c>
      <c r="Q471" s="35"/>
      <c r="R471" s="35"/>
      <c r="S471" s="33"/>
      <c r="T471" s="33"/>
      <c r="U471" s="21"/>
    </row>
    <row r="472" spans="2:21">
      <c r="B472" s="232"/>
      <c r="C472" s="232"/>
      <c r="D472" s="255"/>
      <c r="E472" s="255"/>
      <c r="F472" s="255"/>
      <c r="G472" s="255"/>
      <c r="H472" s="21"/>
      <c r="I472" s="21"/>
      <c r="J472" s="33" t="s">
        <v>265</v>
      </c>
      <c r="K472" s="56" t="s">
        <v>729</v>
      </c>
      <c r="L472" s="35" t="s">
        <v>332</v>
      </c>
      <c r="M472" s="53" t="s">
        <v>349</v>
      </c>
      <c r="N472" s="53">
        <v>44432</v>
      </c>
      <c r="O472" s="35" t="s">
        <v>1752</v>
      </c>
      <c r="P472" s="35" t="s">
        <v>2205</v>
      </c>
      <c r="Q472" s="35"/>
      <c r="R472" s="35"/>
      <c r="S472" s="33"/>
      <c r="T472" s="33"/>
      <c r="U472" s="21"/>
    </row>
    <row r="473" spans="2:21">
      <c r="B473" s="232"/>
      <c r="C473" s="232"/>
      <c r="D473" s="255"/>
      <c r="E473" s="255"/>
      <c r="F473" s="255"/>
      <c r="G473" s="255"/>
      <c r="H473" s="21"/>
      <c r="I473" s="21"/>
      <c r="J473" s="33" t="s">
        <v>265</v>
      </c>
      <c r="K473" s="56" t="s">
        <v>730</v>
      </c>
      <c r="L473" s="35" t="s">
        <v>332</v>
      </c>
      <c r="M473" s="53" t="s">
        <v>349</v>
      </c>
      <c r="N473" s="53">
        <v>44515</v>
      </c>
      <c r="O473" s="35" t="s">
        <v>1752</v>
      </c>
      <c r="P473" s="35" t="s">
        <v>2441</v>
      </c>
      <c r="Q473" s="35"/>
      <c r="R473" s="35"/>
      <c r="S473" s="33"/>
      <c r="T473" s="33"/>
      <c r="U473" s="21"/>
    </row>
    <row r="474" spans="2:21">
      <c r="B474" s="232"/>
      <c r="C474" s="232"/>
      <c r="D474" s="255"/>
      <c r="E474" s="255"/>
      <c r="F474" s="255"/>
      <c r="G474" s="255"/>
      <c r="H474" s="21"/>
      <c r="I474" s="21"/>
      <c r="J474" s="33" t="s">
        <v>265</v>
      </c>
      <c r="K474" s="56" t="s">
        <v>917</v>
      </c>
      <c r="L474" s="35" t="s">
        <v>332</v>
      </c>
      <c r="M474" s="53" t="s">
        <v>349</v>
      </c>
      <c r="N474" s="53">
        <v>44544</v>
      </c>
      <c r="O474" s="35" t="s">
        <v>1752</v>
      </c>
      <c r="P474" s="35" t="s">
        <v>2561</v>
      </c>
      <c r="Q474" s="35"/>
      <c r="R474" s="35"/>
      <c r="S474" s="33"/>
      <c r="T474" s="33"/>
      <c r="U474" s="21"/>
    </row>
    <row r="475" spans="2:21">
      <c r="B475" s="232"/>
      <c r="C475" s="232"/>
      <c r="D475" s="255"/>
      <c r="E475" s="255"/>
      <c r="F475" s="255"/>
      <c r="G475" s="255"/>
      <c r="H475" s="21"/>
      <c r="I475" s="21"/>
      <c r="J475" s="33" t="s">
        <v>265</v>
      </c>
      <c r="K475" s="56" t="s">
        <v>1221</v>
      </c>
      <c r="L475" s="35" t="s">
        <v>332</v>
      </c>
      <c r="M475" s="53" t="s">
        <v>349</v>
      </c>
      <c r="N475" s="53">
        <v>44909</v>
      </c>
      <c r="O475" s="35" t="s">
        <v>1752</v>
      </c>
      <c r="P475" s="35" t="s">
        <v>3349</v>
      </c>
      <c r="Q475" s="35"/>
      <c r="R475" s="35"/>
      <c r="S475" s="33"/>
      <c r="T475" s="33"/>
      <c r="U475" s="21"/>
    </row>
    <row r="476" spans="2:21">
      <c r="B476" s="232"/>
      <c r="C476" s="232"/>
      <c r="D476" s="255"/>
      <c r="E476" s="255"/>
      <c r="F476" s="255"/>
      <c r="G476" s="255"/>
      <c r="H476" s="21"/>
      <c r="I476" s="21"/>
      <c r="J476" s="33"/>
      <c r="K476" s="56"/>
      <c r="L476" s="35"/>
      <c r="M476" s="53"/>
      <c r="N476" s="53"/>
      <c r="O476" s="35"/>
      <c r="P476" s="35"/>
      <c r="Q476" s="35"/>
      <c r="R476" s="35"/>
      <c r="S476" s="33"/>
      <c r="T476" s="33"/>
      <c r="U476" s="21"/>
    </row>
    <row r="477" spans="2:21">
      <c r="B477" s="232"/>
      <c r="C477" s="232"/>
      <c r="D477" s="255"/>
      <c r="E477" s="255"/>
      <c r="F477" s="21" t="s">
        <v>29</v>
      </c>
      <c r="G477" s="256" t="s">
        <v>266</v>
      </c>
      <c r="H477" s="257"/>
      <c r="I477" s="257"/>
      <c r="J477" s="257"/>
      <c r="K477" s="257"/>
      <c r="L477" s="257"/>
      <c r="M477" s="257"/>
      <c r="N477" s="257"/>
      <c r="O477" s="257"/>
      <c r="P477" s="257"/>
      <c r="Q477" s="258"/>
      <c r="R477" s="39"/>
      <c r="S477" s="21"/>
      <c r="T477" s="21"/>
      <c r="U477" s="21"/>
    </row>
    <row r="478" spans="2:21">
      <c r="B478" s="232"/>
      <c r="C478" s="232"/>
      <c r="D478" s="255"/>
      <c r="E478" s="255"/>
      <c r="F478" s="255"/>
      <c r="G478" s="255"/>
      <c r="H478" s="21" t="s">
        <v>176</v>
      </c>
      <c r="I478" s="21"/>
      <c r="J478" s="33" t="s">
        <v>264</v>
      </c>
      <c r="K478" s="56" t="s">
        <v>3</v>
      </c>
      <c r="L478" s="35" t="s">
        <v>333</v>
      </c>
      <c r="M478" s="53">
        <v>44074</v>
      </c>
      <c r="N478" s="53">
        <v>44071</v>
      </c>
      <c r="O478" s="35" t="s">
        <v>2206</v>
      </c>
      <c r="P478" s="35" t="s">
        <v>352</v>
      </c>
      <c r="Q478" s="35"/>
      <c r="R478" s="35"/>
      <c r="S478" s="33"/>
      <c r="T478" s="33"/>
      <c r="U478" s="21"/>
    </row>
    <row r="479" spans="2:21">
      <c r="B479" s="232"/>
      <c r="C479" s="232"/>
      <c r="D479" s="255"/>
      <c r="E479" s="255"/>
      <c r="F479" s="255"/>
      <c r="G479" s="255"/>
      <c r="H479" s="21"/>
      <c r="I479" s="21"/>
      <c r="J479" s="33" t="s">
        <v>264</v>
      </c>
      <c r="K479" s="56" t="s">
        <v>654</v>
      </c>
      <c r="L479" s="35" t="s">
        <v>332</v>
      </c>
      <c r="M479" s="53" t="s">
        <v>349</v>
      </c>
      <c r="N479" s="53">
        <v>44175</v>
      </c>
      <c r="O479" s="35" t="s">
        <v>2206</v>
      </c>
      <c r="P479" s="35" t="s">
        <v>755</v>
      </c>
      <c r="Q479" s="35"/>
      <c r="R479" s="35"/>
      <c r="S479" s="33"/>
      <c r="T479" s="33"/>
      <c r="U479" s="21"/>
    </row>
    <row r="480" spans="2:21">
      <c r="B480" s="232"/>
      <c r="C480" s="232"/>
      <c r="D480" s="255"/>
      <c r="E480" s="255"/>
      <c r="F480" s="255"/>
      <c r="G480" s="255"/>
      <c r="H480" s="21"/>
      <c r="I480" s="21"/>
      <c r="J480" s="33" t="s">
        <v>264</v>
      </c>
      <c r="K480" s="56" t="s">
        <v>729</v>
      </c>
      <c r="L480" s="35" t="s">
        <v>332</v>
      </c>
      <c r="M480" s="53" t="s">
        <v>349</v>
      </c>
      <c r="N480" s="53">
        <v>44523</v>
      </c>
      <c r="O480" s="35" t="s">
        <v>2206</v>
      </c>
      <c r="P480" s="35" t="s">
        <v>2466</v>
      </c>
      <c r="Q480" s="35"/>
      <c r="R480" s="35"/>
      <c r="S480" s="33"/>
      <c r="T480" s="33"/>
      <c r="U480" s="21"/>
    </row>
    <row r="481" spans="2:21">
      <c r="B481" s="232"/>
      <c r="C481" s="232"/>
      <c r="D481" s="255"/>
      <c r="E481" s="255"/>
      <c r="F481" s="255"/>
      <c r="G481" s="255"/>
      <c r="H481" s="21"/>
      <c r="I481" s="21"/>
      <c r="J481" s="33" t="s">
        <v>264</v>
      </c>
      <c r="K481" s="56" t="s">
        <v>730</v>
      </c>
      <c r="L481" s="35" t="s">
        <v>332</v>
      </c>
      <c r="M481" s="53" t="s">
        <v>349</v>
      </c>
      <c r="N481" s="53">
        <v>44662</v>
      </c>
      <c r="O481" s="35" t="s">
        <v>2206</v>
      </c>
      <c r="P481" s="35" t="s">
        <v>2858</v>
      </c>
      <c r="Q481" s="35"/>
      <c r="R481" s="35"/>
      <c r="S481" s="33"/>
      <c r="T481" s="33"/>
      <c r="U481" s="21"/>
    </row>
    <row r="482" spans="2:21">
      <c r="B482" s="232"/>
      <c r="C482" s="232"/>
      <c r="D482" s="255"/>
      <c r="E482" s="255"/>
      <c r="F482" s="255"/>
      <c r="G482" s="255"/>
      <c r="H482" s="21"/>
      <c r="I482" s="21"/>
      <c r="J482" s="33"/>
      <c r="K482" s="35"/>
      <c r="L482" s="35"/>
      <c r="M482" s="53"/>
      <c r="N482" s="53"/>
      <c r="O482" s="35"/>
      <c r="P482" s="35"/>
      <c r="Q482" s="35"/>
      <c r="R482" s="35"/>
      <c r="S482" s="33"/>
      <c r="T482" s="33"/>
      <c r="U482" s="21"/>
    </row>
    <row r="483" spans="2:21">
      <c r="B483" s="232"/>
      <c r="C483" s="232"/>
      <c r="D483" s="255"/>
      <c r="E483" s="255"/>
      <c r="F483" s="255"/>
      <c r="G483" s="255"/>
      <c r="H483" s="21" t="s">
        <v>177</v>
      </c>
      <c r="I483" s="21"/>
      <c r="J483" s="33" t="s">
        <v>185</v>
      </c>
      <c r="K483" s="56" t="s">
        <v>3</v>
      </c>
      <c r="L483" s="35" t="s">
        <v>333</v>
      </c>
      <c r="M483" s="53">
        <v>44074</v>
      </c>
      <c r="N483" s="53">
        <v>44071</v>
      </c>
      <c r="O483" s="35" t="s">
        <v>1750</v>
      </c>
      <c r="P483" s="35" t="s">
        <v>352</v>
      </c>
      <c r="Q483" s="35"/>
      <c r="R483" s="35"/>
      <c r="S483" s="33"/>
      <c r="T483" s="33"/>
      <c r="U483" s="21"/>
    </row>
    <row r="484" spans="2:21">
      <c r="B484" s="232"/>
      <c r="C484" s="232"/>
      <c r="D484" s="255"/>
      <c r="E484" s="255"/>
      <c r="F484" s="255"/>
      <c r="G484" s="255"/>
      <c r="H484" s="21"/>
      <c r="I484" s="21"/>
      <c r="J484" s="33" t="s">
        <v>446</v>
      </c>
      <c r="K484" s="56" t="s">
        <v>654</v>
      </c>
      <c r="L484" s="35" t="s">
        <v>332</v>
      </c>
      <c r="M484" s="53" t="s">
        <v>349</v>
      </c>
      <c r="N484" s="53">
        <v>44175</v>
      </c>
      <c r="O484" s="35" t="s">
        <v>1750</v>
      </c>
      <c r="P484" s="35" t="s">
        <v>755</v>
      </c>
      <c r="Q484" s="35"/>
      <c r="R484" s="35"/>
      <c r="S484" s="33"/>
      <c r="T484" s="33"/>
      <c r="U484" s="21"/>
    </row>
    <row r="485" spans="2:21">
      <c r="B485" s="232"/>
      <c r="C485" s="232"/>
      <c r="D485" s="255"/>
      <c r="E485" s="255"/>
      <c r="F485" s="255"/>
      <c r="G485" s="255"/>
      <c r="H485" s="21"/>
      <c r="I485" s="21"/>
      <c r="J485" s="33" t="s">
        <v>446</v>
      </c>
      <c r="K485" s="56" t="s">
        <v>729</v>
      </c>
      <c r="L485" s="35" t="s">
        <v>332</v>
      </c>
      <c r="M485" s="53" t="s">
        <v>349</v>
      </c>
      <c r="N485" s="53">
        <v>44349</v>
      </c>
      <c r="O485" s="35" t="s">
        <v>1750</v>
      </c>
      <c r="P485" s="35" t="s">
        <v>1751</v>
      </c>
      <c r="Q485" s="35"/>
      <c r="R485" s="35"/>
      <c r="S485" s="33"/>
      <c r="T485" s="33"/>
      <c r="U485" s="21"/>
    </row>
    <row r="486" spans="2:21">
      <c r="B486" s="232"/>
      <c r="C486" s="232"/>
      <c r="D486" s="255"/>
      <c r="E486" s="255"/>
      <c r="F486" s="255"/>
      <c r="G486" s="255"/>
      <c r="H486" s="21"/>
      <c r="I486" s="21"/>
      <c r="J486" s="33" t="s">
        <v>446</v>
      </c>
      <c r="K486" s="56" t="s">
        <v>730</v>
      </c>
      <c r="L486" s="35" t="s">
        <v>332</v>
      </c>
      <c r="M486" s="53" t="s">
        <v>349</v>
      </c>
      <c r="N486" s="53">
        <v>44432</v>
      </c>
      <c r="O486" s="35" t="s">
        <v>1750</v>
      </c>
      <c r="P486" s="35" t="s">
        <v>2205</v>
      </c>
      <c r="Q486" s="35"/>
      <c r="R486" s="35"/>
      <c r="S486" s="33"/>
      <c r="T486" s="33"/>
      <c r="U486" s="21"/>
    </row>
    <row r="487" spans="2:21">
      <c r="B487" s="232"/>
      <c r="C487" s="232"/>
      <c r="D487" s="255"/>
      <c r="E487" s="255"/>
      <c r="F487" s="255"/>
      <c r="G487" s="255"/>
      <c r="H487" s="21"/>
      <c r="I487" s="21"/>
      <c r="J487" s="33" t="s">
        <v>446</v>
      </c>
      <c r="K487" s="56" t="s">
        <v>1161</v>
      </c>
      <c r="L487" s="35" t="s">
        <v>332</v>
      </c>
      <c r="M487" s="53" t="s">
        <v>349</v>
      </c>
      <c r="N487" s="53">
        <v>44473</v>
      </c>
      <c r="O487" s="35" t="s">
        <v>1750</v>
      </c>
      <c r="P487" s="35" t="s">
        <v>2313</v>
      </c>
      <c r="Q487" s="35"/>
      <c r="R487" s="35"/>
      <c r="S487" s="33"/>
      <c r="T487" s="33"/>
      <c r="U487" s="21"/>
    </row>
    <row r="488" spans="2:21">
      <c r="B488" s="232"/>
      <c r="C488" s="232"/>
      <c r="D488" s="255"/>
      <c r="E488" s="255"/>
      <c r="F488" s="255"/>
      <c r="G488" s="255"/>
      <c r="H488" s="21"/>
      <c r="I488" s="21"/>
      <c r="J488" s="33" t="s">
        <v>446</v>
      </c>
      <c r="K488" s="56" t="s">
        <v>917</v>
      </c>
      <c r="L488" s="35" t="s">
        <v>332</v>
      </c>
      <c r="M488" s="53" t="s">
        <v>349</v>
      </c>
      <c r="N488" s="53">
        <v>44515</v>
      </c>
      <c r="O488" s="35" t="s">
        <v>1750</v>
      </c>
      <c r="P488" s="35" t="s">
        <v>2441</v>
      </c>
      <c r="Q488" s="35"/>
      <c r="R488" s="35"/>
      <c r="S488" s="33"/>
      <c r="T488" s="33"/>
      <c r="U488" s="21"/>
    </row>
    <row r="489" spans="2:21">
      <c r="B489" s="232"/>
      <c r="C489" s="232"/>
      <c r="D489" s="255"/>
      <c r="E489" s="255"/>
      <c r="F489" s="255"/>
      <c r="G489" s="255"/>
      <c r="H489" s="21"/>
      <c r="I489" s="21"/>
      <c r="J489" s="33" t="s">
        <v>446</v>
      </c>
      <c r="K489" s="56" t="s">
        <v>2082</v>
      </c>
      <c r="L489" s="35" t="s">
        <v>332</v>
      </c>
      <c r="M489" s="53" t="s">
        <v>349</v>
      </c>
      <c r="N489" s="53">
        <v>44544</v>
      </c>
      <c r="O489" s="35" t="s">
        <v>1750</v>
      </c>
      <c r="P489" s="35" t="s">
        <v>2561</v>
      </c>
      <c r="Q489" s="35"/>
      <c r="R489" s="35"/>
      <c r="S489" s="33"/>
      <c r="T489" s="33"/>
      <c r="U489" s="21"/>
    </row>
    <row r="490" spans="2:21">
      <c r="B490" s="232"/>
      <c r="C490" s="232"/>
      <c r="D490" s="255"/>
      <c r="E490" s="255"/>
      <c r="F490" s="255"/>
      <c r="G490" s="255"/>
      <c r="H490" s="21"/>
      <c r="I490" s="21"/>
      <c r="J490" s="33" t="s">
        <v>446</v>
      </c>
      <c r="K490" s="56" t="s">
        <v>2169</v>
      </c>
      <c r="L490" s="35" t="s">
        <v>332</v>
      </c>
      <c r="M490" s="53" t="s">
        <v>349</v>
      </c>
      <c r="N490" s="53">
        <v>44662</v>
      </c>
      <c r="O490" s="35" t="s">
        <v>1750</v>
      </c>
      <c r="P490" s="35" t="s">
        <v>2858</v>
      </c>
      <c r="Q490" s="35"/>
      <c r="R490" s="35"/>
      <c r="S490" s="33"/>
      <c r="T490" s="33"/>
      <c r="U490" s="21"/>
    </row>
    <row r="491" spans="2:21">
      <c r="B491" s="232"/>
      <c r="C491" s="232"/>
      <c r="D491" s="255"/>
      <c r="E491" s="255"/>
      <c r="F491" s="255"/>
      <c r="G491" s="255"/>
      <c r="H491" s="21"/>
      <c r="I491" s="21"/>
      <c r="J491" s="33"/>
      <c r="K491" s="35"/>
      <c r="L491" s="35"/>
      <c r="M491" s="53"/>
      <c r="N491" s="53"/>
      <c r="O491" s="35"/>
      <c r="P491" s="35"/>
      <c r="Q491" s="35"/>
      <c r="R491" s="35"/>
      <c r="S491" s="33"/>
      <c r="T491" s="33"/>
      <c r="U491" s="21"/>
    </row>
    <row r="492" spans="2:21">
      <c r="B492" s="232"/>
      <c r="C492" s="232"/>
      <c r="D492" s="255"/>
      <c r="E492" s="255"/>
      <c r="F492" s="255"/>
      <c r="G492" s="255"/>
      <c r="H492" s="21" t="s">
        <v>181</v>
      </c>
      <c r="I492" s="21"/>
      <c r="J492" s="33" t="s">
        <v>265</v>
      </c>
      <c r="K492" s="56" t="s">
        <v>3</v>
      </c>
      <c r="L492" s="35" t="s">
        <v>333</v>
      </c>
      <c r="M492" s="53">
        <v>44074</v>
      </c>
      <c r="N492" s="53">
        <v>44071</v>
      </c>
      <c r="O492" s="35" t="s">
        <v>1752</v>
      </c>
      <c r="P492" s="35" t="s">
        <v>352</v>
      </c>
      <c r="Q492" s="35"/>
      <c r="R492" s="35"/>
      <c r="S492" s="33"/>
      <c r="T492" s="33"/>
      <c r="U492" s="21"/>
    </row>
    <row r="493" spans="2:21">
      <c r="B493" s="232"/>
      <c r="C493" s="232"/>
      <c r="D493" s="255"/>
      <c r="E493" s="255"/>
      <c r="F493" s="255"/>
      <c r="G493" s="255"/>
      <c r="H493" s="21"/>
      <c r="I493" s="21"/>
      <c r="J493" s="33" t="s">
        <v>265</v>
      </c>
      <c r="K493" s="56" t="s">
        <v>512</v>
      </c>
      <c r="L493" s="35" t="s">
        <v>332</v>
      </c>
      <c r="M493" s="53" t="s">
        <v>349</v>
      </c>
      <c r="N493" s="53">
        <v>44175</v>
      </c>
      <c r="O493" s="35" t="s">
        <v>1752</v>
      </c>
      <c r="P493" s="35" t="s">
        <v>755</v>
      </c>
      <c r="Q493" s="35"/>
      <c r="R493" s="35"/>
      <c r="S493" s="33"/>
      <c r="T493" s="33"/>
      <c r="U493" s="21"/>
    </row>
    <row r="494" spans="2:21">
      <c r="B494" s="232"/>
      <c r="C494" s="232"/>
      <c r="D494" s="255"/>
      <c r="E494" s="255"/>
      <c r="F494" s="255"/>
      <c r="G494" s="255"/>
      <c r="H494" s="21"/>
      <c r="I494" s="21"/>
      <c r="J494" s="33" t="s">
        <v>265</v>
      </c>
      <c r="K494" s="56" t="s">
        <v>654</v>
      </c>
      <c r="L494" s="35" t="s">
        <v>332</v>
      </c>
      <c r="M494" s="53" t="s">
        <v>349</v>
      </c>
      <c r="N494" s="53">
        <v>44349</v>
      </c>
      <c r="O494" s="35" t="s">
        <v>1752</v>
      </c>
      <c r="P494" s="35" t="s">
        <v>1751</v>
      </c>
      <c r="Q494" s="35"/>
      <c r="R494" s="35"/>
      <c r="S494" s="33"/>
      <c r="T494" s="33"/>
      <c r="U494" s="21"/>
    </row>
    <row r="495" spans="2:21">
      <c r="B495" s="232"/>
      <c r="C495" s="232"/>
      <c r="D495" s="255"/>
      <c r="E495" s="255"/>
      <c r="F495" s="255"/>
      <c r="G495" s="255"/>
      <c r="H495" s="21"/>
      <c r="I495" s="21"/>
      <c r="J495" s="33" t="s">
        <v>265</v>
      </c>
      <c r="K495" s="56" t="s">
        <v>729</v>
      </c>
      <c r="L495" s="35" t="s">
        <v>332</v>
      </c>
      <c r="M495" s="53" t="s">
        <v>349</v>
      </c>
      <c r="N495" s="53">
        <v>44432</v>
      </c>
      <c r="O495" s="35" t="s">
        <v>1752</v>
      </c>
      <c r="P495" s="35" t="s">
        <v>2205</v>
      </c>
      <c r="Q495" s="35"/>
      <c r="R495" s="35"/>
      <c r="S495" s="33"/>
      <c r="T495" s="33"/>
      <c r="U495" s="21"/>
    </row>
    <row r="496" spans="2:21">
      <c r="B496" s="232"/>
      <c r="C496" s="232"/>
      <c r="D496" s="255"/>
      <c r="E496" s="255"/>
      <c r="F496" s="255"/>
      <c r="G496" s="255"/>
      <c r="H496" s="21"/>
      <c r="I496" s="21"/>
      <c r="J496" s="33" t="s">
        <v>265</v>
      </c>
      <c r="K496" s="56" t="s">
        <v>730</v>
      </c>
      <c r="L496" s="35" t="s">
        <v>332</v>
      </c>
      <c r="M496" s="53" t="s">
        <v>349</v>
      </c>
      <c r="N496" s="53">
        <v>44515</v>
      </c>
      <c r="O496" s="35" t="s">
        <v>1752</v>
      </c>
      <c r="P496" s="35" t="s">
        <v>2441</v>
      </c>
      <c r="Q496" s="35"/>
      <c r="R496" s="35"/>
      <c r="S496" s="33"/>
      <c r="T496" s="33"/>
      <c r="U496" s="21"/>
    </row>
    <row r="497" spans="2:21">
      <c r="B497" s="232"/>
      <c r="C497" s="232"/>
      <c r="D497" s="255"/>
      <c r="E497" s="255"/>
      <c r="F497" s="255"/>
      <c r="G497" s="255"/>
      <c r="H497" s="21"/>
      <c r="I497" s="21"/>
      <c r="J497" s="33" t="s">
        <v>265</v>
      </c>
      <c r="K497" s="56" t="s">
        <v>917</v>
      </c>
      <c r="L497" s="35" t="s">
        <v>332</v>
      </c>
      <c r="M497" s="53" t="s">
        <v>349</v>
      </c>
      <c r="N497" s="53">
        <v>44544</v>
      </c>
      <c r="O497" s="35" t="s">
        <v>1752</v>
      </c>
      <c r="P497" s="35" t="s">
        <v>2561</v>
      </c>
      <c r="Q497" s="35"/>
      <c r="R497" s="35"/>
      <c r="S497" s="33"/>
      <c r="T497" s="33"/>
      <c r="U497" s="21"/>
    </row>
    <row r="498" spans="2:21">
      <c r="B498" s="232"/>
      <c r="C498" s="232"/>
      <c r="D498" s="255"/>
      <c r="E498" s="255"/>
      <c r="F498" s="255"/>
      <c r="G498" s="255"/>
      <c r="H498" s="21"/>
      <c r="I498" s="21"/>
      <c r="J498" s="33" t="s">
        <v>265</v>
      </c>
      <c r="K498" s="56" t="s">
        <v>1221</v>
      </c>
      <c r="L498" s="35" t="s">
        <v>332</v>
      </c>
      <c r="M498" s="53" t="s">
        <v>349</v>
      </c>
      <c r="N498" s="53">
        <v>44909</v>
      </c>
      <c r="O498" s="35" t="s">
        <v>1752</v>
      </c>
      <c r="P498" s="35" t="s">
        <v>3349</v>
      </c>
      <c r="Q498" s="35"/>
      <c r="R498" s="35"/>
      <c r="S498" s="33"/>
      <c r="T498" s="33"/>
      <c r="U498" s="21"/>
    </row>
    <row r="499" spans="2:21">
      <c r="B499" s="232"/>
      <c r="C499" s="232"/>
      <c r="D499" s="255"/>
      <c r="E499" s="255"/>
      <c r="F499" s="255"/>
      <c r="G499" s="255"/>
      <c r="H499" s="21"/>
      <c r="I499" s="21"/>
      <c r="J499" s="33"/>
      <c r="K499" s="35"/>
      <c r="L499" s="35"/>
      <c r="M499" s="53"/>
      <c r="N499" s="53"/>
      <c r="O499" s="35"/>
      <c r="P499" s="35"/>
      <c r="Q499" s="35"/>
      <c r="R499" s="35"/>
      <c r="S499" s="33"/>
      <c r="T499" s="33"/>
      <c r="U499" s="21"/>
    </row>
    <row r="500" spans="2:21">
      <c r="B500" s="232"/>
      <c r="C500" s="232"/>
      <c r="D500" s="255"/>
      <c r="E500" s="255"/>
      <c r="F500" s="21" t="s">
        <v>35</v>
      </c>
      <c r="G500" s="256" t="s">
        <v>267</v>
      </c>
      <c r="H500" s="257"/>
      <c r="I500" s="257"/>
      <c r="J500" s="257"/>
      <c r="K500" s="257"/>
      <c r="L500" s="257"/>
      <c r="M500" s="257"/>
      <c r="N500" s="257"/>
      <c r="O500" s="257"/>
      <c r="P500" s="257"/>
      <c r="Q500" s="258"/>
      <c r="R500" s="39"/>
      <c r="S500" s="21"/>
      <c r="T500" s="21"/>
      <c r="U500" s="21"/>
    </row>
    <row r="501" spans="2:21">
      <c r="B501" s="232"/>
      <c r="C501" s="232"/>
      <c r="D501" s="255"/>
      <c r="E501" s="255"/>
      <c r="F501" s="263"/>
      <c r="G501" s="263"/>
      <c r="H501" s="74" t="s">
        <v>176</v>
      </c>
      <c r="I501" s="74"/>
      <c r="J501" s="75" t="s">
        <v>268</v>
      </c>
      <c r="K501" s="97" t="s">
        <v>3</v>
      </c>
      <c r="L501" s="99" t="s">
        <v>333</v>
      </c>
      <c r="M501" s="98">
        <v>44074</v>
      </c>
      <c r="N501" s="98">
        <v>44071</v>
      </c>
      <c r="O501" s="35" t="s">
        <v>1699</v>
      </c>
      <c r="P501" s="99" t="s">
        <v>352</v>
      </c>
      <c r="Q501" s="99"/>
      <c r="R501" s="35"/>
      <c r="S501" s="33"/>
      <c r="T501" s="33"/>
      <c r="U501" s="21"/>
    </row>
    <row r="502" spans="2:21">
      <c r="B502" s="232"/>
      <c r="C502" s="232"/>
      <c r="D502" s="255"/>
      <c r="E502" s="255"/>
      <c r="F502" s="262"/>
      <c r="G502" s="262"/>
      <c r="H502" s="21"/>
      <c r="I502" s="21"/>
      <c r="J502" s="75" t="s">
        <v>268</v>
      </c>
      <c r="K502" s="56" t="s">
        <v>512</v>
      </c>
      <c r="L502" s="35" t="s">
        <v>332</v>
      </c>
      <c r="M502" s="53" t="s">
        <v>349</v>
      </c>
      <c r="N502" s="53">
        <v>44270</v>
      </c>
      <c r="O502" s="35" t="s">
        <v>1699</v>
      </c>
      <c r="P502" s="35" t="s">
        <v>1257</v>
      </c>
      <c r="Q502" s="35"/>
      <c r="R502" s="35"/>
      <c r="S502" s="33"/>
      <c r="T502" s="33"/>
      <c r="U502" s="21"/>
    </row>
    <row r="503" spans="2:21">
      <c r="B503" s="232"/>
      <c r="C503" s="232"/>
      <c r="D503" s="255"/>
      <c r="E503" s="255"/>
      <c r="F503" s="262"/>
      <c r="G503" s="262"/>
      <c r="H503" s="21"/>
      <c r="I503" s="21"/>
      <c r="J503" s="75" t="s">
        <v>268</v>
      </c>
      <c r="K503" s="56" t="s">
        <v>654</v>
      </c>
      <c r="L503" s="35" t="s">
        <v>332</v>
      </c>
      <c r="M503" s="53" t="s">
        <v>349</v>
      </c>
      <c r="N503" s="106">
        <v>44291</v>
      </c>
      <c r="O503" s="35" t="s">
        <v>1699</v>
      </c>
      <c r="P503" s="35" t="s">
        <v>1381</v>
      </c>
      <c r="Q503" s="107"/>
      <c r="R503" s="35"/>
      <c r="S503" s="33"/>
      <c r="T503" s="33"/>
      <c r="U503" s="21"/>
    </row>
    <row r="504" spans="2:21">
      <c r="B504" s="232"/>
      <c r="C504" s="232"/>
      <c r="D504" s="255"/>
      <c r="E504" s="255"/>
      <c r="F504" s="262"/>
      <c r="G504" s="262"/>
      <c r="H504" s="21"/>
      <c r="I504" s="21"/>
      <c r="J504" s="75" t="s">
        <v>268</v>
      </c>
      <c r="K504" s="56" t="s">
        <v>729</v>
      </c>
      <c r="L504" s="35" t="s">
        <v>332</v>
      </c>
      <c r="M504" s="53" t="s">
        <v>349</v>
      </c>
      <c r="N504" s="106">
        <v>44334</v>
      </c>
      <c r="O504" s="35" t="s">
        <v>1699</v>
      </c>
      <c r="P504" s="35" t="s">
        <v>1700</v>
      </c>
      <c r="Q504" s="107"/>
      <c r="R504" s="35"/>
      <c r="S504" s="33"/>
      <c r="T504" s="33"/>
      <c r="U504" s="21"/>
    </row>
    <row r="505" spans="2:21">
      <c r="B505" s="232"/>
      <c r="C505" s="232"/>
      <c r="D505" s="255"/>
      <c r="E505" s="255"/>
      <c r="F505" s="262"/>
      <c r="G505" s="262"/>
      <c r="H505" s="21"/>
      <c r="I505" s="21"/>
      <c r="J505" s="75" t="s">
        <v>268</v>
      </c>
      <c r="K505" s="56" t="s">
        <v>730</v>
      </c>
      <c r="L505" s="35" t="s">
        <v>332</v>
      </c>
      <c r="M505" s="53" t="s">
        <v>349</v>
      </c>
      <c r="N505" s="106">
        <v>44404</v>
      </c>
      <c r="O505" s="35" t="s">
        <v>1699</v>
      </c>
      <c r="P505" s="35" t="s">
        <v>2063</v>
      </c>
      <c r="Q505" s="107"/>
      <c r="R505" s="35"/>
      <c r="S505" s="33"/>
      <c r="T505" s="33"/>
      <c r="U505" s="21"/>
    </row>
    <row r="506" spans="2:21">
      <c r="B506" s="232"/>
      <c r="C506" s="232"/>
      <c r="D506" s="255"/>
      <c r="E506" s="255"/>
      <c r="F506" s="264"/>
      <c r="G506" s="264"/>
      <c r="H506" s="21"/>
      <c r="I506" s="21"/>
      <c r="J506" s="33"/>
      <c r="K506" s="56"/>
      <c r="L506" s="35"/>
      <c r="M506" s="53"/>
      <c r="N506" s="53"/>
      <c r="O506" s="35"/>
      <c r="P506" s="35"/>
      <c r="Q506" s="35"/>
      <c r="R506" s="35"/>
      <c r="S506" s="33"/>
      <c r="T506" s="33"/>
      <c r="U506" s="21"/>
    </row>
    <row r="507" spans="2:21">
      <c r="B507" s="232"/>
      <c r="C507" s="232"/>
      <c r="D507" s="255"/>
      <c r="E507" s="255"/>
      <c r="F507" s="21" t="s">
        <v>36</v>
      </c>
      <c r="G507" s="256"/>
      <c r="H507" s="257"/>
      <c r="I507" s="257"/>
      <c r="J507" s="257"/>
      <c r="K507" s="257"/>
      <c r="L507" s="257"/>
      <c r="M507" s="257"/>
      <c r="N507" s="257"/>
      <c r="O507" s="257"/>
      <c r="P507" s="257"/>
      <c r="Q507" s="258"/>
      <c r="R507" s="39"/>
      <c r="S507" s="21"/>
      <c r="T507" s="21"/>
      <c r="U507" s="21"/>
    </row>
    <row r="508" spans="2:21">
      <c r="B508" s="232"/>
      <c r="C508" s="232"/>
      <c r="D508" s="255"/>
      <c r="E508" s="255"/>
      <c r="F508" s="255"/>
      <c r="G508" s="255"/>
      <c r="H508" s="38"/>
      <c r="I508" s="38"/>
      <c r="J508" s="38"/>
      <c r="K508" s="38"/>
      <c r="L508" s="39"/>
      <c r="M508" s="38"/>
      <c r="N508" s="39"/>
      <c r="O508" s="38"/>
      <c r="P508" s="38"/>
      <c r="Q508" s="38"/>
      <c r="R508" s="39"/>
      <c r="S508" s="21"/>
      <c r="T508" s="21"/>
      <c r="U508" s="21"/>
    </row>
    <row r="509" spans="2:21">
      <c r="B509" s="232"/>
      <c r="C509" s="232"/>
      <c r="D509" s="255"/>
      <c r="E509" s="255"/>
      <c r="F509" s="255"/>
      <c r="G509" s="255"/>
      <c r="H509" s="21"/>
      <c r="I509" s="21"/>
      <c r="J509" s="21"/>
      <c r="K509" s="39"/>
      <c r="L509" s="39"/>
      <c r="M509" s="21"/>
      <c r="N509" s="39"/>
      <c r="O509" s="39"/>
      <c r="P509" s="39"/>
      <c r="Q509" s="39"/>
      <c r="R509" s="39"/>
      <c r="S509" s="21"/>
      <c r="T509" s="21"/>
      <c r="U509" s="21"/>
    </row>
    <row r="510" spans="2:21">
      <c r="B510" s="232"/>
      <c r="C510" s="232"/>
      <c r="D510" s="39" t="s">
        <v>57</v>
      </c>
      <c r="E510" s="256" t="s">
        <v>261</v>
      </c>
      <c r="F510" s="257"/>
      <c r="G510" s="257"/>
      <c r="H510" s="257"/>
      <c r="I510" s="257"/>
      <c r="J510" s="257"/>
      <c r="K510" s="257"/>
      <c r="L510" s="257"/>
      <c r="M510" s="257"/>
      <c r="N510" s="257"/>
      <c r="O510" s="257"/>
      <c r="P510" s="257"/>
      <c r="Q510" s="257"/>
      <c r="R510" s="257"/>
      <c r="S510" s="257"/>
      <c r="T510" s="258"/>
      <c r="U510" s="21"/>
    </row>
    <row r="511" spans="2:21">
      <c r="B511" s="232"/>
      <c r="C511" s="232"/>
      <c r="D511" s="255"/>
      <c r="E511" s="255"/>
      <c r="F511" s="21" t="s">
        <v>27</v>
      </c>
      <c r="G511" s="256" t="s">
        <v>175</v>
      </c>
      <c r="H511" s="257"/>
      <c r="I511" s="257"/>
      <c r="J511" s="257"/>
      <c r="K511" s="257"/>
      <c r="L511" s="257"/>
      <c r="M511" s="257"/>
      <c r="N511" s="257"/>
      <c r="O511" s="257"/>
      <c r="P511" s="257"/>
      <c r="Q511" s="258"/>
      <c r="R511" s="39" t="s">
        <v>26</v>
      </c>
      <c r="S511" s="21"/>
      <c r="T511" s="21"/>
      <c r="U511" s="21"/>
    </row>
    <row r="512" spans="2:21">
      <c r="B512" s="232"/>
      <c r="C512" s="232"/>
      <c r="D512" s="255"/>
      <c r="E512" s="255"/>
      <c r="F512" s="255"/>
      <c r="G512" s="255"/>
      <c r="H512" s="21" t="s">
        <v>176</v>
      </c>
      <c r="I512" s="21"/>
      <c r="J512" s="33" t="s">
        <v>263</v>
      </c>
      <c r="K512" s="35" t="s">
        <v>330</v>
      </c>
      <c r="L512" s="35" t="s">
        <v>333</v>
      </c>
      <c r="M512" s="53"/>
      <c r="N512" s="53">
        <v>44109</v>
      </c>
      <c r="O512" s="35" t="s">
        <v>518</v>
      </c>
      <c r="P512" s="35"/>
      <c r="Q512" s="35"/>
      <c r="R512" s="35"/>
      <c r="S512" s="33"/>
      <c r="T512" s="33"/>
      <c r="U512" s="21"/>
    </row>
    <row r="513" spans="2:21">
      <c r="B513" s="232"/>
      <c r="C513" s="232"/>
      <c r="D513" s="255"/>
      <c r="E513" s="255"/>
      <c r="F513" s="255"/>
      <c r="G513" s="255"/>
      <c r="H513" s="21"/>
      <c r="I513" s="21"/>
      <c r="J513" s="33" t="s">
        <v>263</v>
      </c>
      <c r="K513" s="56" t="s">
        <v>3</v>
      </c>
      <c r="L513" s="35" t="s">
        <v>332</v>
      </c>
      <c r="M513" s="35" t="s">
        <v>349</v>
      </c>
      <c r="N513" s="53">
        <v>44183</v>
      </c>
      <c r="O513" s="35" t="s">
        <v>804</v>
      </c>
      <c r="P513" s="35" t="s">
        <v>805</v>
      </c>
      <c r="Q513" s="35"/>
      <c r="R513" s="35"/>
      <c r="S513" s="33"/>
      <c r="T513" s="33"/>
      <c r="U513" s="21"/>
    </row>
    <row r="514" spans="2:21">
      <c r="B514" s="232"/>
      <c r="C514" s="232"/>
      <c r="D514" s="255"/>
      <c r="E514" s="255"/>
      <c r="F514" s="21" t="s">
        <v>29</v>
      </c>
      <c r="G514" s="256" t="s">
        <v>178</v>
      </c>
      <c r="H514" s="257"/>
      <c r="I514" s="257"/>
      <c r="J514" s="257"/>
      <c r="K514" s="257"/>
      <c r="L514" s="257"/>
      <c r="M514" s="257"/>
      <c r="N514" s="257"/>
      <c r="O514" s="257"/>
      <c r="P514" s="257"/>
      <c r="Q514" s="258"/>
      <c r="R514" s="39"/>
      <c r="S514" s="21"/>
      <c r="T514" s="21"/>
      <c r="U514" s="21"/>
    </row>
    <row r="515" spans="2:21">
      <c r="B515" s="232"/>
      <c r="C515" s="232"/>
      <c r="D515" s="255"/>
      <c r="E515" s="255"/>
      <c r="F515" s="255"/>
      <c r="G515" s="255"/>
      <c r="H515" s="38"/>
      <c r="I515" s="38"/>
      <c r="J515" s="38"/>
      <c r="K515" s="38"/>
      <c r="L515" s="39"/>
      <c r="M515" s="38"/>
      <c r="N515" s="39"/>
      <c r="O515" s="38"/>
      <c r="P515" s="38"/>
      <c r="Q515" s="38"/>
      <c r="R515" s="35"/>
      <c r="S515" s="33"/>
      <c r="T515" s="33"/>
      <c r="U515" s="21"/>
    </row>
    <row r="516" spans="2:21">
      <c r="B516" s="232"/>
      <c r="C516" s="232"/>
      <c r="D516" s="255"/>
      <c r="E516" s="255"/>
      <c r="F516" s="255"/>
      <c r="G516" s="255"/>
      <c r="H516" s="21" t="s">
        <v>176</v>
      </c>
      <c r="I516" s="21"/>
      <c r="J516" s="33" t="s">
        <v>263</v>
      </c>
      <c r="K516" s="35" t="s">
        <v>330</v>
      </c>
      <c r="L516" s="35" t="s">
        <v>333</v>
      </c>
      <c r="M516" s="53"/>
      <c r="N516" s="53">
        <v>44109</v>
      </c>
      <c r="O516" s="35" t="s">
        <v>518</v>
      </c>
      <c r="P516" s="35"/>
      <c r="Q516" s="35"/>
      <c r="R516" s="35"/>
      <c r="S516" s="33"/>
      <c r="T516" s="33"/>
      <c r="U516" s="21"/>
    </row>
    <row r="517" spans="2:21">
      <c r="B517" s="232"/>
      <c r="C517" s="232"/>
      <c r="D517" s="255"/>
      <c r="E517" s="255"/>
      <c r="F517" s="255"/>
      <c r="G517" s="255"/>
      <c r="H517" s="21"/>
      <c r="I517" s="21"/>
      <c r="J517" s="33" t="s">
        <v>263</v>
      </c>
      <c r="K517" s="56" t="s">
        <v>3</v>
      </c>
      <c r="L517" s="35" t="s">
        <v>332</v>
      </c>
      <c r="M517" s="35" t="s">
        <v>349</v>
      </c>
      <c r="N517" s="53">
        <v>44183</v>
      </c>
      <c r="O517" s="35" t="s">
        <v>804</v>
      </c>
      <c r="P517" s="35" t="s">
        <v>805</v>
      </c>
      <c r="Q517" s="35"/>
      <c r="R517" s="35"/>
      <c r="S517" s="33"/>
      <c r="T517" s="33"/>
      <c r="U517" s="21"/>
    </row>
    <row r="518" spans="2:21">
      <c r="B518" s="232"/>
      <c r="C518" s="232"/>
      <c r="D518" s="39" t="s">
        <v>117</v>
      </c>
      <c r="E518" s="256" t="s">
        <v>107</v>
      </c>
      <c r="F518" s="257"/>
      <c r="G518" s="257"/>
      <c r="H518" s="257"/>
      <c r="I518" s="257"/>
      <c r="J518" s="257"/>
      <c r="K518" s="257"/>
      <c r="L518" s="257"/>
      <c r="M518" s="257"/>
      <c r="N518" s="257"/>
      <c r="O518" s="257"/>
      <c r="P518" s="257"/>
      <c r="Q518" s="257"/>
      <c r="R518" s="257"/>
      <c r="S518" s="257"/>
      <c r="T518" s="258"/>
      <c r="U518" s="21"/>
    </row>
    <row r="519" spans="2:21">
      <c r="B519" s="232"/>
      <c r="C519" s="232"/>
      <c r="D519" s="255"/>
      <c r="E519" s="255"/>
      <c r="F519" s="21" t="s">
        <v>27</v>
      </c>
      <c r="G519" s="256" t="s">
        <v>175</v>
      </c>
      <c r="H519" s="257"/>
      <c r="I519" s="257"/>
      <c r="J519" s="257"/>
      <c r="K519" s="257"/>
      <c r="L519" s="257"/>
      <c r="M519" s="257"/>
      <c r="N519" s="257"/>
      <c r="O519" s="257"/>
      <c r="P519" s="257"/>
      <c r="Q519" s="258"/>
      <c r="R519" s="39" t="s">
        <v>26</v>
      </c>
      <c r="S519" s="21"/>
      <c r="T519" s="21"/>
      <c r="U519" s="21"/>
    </row>
    <row r="520" spans="2:21">
      <c r="B520" s="232"/>
      <c r="C520" s="232"/>
      <c r="D520" s="255"/>
      <c r="E520" s="255"/>
      <c r="F520" s="255"/>
      <c r="G520" s="255"/>
      <c r="H520" s="21" t="s">
        <v>176</v>
      </c>
      <c r="I520" s="21"/>
      <c r="J520" s="33" t="s">
        <v>80</v>
      </c>
      <c r="K520" s="35" t="s">
        <v>342</v>
      </c>
      <c r="L520" s="35" t="s">
        <v>333</v>
      </c>
      <c r="M520" s="53">
        <v>44000</v>
      </c>
      <c r="N520" s="53">
        <v>44000</v>
      </c>
      <c r="O520" s="35" t="s">
        <v>337</v>
      </c>
      <c r="P520" s="35" t="s">
        <v>335</v>
      </c>
      <c r="Q520" s="35"/>
      <c r="R520" s="35" t="s">
        <v>324</v>
      </c>
      <c r="S520" s="33"/>
      <c r="T520" s="33"/>
      <c r="U520" s="21"/>
    </row>
    <row r="521" spans="2:21">
      <c r="B521" s="232"/>
      <c r="C521" s="232"/>
      <c r="D521" s="255"/>
      <c r="E521" s="255"/>
      <c r="F521" s="255"/>
      <c r="G521" s="255"/>
      <c r="H521" s="21"/>
      <c r="I521" s="21"/>
      <c r="J521" s="33" t="s">
        <v>80</v>
      </c>
      <c r="K521" s="35" t="s">
        <v>343</v>
      </c>
      <c r="L521" s="35" t="s">
        <v>333</v>
      </c>
      <c r="M521" s="53">
        <v>44029</v>
      </c>
      <c r="N521" s="53">
        <v>44029</v>
      </c>
      <c r="O521" s="35" t="s">
        <v>337</v>
      </c>
      <c r="P521" s="35" t="s">
        <v>335</v>
      </c>
      <c r="Q521" s="35"/>
      <c r="R521" s="35"/>
      <c r="S521" s="33"/>
      <c r="T521" s="33"/>
      <c r="U521" s="21"/>
    </row>
    <row r="522" spans="2:21">
      <c r="B522" s="232"/>
      <c r="C522" s="232"/>
      <c r="D522" s="255"/>
      <c r="E522" s="255"/>
      <c r="F522" s="255"/>
      <c r="G522" s="255"/>
      <c r="H522" s="21"/>
      <c r="I522" s="21"/>
      <c r="J522" s="33" t="s">
        <v>80</v>
      </c>
      <c r="K522" s="56" t="s">
        <v>512</v>
      </c>
      <c r="L522" s="35" t="s">
        <v>332</v>
      </c>
      <c r="M522" s="53">
        <v>44104</v>
      </c>
      <c r="N522" s="53">
        <v>44126</v>
      </c>
      <c r="O522" s="35" t="s">
        <v>552</v>
      </c>
      <c r="P522" s="35" t="s">
        <v>553</v>
      </c>
      <c r="Q522" s="35"/>
      <c r="R522" s="35"/>
      <c r="S522" s="33"/>
      <c r="T522" s="33"/>
      <c r="U522" s="21"/>
    </row>
    <row r="523" spans="2:21">
      <c r="B523" s="232"/>
      <c r="C523" s="232"/>
      <c r="D523" s="255"/>
      <c r="E523" s="255"/>
      <c r="F523" s="255"/>
      <c r="G523" s="255"/>
      <c r="H523" s="21"/>
      <c r="I523" s="21"/>
      <c r="J523" s="33" t="s">
        <v>80</v>
      </c>
      <c r="K523" s="56" t="s">
        <v>729</v>
      </c>
      <c r="L523" s="35" t="s">
        <v>332</v>
      </c>
      <c r="M523" s="53" t="s">
        <v>349</v>
      </c>
      <c r="N523" s="53">
        <v>44179</v>
      </c>
      <c r="O523" s="35" t="s">
        <v>552</v>
      </c>
      <c r="P523" s="35" t="s">
        <v>765</v>
      </c>
      <c r="Q523" s="35"/>
      <c r="R523" s="35"/>
      <c r="S523" s="33"/>
      <c r="T523" s="33"/>
      <c r="U523" s="21"/>
    </row>
    <row r="524" spans="2:21" ht="14">
      <c r="B524" s="232"/>
      <c r="C524" s="232"/>
      <c r="D524" s="255"/>
      <c r="E524" s="255"/>
      <c r="F524" s="255"/>
      <c r="G524" s="255"/>
      <c r="H524" s="21"/>
      <c r="I524" s="21"/>
      <c r="J524" s="33" t="s">
        <v>80</v>
      </c>
      <c r="K524" s="56" t="s">
        <v>730</v>
      </c>
      <c r="L524" s="35" t="s">
        <v>332</v>
      </c>
      <c r="M524" s="53" t="s">
        <v>349</v>
      </c>
      <c r="N524" s="53">
        <v>44250</v>
      </c>
      <c r="O524" s="35" t="s">
        <v>552</v>
      </c>
      <c r="P524" s="8" t="s">
        <v>1162</v>
      </c>
      <c r="Q524" s="35"/>
      <c r="R524" s="35"/>
      <c r="S524" s="33"/>
      <c r="T524" s="33"/>
      <c r="U524" s="21"/>
    </row>
    <row r="525" spans="2:21" ht="14">
      <c r="B525" s="232"/>
      <c r="C525" s="232"/>
      <c r="D525" s="255"/>
      <c r="E525" s="255"/>
      <c r="F525" s="255"/>
      <c r="G525" s="255"/>
      <c r="H525" s="21"/>
      <c r="I525" s="21"/>
      <c r="J525" s="33" t="s">
        <v>80</v>
      </c>
      <c r="K525" s="56" t="s">
        <v>1161</v>
      </c>
      <c r="L525" s="35" t="s">
        <v>332</v>
      </c>
      <c r="M525" s="53" t="s">
        <v>349</v>
      </c>
      <c r="N525" s="53">
        <v>44306</v>
      </c>
      <c r="O525" s="35" t="s">
        <v>552</v>
      </c>
      <c r="P525" s="8" t="s">
        <v>1454</v>
      </c>
      <c r="Q525" s="35"/>
      <c r="R525" s="35"/>
      <c r="S525" s="33"/>
      <c r="T525" s="33"/>
      <c r="U525" s="21"/>
    </row>
    <row r="526" spans="2:21">
      <c r="B526" s="232"/>
      <c r="C526" s="232"/>
      <c r="D526" s="255"/>
      <c r="E526" s="255"/>
      <c r="F526" s="255"/>
      <c r="G526" s="255"/>
      <c r="H526" s="21"/>
      <c r="I526" s="21"/>
      <c r="J526" s="33"/>
      <c r="K526" s="56"/>
      <c r="L526" s="35"/>
      <c r="M526" s="53"/>
      <c r="N526" s="53"/>
      <c r="O526" s="35"/>
      <c r="P526" s="35"/>
      <c r="Q526" s="35"/>
      <c r="R526" s="35"/>
      <c r="S526" s="33"/>
      <c r="T526" s="33"/>
      <c r="U526" s="21"/>
    </row>
    <row r="527" spans="2:21">
      <c r="B527" s="232"/>
      <c r="C527" s="232"/>
      <c r="D527" s="255"/>
      <c r="E527" s="255"/>
      <c r="F527" s="255"/>
      <c r="G527" s="255"/>
      <c r="H527" s="21" t="s">
        <v>177</v>
      </c>
      <c r="I527" s="21"/>
      <c r="J527" s="33" t="s">
        <v>234</v>
      </c>
      <c r="K527" s="35" t="s">
        <v>330</v>
      </c>
      <c r="L527" s="35" t="s">
        <v>333</v>
      </c>
      <c r="M527" s="53">
        <v>44000</v>
      </c>
      <c r="N527" s="53">
        <v>44000</v>
      </c>
      <c r="O527" s="35" t="s">
        <v>339</v>
      </c>
      <c r="P527" s="35" t="s">
        <v>335</v>
      </c>
      <c r="Q527" s="35"/>
      <c r="R527" s="35"/>
      <c r="S527" s="33"/>
      <c r="T527" s="33"/>
      <c r="U527" s="21"/>
    </row>
    <row r="528" spans="2:21">
      <c r="B528" s="232"/>
      <c r="C528" s="232"/>
      <c r="D528" s="255"/>
      <c r="E528" s="255"/>
      <c r="F528" s="255"/>
      <c r="G528" s="255"/>
      <c r="H528" s="21"/>
      <c r="I528" s="21"/>
      <c r="J528" s="33" t="s">
        <v>713</v>
      </c>
      <c r="K528" s="56" t="s">
        <v>512</v>
      </c>
      <c r="L528" s="35" t="s">
        <v>332</v>
      </c>
      <c r="M528" s="53">
        <v>44104</v>
      </c>
      <c r="N528" s="53">
        <v>44168</v>
      </c>
      <c r="O528" s="35" t="s">
        <v>714</v>
      </c>
      <c r="P528" s="35" t="s">
        <v>715</v>
      </c>
      <c r="Q528" s="35"/>
      <c r="R528" s="35"/>
      <c r="S528" s="33"/>
      <c r="T528" s="33"/>
      <c r="U528" s="21"/>
    </row>
    <row r="529" spans="2:21">
      <c r="B529" s="232"/>
      <c r="C529" s="232"/>
      <c r="D529" s="255"/>
      <c r="E529" s="255"/>
      <c r="F529" s="255"/>
      <c r="G529" s="255"/>
      <c r="H529" s="21"/>
      <c r="I529" s="21"/>
      <c r="J529" s="33" t="s">
        <v>713</v>
      </c>
      <c r="K529" s="56" t="s">
        <v>1440</v>
      </c>
      <c r="L529" s="35" t="s">
        <v>332</v>
      </c>
      <c r="M529" s="53" t="s">
        <v>349</v>
      </c>
      <c r="N529" s="53">
        <v>44298</v>
      </c>
      <c r="O529" s="35" t="s">
        <v>714</v>
      </c>
      <c r="P529" s="35" t="s">
        <v>1439</v>
      </c>
      <c r="Q529" s="35"/>
      <c r="R529" s="35"/>
      <c r="S529" s="33"/>
      <c r="T529" s="33"/>
      <c r="U529" s="21"/>
    </row>
    <row r="530" spans="2:21">
      <c r="B530" s="232"/>
      <c r="C530" s="232"/>
      <c r="D530" s="255"/>
      <c r="E530" s="255"/>
      <c r="F530" s="255"/>
      <c r="G530" s="255"/>
      <c r="H530" s="21"/>
      <c r="I530" s="21"/>
      <c r="J530" s="33" t="s">
        <v>713</v>
      </c>
      <c r="K530" s="56" t="s">
        <v>1769</v>
      </c>
      <c r="L530" s="35" t="s">
        <v>332</v>
      </c>
      <c r="M530" s="53" t="s">
        <v>349</v>
      </c>
      <c r="N530" s="53">
        <v>44356</v>
      </c>
      <c r="O530" s="35" t="s">
        <v>714</v>
      </c>
      <c r="P530" s="35" t="s">
        <v>1768</v>
      </c>
      <c r="Q530" s="35"/>
      <c r="R530" s="35"/>
      <c r="S530" s="33"/>
      <c r="T530" s="33"/>
      <c r="U530" s="21"/>
    </row>
    <row r="531" spans="2:21">
      <c r="B531" s="232"/>
      <c r="C531" s="232"/>
      <c r="D531" s="255"/>
      <c r="E531" s="255"/>
      <c r="F531" s="255"/>
      <c r="G531" s="255"/>
      <c r="H531" s="21"/>
      <c r="I531" s="21"/>
      <c r="J531" s="33" t="s">
        <v>713</v>
      </c>
      <c r="K531" s="56" t="s">
        <v>1830</v>
      </c>
      <c r="L531" s="35" t="s">
        <v>332</v>
      </c>
      <c r="M531" s="53" t="s">
        <v>349</v>
      </c>
      <c r="N531" s="53">
        <v>44371</v>
      </c>
      <c r="O531" s="35" t="s">
        <v>714</v>
      </c>
      <c r="P531" s="35" t="s">
        <v>1831</v>
      </c>
      <c r="Q531" s="35"/>
      <c r="R531" s="35"/>
      <c r="S531" s="33"/>
      <c r="T531" s="33"/>
      <c r="U531" s="21"/>
    </row>
    <row r="532" spans="2:21">
      <c r="B532" s="232"/>
      <c r="C532" s="232"/>
      <c r="D532" s="255"/>
      <c r="E532" s="255"/>
      <c r="F532" s="255"/>
      <c r="G532" s="255"/>
      <c r="H532" s="21"/>
      <c r="I532" s="21"/>
      <c r="J532" s="33" t="s">
        <v>713</v>
      </c>
      <c r="K532" s="56" t="s">
        <v>2000</v>
      </c>
      <c r="L532" s="35" t="s">
        <v>332</v>
      </c>
      <c r="M532" s="53" t="s">
        <v>349</v>
      </c>
      <c r="N532" s="53">
        <v>44390</v>
      </c>
      <c r="O532" s="35" t="s">
        <v>714</v>
      </c>
      <c r="P532" s="35" t="s">
        <v>1999</v>
      </c>
      <c r="Q532" s="35"/>
      <c r="R532" s="35"/>
      <c r="S532" s="33"/>
      <c r="T532" s="33"/>
      <c r="U532" s="21"/>
    </row>
    <row r="533" spans="2:21">
      <c r="B533" s="232"/>
      <c r="C533" s="232"/>
      <c r="D533" s="255"/>
      <c r="E533" s="255"/>
      <c r="F533" s="255"/>
      <c r="G533" s="255"/>
      <c r="H533" s="21"/>
      <c r="I533" s="21"/>
      <c r="J533" s="33" t="s">
        <v>713</v>
      </c>
      <c r="K533" s="56" t="s">
        <v>2300</v>
      </c>
      <c r="L533" s="35" t="s">
        <v>332</v>
      </c>
      <c r="M533" s="53" t="s">
        <v>349</v>
      </c>
      <c r="N533" s="53">
        <v>44473</v>
      </c>
      <c r="O533" s="35" t="s">
        <v>714</v>
      </c>
      <c r="P533" s="35" t="s">
        <v>2297</v>
      </c>
      <c r="Q533" s="35"/>
      <c r="R533" s="35"/>
      <c r="S533" s="33"/>
      <c r="T533" s="33"/>
      <c r="U533" s="21"/>
    </row>
    <row r="534" spans="2:21">
      <c r="B534" s="232"/>
      <c r="C534" s="232"/>
      <c r="D534" s="255"/>
      <c r="E534" s="255"/>
      <c r="F534" s="255"/>
      <c r="G534" s="255"/>
      <c r="H534" s="21"/>
      <c r="I534" s="21"/>
      <c r="J534" s="33" t="s">
        <v>713</v>
      </c>
      <c r="K534" s="56" t="s">
        <v>3544</v>
      </c>
      <c r="L534" s="35" t="s">
        <v>332</v>
      </c>
      <c r="M534" s="53" t="s">
        <v>349</v>
      </c>
      <c r="N534" s="53">
        <v>44858</v>
      </c>
      <c r="O534" s="35" t="s">
        <v>714</v>
      </c>
      <c r="P534" s="35" t="s">
        <v>3307</v>
      </c>
      <c r="Q534" s="35"/>
      <c r="R534" s="35"/>
      <c r="S534" s="33"/>
      <c r="T534" s="33"/>
      <c r="U534" s="21"/>
    </row>
    <row r="535" spans="2:21">
      <c r="B535" s="232"/>
      <c r="C535" s="232"/>
      <c r="D535" s="255"/>
      <c r="E535" s="255"/>
      <c r="F535" s="255"/>
      <c r="G535" s="255"/>
      <c r="H535" s="21"/>
      <c r="I535" s="21"/>
      <c r="J535" s="33" t="s">
        <v>713</v>
      </c>
      <c r="K535" s="56" t="s">
        <v>3543</v>
      </c>
      <c r="L535" s="35" t="s">
        <v>332</v>
      </c>
      <c r="M535" s="53" t="s">
        <v>349</v>
      </c>
      <c r="N535" s="53">
        <v>44939</v>
      </c>
      <c r="O535" s="35" t="s">
        <v>714</v>
      </c>
      <c r="P535" s="35" t="s">
        <v>3383</v>
      </c>
      <c r="Q535" s="35"/>
      <c r="R535" s="35"/>
      <c r="S535" s="33"/>
      <c r="T535" s="33"/>
      <c r="U535" s="21"/>
    </row>
    <row r="536" spans="2:21">
      <c r="B536" s="232"/>
      <c r="C536" s="232"/>
      <c r="D536" s="255"/>
      <c r="E536" s="255"/>
      <c r="F536" s="255"/>
      <c r="G536" s="255"/>
      <c r="H536" s="21"/>
      <c r="I536" s="21"/>
      <c r="J536" s="33" t="s">
        <v>713</v>
      </c>
      <c r="K536" s="56" t="s">
        <v>3542</v>
      </c>
      <c r="L536" s="35" t="s">
        <v>332</v>
      </c>
      <c r="M536" s="53" t="s">
        <v>349</v>
      </c>
      <c r="N536" s="53">
        <v>44972</v>
      </c>
      <c r="O536" s="35" t="s">
        <v>714</v>
      </c>
      <c r="P536" s="35" t="s">
        <v>3532</v>
      </c>
      <c r="Q536" s="35"/>
      <c r="R536" s="35"/>
      <c r="S536" s="33"/>
      <c r="T536" s="33"/>
      <c r="U536" s="21"/>
    </row>
    <row r="537" spans="2:21">
      <c r="B537" s="232"/>
      <c r="C537" s="232"/>
      <c r="D537" s="255"/>
      <c r="E537" s="255"/>
      <c r="F537" s="255"/>
      <c r="G537" s="255"/>
      <c r="H537" s="21"/>
      <c r="I537" s="21"/>
      <c r="J537" s="33" t="s">
        <v>713</v>
      </c>
      <c r="K537" s="56" t="s">
        <v>3989</v>
      </c>
      <c r="L537" s="35" t="s">
        <v>332</v>
      </c>
      <c r="M537" s="53" t="s">
        <v>349</v>
      </c>
      <c r="N537" s="53">
        <v>45219</v>
      </c>
      <c r="O537" s="35" t="s">
        <v>714</v>
      </c>
      <c r="P537" s="35" t="s">
        <v>4068</v>
      </c>
      <c r="Q537" s="35"/>
      <c r="R537" s="35"/>
      <c r="S537" s="33"/>
      <c r="T537" s="33"/>
      <c r="U537" s="21"/>
    </row>
    <row r="538" spans="2:21">
      <c r="B538" s="232"/>
      <c r="C538" s="232"/>
      <c r="D538" s="255"/>
      <c r="E538" s="255"/>
      <c r="F538" s="255"/>
      <c r="G538" s="255"/>
      <c r="H538" s="21"/>
      <c r="I538" s="21"/>
      <c r="J538" s="33" t="s">
        <v>713</v>
      </c>
      <c r="K538" s="56" t="s">
        <v>4220</v>
      </c>
      <c r="L538" s="35" t="s">
        <v>332</v>
      </c>
      <c r="M538" s="53" t="s">
        <v>349</v>
      </c>
      <c r="N538" s="53">
        <v>45320</v>
      </c>
      <c r="O538" s="35" t="s">
        <v>714</v>
      </c>
      <c r="P538" s="35" t="s">
        <v>4218</v>
      </c>
      <c r="Q538" s="35"/>
      <c r="R538" s="35"/>
      <c r="S538" s="33"/>
      <c r="T538" s="33"/>
      <c r="U538" s="21"/>
    </row>
    <row r="539" spans="2:21">
      <c r="B539" s="232"/>
      <c r="C539" s="232"/>
      <c r="D539" s="255"/>
      <c r="E539" s="255"/>
      <c r="F539" s="255"/>
      <c r="G539" s="255"/>
      <c r="H539" s="21"/>
      <c r="I539" s="21"/>
      <c r="J539" s="33"/>
      <c r="K539" s="35"/>
      <c r="L539" s="35"/>
      <c r="M539" s="53"/>
      <c r="N539" s="53"/>
      <c r="O539" s="35"/>
      <c r="P539" s="35"/>
      <c r="Q539" s="35"/>
      <c r="R539" s="35"/>
      <c r="S539" s="33"/>
      <c r="T539" s="33"/>
      <c r="U539" s="21"/>
    </row>
    <row r="540" spans="2:21" s="63" customFormat="1">
      <c r="B540" s="232"/>
      <c r="C540" s="232"/>
      <c r="D540" s="255"/>
      <c r="E540" s="255"/>
      <c r="F540" s="255"/>
      <c r="G540" s="255"/>
      <c r="H540" s="21" t="s">
        <v>181</v>
      </c>
      <c r="I540" s="21"/>
      <c r="J540" s="33" t="s">
        <v>235</v>
      </c>
      <c r="K540" s="35" t="s">
        <v>330</v>
      </c>
      <c r="L540" s="35" t="s">
        <v>333</v>
      </c>
      <c r="M540" s="53">
        <v>44000</v>
      </c>
      <c r="N540" s="53">
        <v>44000</v>
      </c>
      <c r="O540" s="35" t="s">
        <v>338</v>
      </c>
      <c r="P540" s="35" t="s">
        <v>335</v>
      </c>
      <c r="Q540" s="35"/>
      <c r="R540" s="62"/>
      <c r="S540" s="54"/>
      <c r="U540" s="61"/>
    </row>
    <row r="541" spans="2:21" s="63" customFormat="1" ht="28">
      <c r="B541" s="232"/>
      <c r="C541" s="232"/>
      <c r="D541" s="255"/>
      <c r="E541" s="255"/>
      <c r="F541" s="255"/>
      <c r="G541" s="255"/>
      <c r="H541" s="61"/>
      <c r="I541" s="61"/>
      <c r="J541" s="54" t="s">
        <v>750</v>
      </c>
      <c r="K541" s="88" t="s">
        <v>1161</v>
      </c>
      <c r="L541" s="62" t="s">
        <v>332</v>
      </c>
      <c r="M541" s="55">
        <v>44006</v>
      </c>
      <c r="N541" s="55" t="s">
        <v>349</v>
      </c>
      <c r="O541" s="62" t="s">
        <v>753</v>
      </c>
      <c r="P541" s="55" t="s">
        <v>349</v>
      </c>
      <c r="Q541" s="62"/>
      <c r="R541" s="62"/>
      <c r="S541" s="54"/>
      <c r="T541" s="3" t="s">
        <v>4069</v>
      </c>
      <c r="U541" s="61"/>
    </row>
    <row r="542" spans="2:21" s="63" customFormat="1">
      <c r="B542" s="232"/>
      <c r="C542" s="232"/>
      <c r="D542" s="255"/>
      <c r="E542" s="255"/>
      <c r="F542" s="255"/>
      <c r="G542" s="255"/>
      <c r="H542" s="61"/>
      <c r="I542" s="61"/>
      <c r="J542" s="33" t="s">
        <v>1310</v>
      </c>
      <c r="K542" s="56"/>
      <c r="L542" s="35" t="s">
        <v>332</v>
      </c>
      <c r="M542" s="53">
        <v>44104</v>
      </c>
      <c r="N542" s="53">
        <v>44181</v>
      </c>
      <c r="O542" s="62" t="s">
        <v>824</v>
      </c>
      <c r="P542" s="62" t="s">
        <v>852</v>
      </c>
      <c r="Q542" s="62"/>
      <c r="R542" s="62"/>
      <c r="S542" s="54"/>
      <c r="T542" s="3"/>
      <c r="U542" s="61"/>
    </row>
    <row r="543" spans="2:21" s="63" customFormat="1">
      <c r="B543" s="232"/>
      <c r="C543" s="232"/>
      <c r="D543" s="255"/>
      <c r="E543" s="255"/>
      <c r="F543" s="255"/>
      <c r="G543" s="255"/>
      <c r="H543" s="61"/>
      <c r="I543" s="61"/>
      <c r="J543" s="33" t="s">
        <v>1310</v>
      </c>
      <c r="K543" s="56" t="s">
        <v>1301</v>
      </c>
      <c r="L543" s="35" t="s">
        <v>332</v>
      </c>
      <c r="M543" s="53" t="s">
        <v>349</v>
      </c>
      <c r="N543" s="53">
        <v>44277</v>
      </c>
      <c r="O543" s="62" t="s">
        <v>824</v>
      </c>
      <c r="P543" s="62" t="s">
        <v>1300</v>
      </c>
      <c r="Q543" s="62"/>
      <c r="R543" s="62"/>
      <c r="S543" s="54"/>
      <c r="T543" s="3"/>
      <c r="U543" s="61"/>
    </row>
    <row r="544" spans="2:21" s="63" customFormat="1">
      <c r="B544" s="232"/>
      <c r="C544" s="232"/>
      <c r="D544" s="255"/>
      <c r="E544" s="255"/>
      <c r="F544" s="255"/>
      <c r="G544" s="255"/>
      <c r="H544" s="61"/>
      <c r="I544" s="61"/>
      <c r="J544" s="33" t="s">
        <v>1310</v>
      </c>
      <c r="K544" s="56" t="s">
        <v>1440</v>
      </c>
      <c r="L544" s="35" t="s">
        <v>332</v>
      </c>
      <c r="M544" s="53" t="s">
        <v>349</v>
      </c>
      <c r="N544" s="53">
        <v>44298</v>
      </c>
      <c r="O544" s="62" t="s">
        <v>824</v>
      </c>
      <c r="P544" s="35" t="s">
        <v>1439</v>
      </c>
      <c r="Q544" s="62"/>
      <c r="R544" s="62"/>
      <c r="S544" s="54"/>
      <c r="T544" s="3"/>
      <c r="U544" s="61"/>
    </row>
    <row r="545" spans="2:21" s="63" customFormat="1">
      <c r="B545" s="232"/>
      <c r="C545" s="232"/>
      <c r="D545" s="255"/>
      <c r="E545" s="255"/>
      <c r="F545" s="255"/>
      <c r="G545" s="255"/>
      <c r="H545" s="61"/>
      <c r="I545" s="61"/>
      <c r="J545" s="33" t="s">
        <v>1310</v>
      </c>
      <c r="K545" s="56" t="s">
        <v>1443</v>
      </c>
      <c r="L545" s="35" t="s">
        <v>332</v>
      </c>
      <c r="M545" s="53" t="s">
        <v>349</v>
      </c>
      <c r="N545" s="53">
        <v>44306</v>
      </c>
      <c r="O545" s="62" t="s">
        <v>824</v>
      </c>
      <c r="P545" s="35" t="s">
        <v>1444</v>
      </c>
      <c r="Q545" s="62"/>
      <c r="R545" s="62"/>
      <c r="S545" s="54"/>
      <c r="T545" s="3"/>
      <c r="U545" s="61"/>
    </row>
    <row r="546" spans="2:21" s="63" customFormat="1">
      <c r="B546" s="232"/>
      <c r="C546" s="232"/>
      <c r="D546" s="255"/>
      <c r="E546" s="255"/>
      <c r="F546" s="255"/>
      <c r="G546" s="255"/>
      <c r="H546" s="61"/>
      <c r="I546" s="61"/>
      <c r="J546" s="33" t="s">
        <v>1310</v>
      </c>
      <c r="K546" s="56" t="s">
        <v>1769</v>
      </c>
      <c r="L546" s="35" t="s">
        <v>332</v>
      </c>
      <c r="M546" s="53" t="s">
        <v>349</v>
      </c>
      <c r="N546" s="53">
        <v>44356</v>
      </c>
      <c r="O546" s="62" t="s">
        <v>824</v>
      </c>
      <c r="P546" s="35" t="s">
        <v>1768</v>
      </c>
      <c r="Q546" s="62"/>
      <c r="R546" s="62"/>
      <c r="S546" s="54"/>
      <c r="T546" s="3"/>
      <c r="U546" s="61"/>
    </row>
    <row r="547" spans="2:21" s="63" customFormat="1">
      <c r="B547" s="232"/>
      <c r="C547" s="232"/>
      <c r="D547" s="255"/>
      <c r="E547" s="255"/>
      <c r="F547" s="255"/>
      <c r="G547" s="255"/>
      <c r="H547" s="61"/>
      <c r="I547" s="61"/>
      <c r="J547" s="33" t="s">
        <v>1310</v>
      </c>
      <c r="K547" s="56" t="s">
        <v>1830</v>
      </c>
      <c r="L547" s="35" t="s">
        <v>332</v>
      </c>
      <c r="M547" s="53" t="s">
        <v>349</v>
      </c>
      <c r="N547" s="53">
        <v>44371</v>
      </c>
      <c r="O547" s="62" t="s">
        <v>824</v>
      </c>
      <c r="P547" s="35" t="s">
        <v>1831</v>
      </c>
      <c r="Q547" s="62"/>
      <c r="R547" s="62"/>
      <c r="S547" s="54"/>
      <c r="T547" s="3"/>
      <c r="U547" s="61"/>
    </row>
    <row r="548" spans="2:21" s="63" customFormat="1">
      <c r="B548" s="232"/>
      <c r="C548" s="232"/>
      <c r="D548" s="255"/>
      <c r="E548" s="255"/>
      <c r="F548" s="255"/>
      <c r="G548" s="255"/>
      <c r="H548" s="61"/>
      <c r="I548" s="61"/>
      <c r="J548" s="33" t="s">
        <v>1310</v>
      </c>
      <c r="K548" s="56" t="s">
        <v>2300</v>
      </c>
      <c r="L548" s="35" t="s">
        <v>332</v>
      </c>
      <c r="M548" s="53" t="s">
        <v>349</v>
      </c>
      <c r="N548" s="53">
        <v>44473</v>
      </c>
      <c r="O548" s="62" t="s">
        <v>824</v>
      </c>
      <c r="P548" s="35" t="s">
        <v>2297</v>
      </c>
      <c r="Q548" s="62"/>
      <c r="R548" s="62"/>
      <c r="S548" s="54"/>
      <c r="T548" s="3"/>
      <c r="U548" s="61"/>
    </row>
    <row r="549" spans="2:21" s="63" customFormat="1">
      <c r="B549" s="232"/>
      <c r="C549" s="232"/>
      <c r="D549" s="255"/>
      <c r="E549" s="255"/>
      <c r="F549" s="255"/>
      <c r="G549" s="255"/>
      <c r="H549" s="61"/>
      <c r="I549" s="61"/>
      <c r="J549" s="33" t="s">
        <v>1310</v>
      </c>
      <c r="K549" s="56" t="s">
        <v>4070</v>
      </c>
      <c r="L549" s="35" t="s">
        <v>332</v>
      </c>
      <c r="M549" s="53" t="s">
        <v>349</v>
      </c>
      <c r="N549" s="53">
        <v>45219</v>
      </c>
      <c r="O549" s="62" t="s">
        <v>824</v>
      </c>
      <c r="P549" s="35" t="s">
        <v>4068</v>
      </c>
      <c r="Q549" s="62"/>
      <c r="R549" s="62"/>
      <c r="S549" s="54"/>
      <c r="T549" s="3"/>
      <c r="U549" s="61"/>
    </row>
    <row r="550" spans="2:21" s="63" customFormat="1">
      <c r="B550" s="232"/>
      <c r="C550" s="232"/>
      <c r="D550" s="255"/>
      <c r="E550" s="255"/>
      <c r="F550" s="255"/>
      <c r="G550" s="255"/>
      <c r="H550" s="61"/>
      <c r="I550" s="61"/>
      <c r="J550" s="33" t="s">
        <v>1310</v>
      </c>
      <c r="K550" s="56" t="s">
        <v>4220</v>
      </c>
      <c r="L550" s="35" t="s">
        <v>332</v>
      </c>
      <c r="M550" s="53" t="s">
        <v>349</v>
      </c>
      <c r="N550" s="53">
        <v>45320</v>
      </c>
      <c r="O550" s="62" t="s">
        <v>824</v>
      </c>
      <c r="P550" s="35" t="s">
        <v>4218</v>
      </c>
      <c r="Q550" s="62"/>
      <c r="R550" s="62"/>
      <c r="S550" s="54"/>
      <c r="T550" s="3"/>
      <c r="U550" s="61"/>
    </row>
    <row r="551" spans="2:21" s="63" customFormat="1">
      <c r="B551" s="232"/>
      <c r="C551" s="232"/>
      <c r="D551" s="255"/>
      <c r="E551" s="255"/>
      <c r="F551" s="255"/>
      <c r="G551" s="255"/>
      <c r="H551" s="61"/>
      <c r="I551" s="61"/>
      <c r="J551" s="33"/>
      <c r="K551" s="56"/>
      <c r="L551" s="35"/>
      <c r="M551" s="53"/>
      <c r="N551" s="53"/>
      <c r="O551" s="62"/>
      <c r="P551" s="62"/>
      <c r="Q551" s="62"/>
      <c r="R551" s="62"/>
      <c r="S551" s="54"/>
      <c r="T551" s="3"/>
      <c r="U551" s="61"/>
    </row>
    <row r="552" spans="2:21" s="63" customFormat="1">
      <c r="B552" s="232"/>
      <c r="C552" s="232"/>
      <c r="D552" s="255"/>
      <c r="E552" s="255"/>
      <c r="F552" s="255"/>
      <c r="G552" s="255"/>
      <c r="H552" s="61"/>
      <c r="I552" s="61"/>
      <c r="J552" s="33" t="s">
        <v>1308</v>
      </c>
      <c r="K552" s="56"/>
      <c r="L552" s="35" t="s">
        <v>332</v>
      </c>
      <c r="M552" s="53">
        <v>44104</v>
      </c>
      <c r="N552" s="53">
        <v>44181</v>
      </c>
      <c r="O552" s="62" t="s">
        <v>826</v>
      </c>
      <c r="P552" s="62" t="s">
        <v>852</v>
      </c>
      <c r="Q552" s="62"/>
      <c r="R552" s="62"/>
      <c r="S552" s="54"/>
      <c r="T552" s="3"/>
      <c r="U552" s="61"/>
    </row>
    <row r="553" spans="2:21" s="63" customFormat="1">
      <c r="B553" s="232"/>
      <c r="C553" s="232"/>
      <c r="D553" s="255"/>
      <c r="E553" s="255"/>
      <c r="F553" s="255"/>
      <c r="G553" s="255"/>
      <c r="H553" s="61"/>
      <c r="I553" s="61"/>
      <c r="J553" s="33" t="s">
        <v>1308</v>
      </c>
      <c r="K553" s="56" t="s">
        <v>1301</v>
      </c>
      <c r="L553" s="35" t="s">
        <v>332</v>
      </c>
      <c r="M553" s="53" t="s">
        <v>349</v>
      </c>
      <c r="N553" s="53">
        <v>44277</v>
      </c>
      <c r="O553" s="62" t="s">
        <v>826</v>
      </c>
      <c r="P553" s="62" t="s">
        <v>1300</v>
      </c>
      <c r="Q553" s="62"/>
      <c r="R553" s="62"/>
      <c r="S553" s="54"/>
      <c r="T553" s="3"/>
      <c r="U553" s="61"/>
    </row>
    <row r="554" spans="2:21" s="63" customFormat="1">
      <c r="B554" s="232"/>
      <c r="C554" s="232"/>
      <c r="D554" s="255"/>
      <c r="E554" s="255"/>
      <c r="F554" s="255"/>
      <c r="G554" s="255"/>
      <c r="H554" s="61"/>
      <c r="I554" s="61"/>
      <c r="J554" s="33" t="s">
        <v>1308</v>
      </c>
      <c r="K554" s="56" t="s">
        <v>1446</v>
      </c>
      <c r="L554" s="35" t="s">
        <v>332</v>
      </c>
      <c r="M554" s="53" t="s">
        <v>349</v>
      </c>
      <c r="N554" s="53">
        <v>44298</v>
      </c>
      <c r="O554" s="62" t="s">
        <v>826</v>
      </c>
      <c r="P554" s="35" t="s">
        <v>1439</v>
      </c>
      <c r="Q554" s="62"/>
      <c r="R554" s="62"/>
      <c r="S554" s="54"/>
      <c r="T554" s="3"/>
      <c r="U554" s="61"/>
    </row>
    <row r="555" spans="2:21" s="63" customFormat="1">
      <c r="B555" s="232"/>
      <c r="C555" s="232"/>
      <c r="D555" s="255"/>
      <c r="E555" s="255"/>
      <c r="F555" s="255"/>
      <c r="G555" s="255"/>
      <c r="H555" s="61"/>
      <c r="I555" s="61"/>
      <c r="J555" s="33" t="s">
        <v>1308</v>
      </c>
      <c r="K555" s="56" t="s">
        <v>1443</v>
      </c>
      <c r="L555" s="35" t="s">
        <v>332</v>
      </c>
      <c r="M555" s="53" t="s">
        <v>349</v>
      </c>
      <c r="N555" s="53">
        <v>44306</v>
      </c>
      <c r="O555" s="62" t="s">
        <v>826</v>
      </c>
      <c r="P555" s="35" t="s">
        <v>1444</v>
      </c>
      <c r="Q555" s="62"/>
      <c r="R555" s="62"/>
      <c r="S555" s="54"/>
      <c r="T555" s="3"/>
      <c r="U555" s="61"/>
    </row>
    <row r="556" spans="2:21" s="63" customFormat="1">
      <c r="B556" s="232"/>
      <c r="C556" s="232"/>
      <c r="D556" s="255"/>
      <c r="E556" s="255"/>
      <c r="F556" s="255"/>
      <c r="G556" s="255"/>
      <c r="H556" s="61"/>
      <c r="I556" s="61"/>
      <c r="J556" s="33" t="s">
        <v>1308</v>
      </c>
      <c r="K556" s="56" t="s">
        <v>1769</v>
      </c>
      <c r="L556" s="35" t="s">
        <v>332</v>
      </c>
      <c r="M556" s="53" t="s">
        <v>349</v>
      </c>
      <c r="N556" s="53">
        <v>44356</v>
      </c>
      <c r="O556" s="62" t="s">
        <v>826</v>
      </c>
      <c r="P556" s="35" t="s">
        <v>1768</v>
      </c>
      <c r="Q556" s="62"/>
      <c r="R556" s="62"/>
      <c r="S556" s="54"/>
      <c r="T556" s="3"/>
      <c r="U556" s="61"/>
    </row>
    <row r="557" spans="2:21" s="63" customFormat="1">
      <c r="B557" s="232"/>
      <c r="C557" s="232"/>
      <c r="D557" s="255"/>
      <c r="E557" s="255"/>
      <c r="F557" s="255"/>
      <c r="G557" s="255"/>
      <c r="H557" s="61"/>
      <c r="I557" s="61"/>
      <c r="J557" s="33" t="s">
        <v>1308</v>
      </c>
      <c r="K557" s="56" t="s">
        <v>1830</v>
      </c>
      <c r="L557" s="35" t="s">
        <v>332</v>
      </c>
      <c r="M557" s="53" t="s">
        <v>349</v>
      </c>
      <c r="N557" s="53">
        <v>44371</v>
      </c>
      <c r="O557" s="62" t="s">
        <v>826</v>
      </c>
      <c r="P557" s="35" t="s">
        <v>1831</v>
      </c>
      <c r="Q557" s="62"/>
      <c r="R557" s="62"/>
      <c r="S557" s="54"/>
      <c r="T557" s="3"/>
      <c r="U557" s="61"/>
    </row>
    <row r="558" spans="2:21" s="63" customFormat="1">
      <c r="B558" s="232"/>
      <c r="C558" s="232"/>
      <c r="D558" s="255"/>
      <c r="E558" s="255"/>
      <c r="F558" s="255"/>
      <c r="G558" s="255"/>
      <c r="H558" s="61"/>
      <c r="I558" s="61"/>
      <c r="J558" s="33" t="s">
        <v>1308</v>
      </c>
      <c r="K558" s="56" t="s">
        <v>2300</v>
      </c>
      <c r="L558" s="35" t="s">
        <v>332</v>
      </c>
      <c r="M558" s="53" t="s">
        <v>349</v>
      </c>
      <c r="N558" s="53">
        <v>44473</v>
      </c>
      <c r="O558" s="62" t="s">
        <v>826</v>
      </c>
      <c r="P558" s="35" t="s">
        <v>2297</v>
      </c>
      <c r="Q558" s="62"/>
      <c r="R558" s="62"/>
      <c r="S558" s="54"/>
      <c r="T558" s="3"/>
      <c r="U558" s="61"/>
    </row>
    <row r="559" spans="2:21" s="63" customFormat="1">
      <c r="B559" s="232"/>
      <c r="C559" s="232"/>
      <c r="D559" s="255"/>
      <c r="E559" s="255"/>
      <c r="F559" s="255"/>
      <c r="G559" s="255"/>
      <c r="H559" s="61"/>
      <c r="I559" s="61"/>
      <c r="J559" s="33" t="s">
        <v>1308</v>
      </c>
      <c r="K559" s="56" t="s">
        <v>4070</v>
      </c>
      <c r="L559" s="35" t="s">
        <v>332</v>
      </c>
      <c r="M559" s="53" t="s">
        <v>349</v>
      </c>
      <c r="N559" s="53">
        <v>45219</v>
      </c>
      <c r="O559" s="62" t="s">
        <v>826</v>
      </c>
      <c r="P559" s="35" t="s">
        <v>4068</v>
      </c>
      <c r="Q559" s="62"/>
      <c r="R559" s="62"/>
      <c r="S559" s="54"/>
      <c r="T559" s="3"/>
      <c r="U559" s="61"/>
    </row>
    <row r="560" spans="2:21" s="63" customFormat="1">
      <c r="B560" s="232"/>
      <c r="C560" s="232"/>
      <c r="D560" s="255"/>
      <c r="E560" s="255"/>
      <c r="F560" s="255"/>
      <c r="G560" s="255"/>
      <c r="H560" s="61"/>
      <c r="I560" s="61"/>
      <c r="J560" s="33" t="s">
        <v>1308</v>
      </c>
      <c r="K560" s="56" t="s">
        <v>4220</v>
      </c>
      <c r="L560" s="35" t="s">
        <v>332</v>
      </c>
      <c r="M560" s="53" t="s">
        <v>349</v>
      </c>
      <c r="N560" s="53">
        <v>45320</v>
      </c>
      <c r="O560" s="62" t="s">
        <v>826</v>
      </c>
      <c r="P560" s="35" t="s">
        <v>4218</v>
      </c>
      <c r="Q560" s="62"/>
      <c r="R560" s="62"/>
      <c r="S560" s="54"/>
      <c r="T560" s="3"/>
      <c r="U560" s="61"/>
    </row>
    <row r="561" spans="2:21" s="63" customFormat="1">
      <c r="B561" s="232"/>
      <c r="C561" s="232"/>
      <c r="D561" s="255"/>
      <c r="E561" s="255"/>
      <c r="F561" s="255"/>
      <c r="G561" s="255"/>
      <c r="H561" s="61"/>
      <c r="I561" s="61"/>
      <c r="J561" s="33"/>
      <c r="K561" s="56"/>
      <c r="L561" s="35"/>
      <c r="M561" s="53"/>
      <c r="N561" s="53"/>
      <c r="O561" s="62"/>
      <c r="P561" s="62"/>
      <c r="Q561" s="62"/>
      <c r="R561" s="62"/>
      <c r="S561" s="54"/>
      <c r="T561" s="3"/>
      <c r="U561" s="61"/>
    </row>
    <row r="562" spans="2:21" s="63" customFormat="1">
      <c r="B562" s="232"/>
      <c r="C562" s="232"/>
      <c r="D562" s="255"/>
      <c r="E562" s="255"/>
      <c r="F562" s="255"/>
      <c r="G562" s="255"/>
      <c r="H562" s="61"/>
      <c r="I562" s="61"/>
      <c r="J562" s="33" t="s">
        <v>1309</v>
      </c>
      <c r="K562" s="56"/>
      <c r="L562" s="35" t="s">
        <v>332</v>
      </c>
      <c r="M562" s="53">
        <v>44104</v>
      </c>
      <c r="N562" s="53">
        <v>44181</v>
      </c>
      <c r="O562" s="62" t="s">
        <v>828</v>
      </c>
      <c r="P562" s="62" t="s">
        <v>852</v>
      </c>
      <c r="Q562" s="62"/>
      <c r="R562" s="62"/>
      <c r="S562" s="54"/>
      <c r="T562" s="3"/>
      <c r="U562" s="61"/>
    </row>
    <row r="563" spans="2:21" s="63" customFormat="1">
      <c r="B563" s="232"/>
      <c r="C563" s="232"/>
      <c r="D563" s="255"/>
      <c r="E563" s="255"/>
      <c r="F563" s="255"/>
      <c r="G563" s="255"/>
      <c r="H563" s="61"/>
      <c r="I563" s="61"/>
      <c r="J563" s="33" t="s">
        <v>1309</v>
      </c>
      <c r="K563" s="56" t="s">
        <v>1301</v>
      </c>
      <c r="L563" s="35" t="s">
        <v>332</v>
      </c>
      <c r="M563" s="53" t="s">
        <v>349</v>
      </c>
      <c r="N563" s="53">
        <v>44277</v>
      </c>
      <c r="O563" s="62" t="s">
        <v>828</v>
      </c>
      <c r="P563" s="62" t="s">
        <v>1300</v>
      </c>
      <c r="Q563" s="62"/>
      <c r="R563" s="62"/>
      <c r="S563" s="54"/>
      <c r="T563" s="3"/>
      <c r="U563" s="61"/>
    </row>
    <row r="564" spans="2:21" s="63" customFormat="1">
      <c r="B564" s="232"/>
      <c r="C564" s="232"/>
      <c r="D564" s="255"/>
      <c r="E564" s="255"/>
      <c r="F564" s="255"/>
      <c r="G564" s="255"/>
      <c r="H564" s="61"/>
      <c r="I564" s="61"/>
      <c r="J564" s="33" t="s">
        <v>1309</v>
      </c>
      <c r="K564" s="56" t="s">
        <v>1446</v>
      </c>
      <c r="L564" s="35" t="s">
        <v>332</v>
      </c>
      <c r="M564" s="53" t="s">
        <v>349</v>
      </c>
      <c r="N564" s="53">
        <v>44298</v>
      </c>
      <c r="O564" s="62" t="s">
        <v>828</v>
      </c>
      <c r="P564" s="35" t="s">
        <v>1439</v>
      </c>
      <c r="Q564" s="62"/>
      <c r="R564" s="62"/>
      <c r="S564" s="54"/>
      <c r="T564" s="3"/>
      <c r="U564" s="61"/>
    </row>
    <row r="565" spans="2:21" s="63" customFormat="1">
      <c r="B565" s="232"/>
      <c r="C565" s="232"/>
      <c r="D565" s="255"/>
      <c r="E565" s="255"/>
      <c r="F565" s="255"/>
      <c r="G565" s="255"/>
      <c r="H565" s="61"/>
      <c r="I565" s="61"/>
      <c r="J565" s="33" t="s">
        <v>1309</v>
      </c>
      <c r="K565" s="56" t="s">
        <v>1830</v>
      </c>
      <c r="L565" s="35" t="s">
        <v>332</v>
      </c>
      <c r="M565" s="53" t="s">
        <v>349</v>
      </c>
      <c r="N565" s="53">
        <v>44371</v>
      </c>
      <c r="O565" s="62" t="s">
        <v>828</v>
      </c>
      <c r="P565" s="35" t="s">
        <v>1831</v>
      </c>
      <c r="Q565" s="62"/>
      <c r="R565" s="62"/>
      <c r="S565" s="54"/>
      <c r="T565" s="3"/>
      <c r="U565" s="61"/>
    </row>
    <row r="566" spans="2:21" s="63" customFormat="1">
      <c r="B566" s="232"/>
      <c r="C566" s="232"/>
      <c r="D566" s="255"/>
      <c r="E566" s="255"/>
      <c r="F566" s="255"/>
      <c r="G566" s="255"/>
      <c r="H566" s="61"/>
      <c r="I566" s="61"/>
      <c r="J566" s="33" t="s">
        <v>1309</v>
      </c>
      <c r="K566" s="56" t="s">
        <v>2300</v>
      </c>
      <c r="L566" s="35" t="s">
        <v>332</v>
      </c>
      <c r="M566" s="53" t="s">
        <v>349</v>
      </c>
      <c r="N566" s="53">
        <v>44473</v>
      </c>
      <c r="O566" s="62" t="s">
        <v>828</v>
      </c>
      <c r="P566" s="35" t="s">
        <v>2297</v>
      </c>
      <c r="Q566" s="62"/>
      <c r="R566" s="62"/>
      <c r="S566" s="54"/>
      <c r="T566" s="3"/>
      <c r="U566" s="61"/>
    </row>
    <row r="567" spans="2:21" s="63" customFormat="1">
      <c r="B567" s="232"/>
      <c r="C567" s="232"/>
      <c r="D567" s="255"/>
      <c r="E567" s="255"/>
      <c r="F567" s="255"/>
      <c r="G567" s="255"/>
      <c r="H567" s="61"/>
      <c r="I567" s="61"/>
      <c r="J567" s="33" t="s">
        <v>1309</v>
      </c>
      <c r="K567" s="56" t="s">
        <v>4070</v>
      </c>
      <c r="L567" s="35" t="s">
        <v>332</v>
      </c>
      <c r="M567" s="53" t="s">
        <v>349</v>
      </c>
      <c r="N567" s="53">
        <v>45219</v>
      </c>
      <c r="O567" s="62" t="s">
        <v>828</v>
      </c>
      <c r="P567" s="35" t="s">
        <v>4068</v>
      </c>
      <c r="Q567" s="62"/>
      <c r="R567" s="62"/>
      <c r="S567" s="54"/>
      <c r="T567" s="3"/>
      <c r="U567" s="61"/>
    </row>
    <row r="568" spans="2:21" s="63" customFormat="1">
      <c r="B568" s="232"/>
      <c r="C568" s="232"/>
      <c r="D568" s="255"/>
      <c r="E568" s="255"/>
      <c r="F568" s="255"/>
      <c r="G568" s="255"/>
      <c r="H568" s="61"/>
      <c r="I568" s="61"/>
      <c r="J568" s="33" t="s">
        <v>1309</v>
      </c>
      <c r="K568" s="56" t="s">
        <v>4220</v>
      </c>
      <c r="L568" s="35" t="s">
        <v>332</v>
      </c>
      <c r="M568" s="53" t="s">
        <v>349</v>
      </c>
      <c r="N568" s="53">
        <v>45320</v>
      </c>
      <c r="O568" s="62" t="s">
        <v>828</v>
      </c>
      <c r="P568" s="35" t="s">
        <v>4218</v>
      </c>
      <c r="Q568" s="62"/>
      <c r="R568" s="62"/>
      <c r="S568" s="54"/>
      <c r="T568" s="3"/>
      <c r="U568" s="61"/>
    </row>
    <row r="569" spans="2:21" s="63" customFormat="1">
      <c r="B569" s="232"/>
      <c r="C569" s="232"/>
      <c r="D569" s="255"/>
      <c r="E569" s="255"/>
      <c r="F569" s="255"/>
      <c r="G569" s="255"/>
      <c r="H569" s="61"/>
      <c r="I569" s="61"/>
      <c r="J569" s="33"/>
      <c r="K569" s="56"/>
      <c r="L569" s="35"/>
      <c r="M569" s="53"/>
      <c r="N569" s="53"/>
      <c r="O569" s="62"/>
      <c r="P569" s="62"/>
      <c r="Q569" s="62"/>
      <c r="R569" s="62"/>
      <c r="S569" s="54"/>
      <c r="T569" s="3"/>
      <c r="U569" s="61"/>
    </row>
    <row r="570" spans="2:21">
      <c r="B570" s="232"/>
      <c r="C570" s="232"/>
      <c r="D570" s="255"/>
      <c r="E570" s="255"/>
      <c r="F570" s="255"/>
      <c r="G570" s="255"/>
      <c r="H570" s="61"/>
      <c r="I570" s="61"/>
      <c r="J570" s="33" t="s">
        <v>1307</v>
      </c>
      <c r="K570" s="56"/>
      <c r="L570" s="35" t="s">
        <v>332</v>
      </c>
      <c r="M570" s="53">
        <v>44104</v>
      </c>
      <c r="N570" s="53">
        <v>44181</v>
      </c>
      <c r="O570" s="62" t="s">
        <v>830</v>
      </c>
      <c r="P570" s="62" t="s">
        <v>852</v>
      </c>
      <c r="Q570" s="62"/>
      <c r="R570" s="35"/>
      <c r="S570" s="33"/>
      <c r="T570" s="33"/>
      <c r="U570" s="21"/>
    </row>
    <row r="571" spans="2:21">
      <c r="B571" s="232"/>
      <c r="C571" s="232"/>
      <c r="D571" s="255"/>
      <c r="E571" s="255"/>
      <c r="F571" s="255"/>
      <c r="G571" s="255"/>
      <c r="H571" s="61"/>
      <c r="I571" s="61"/>
      <c r="J571" s="33" t="s">
        <v>1307</v>
      </c>
      <c r="K571" s="56" t="s">
        <v>1301</v>
      </c>
      <c r="L571" s="35" t="s">
        <v>332</v>
      </c>
      <c r="M571" s="53" t="s">
        <v>349</v>
      </c>
      <c r="N571" s="53">
        <v>44277</v>
      </c>
      <c r="O571" s="62" t="s">
        <v>830</v>
      </c>
      <c r="P571" s="62" t="s">
        <v>1300</v>
      </c>
      <c r="Q571" s="62"/>
      <c r="R571" s="35"/>
      <c r="S571" s="33"/>
      <c r="T571" s="33"/>
      <c r="U571" s="21"/>
    </row>
    <row r="572" spans="2:21">
      <c r="B572" s="232"/>
      <c r="C572" s="232"/>
      <c r="D572" s="255"/>
      <c r="E572" s="255"/>
      <c r="F572" s="255"/>
      <c r="G572" s="255"/>
      <c r="H572" s="61"/>
      <c r="I572" s="61"/>
      <c r="J572" s="33" t="s">
        <v>1307</v>
      </c>
      <c r="K572" s="56" t="s">
        <v>1446</v>
      </c>
      <c r="L572" s="35" t="s">
        <v>332</v>
      </c>
      <c r="M572" s="53" t="s">
        <v>349</v>
      </c>
      <c r="N572" s="53">
        <v>44298</v>
      </c>
      <c r="O572" s="62" t="s">
        <v>830</v>
      </c>
      <c r="P572" s="35" t="s">
        <v>1439</v>
      </c>
      <c r="Q572" s="62"/>
      <c r="R572" s="35"/>
      <c r="S572" s="33"/>
      <c r="T572" s="33"/>
      <c r="U572" s="21"/>
    </row>
    <row r="573" spans="2:21">
      <c r="B573" s="232"/>
      <c r="C573" s="232"/>
      <c r="D573" s="255"/>
      <c r="E573" s="255"/>
      <c r="F573" s="255"/>
      <c r="G573" s="255"/>
      <c r="H573" s="61"/>
      <c r="I573" s="61"/>
      <c r="J573" s="33" t="s">
        <v>1307</v>
      </c>
      <c r="K573" s="56" t="s">
        <v>1443</v>
      </c>
      <c r="L573" s="35" t="s">
        <v>332</v>
      </c>
      <c r="M573" s="53" t="s">
        <v>349</v>
      </c>
      <c r="N573" s="53">
        <v>44306</v>
      </c>
      <c r="O573" s="62" t="s">
        <v>830</v>
      </c>
      <c r="P573" s="35" t="s">
        <v>1444</v>
      </c>
      <c r="Q573" s="62"/>
      <c r="R573" s="35"/>
      <c r="S573" s="33"/>
      <c r="T573" s="33"/>
      <c r="U573" s="21"/>
    </row>
    <row r="574" spans="2:21">
      <c r="B574" s="232"/>
      <c r="C574" s="232"/>
      <c r="D574" s="255"/>
      <c r="E574" s="255"/>
      <c r="F574" s="255"/>
      <c r="G574" s="255"/>
      <c r="H574" s="61"/>
      <c r="I574" s="61"/>
      <c r="J574" s="33" t="s">
        <v>1307</v>
      </c>
      <c r="K574" s="56" t="s">
        <v>1830</v>
      </c>
      <c r="L574" s="35" t="s">
        <v>332</v>
      </c>
      <c r="M574" s="53" t="s">
        <v>349</v>
      </c>
      <c r="N574" s="53">
        <v>44371</v>
      </c>
      <c r="O574" s="62" t="s">
        <v>830</v>
      </c>
      <c r="P574" s="35" t="s">
        <v>1831</v>
      </c>
      <c r="Q574" s="62"/>
      <c r="R574" s="35"/>
      <c r="S574" s="33"/>
      <c r="T574" s="33"/>
      <c r="U574" s="21"/>
    </row>
    <row r="575" spans="2:21">
      <c r="B575" s="232"/>
      <c r="C575" s="232"/>
      <c r="D575" s="255"/>
      <c r="E575" s="255"/>
      <c r="F575" s="255"/>
      <c r="G575" s="255"/>
      <c r="H575" s="61"/>
      <c r="I575" s="61"/>
      <c r="J575" s="33" t="s">
        <v>1307</v>
      </c>
      <c r="K575" s="56" t="s">
        <v>2300</v>
      </c>
      <c r="L575" s="35" t="s">
        <v>332</v>
      </c>
      <c r="M575" s="53" t="s">
        <v>349</v>
      </c>
      <c r="N575" s="53">
        <v>44473</v>
      </c>
      <c r="O575" s="62" t="s">
        <v>830</v>
      </c>
      <c r="P575" s="35" t="s">
        <v>2297</v>
      </c>
      <c r="Q575" s="62"/>
      <c r="R575" s="35"/>
      <c r="S575" s="33"/>
      <c r="T575" s="33"/>
      <c r="U575" s="21"/>
    </row>
    <row r="576" spans="2:21">
      <c r="B576" s="232"/>
      <c r="C576" s="232"/>
      <c r="D576" s="255"/>
      <c r="E576" s="255"/>
      <c r="F576" s="255"/>
      <c r="G576" s="255"/>
      <c r="H576" s="61"/>
      <c r="I576" s="61"/>
      <c r="J576" s="33" t="s">
        <v>1307</v>
      </c>
      <c r="K576" s="56" t="s">
        <v>4070</v>
      </c>
      <c r="L576" s="35" t="s">
        <v>332</v>
      </c>
      <c r="M576" s="53" t="s">
        <v>349</v>
      </c>
      <c r="N576" s="53">
        <v>45219</v>
      </c>
      <c r="O576" s="62" t="s">
        <v>830</v>
      </c>
      <c r="P576" s="35" t="s">
        <v>4068</v>
      </c>
      <c r="Q576" s="62"/>
      <c r="R576" s="35"/>
      <c r="S576" s="33"/>
      <c r="T576" s="33"/>
      <c r="U576" s="21"/>
    </row>
    <row r="577" spans="2:21">
      <c r="B577" s="232"/>
      <c r="C577" s="232"/>
      <c r="D577" s="255"/>
      <c r="E577" s="255"/>
      <c r="F577" s="255"/>
      <c r="G577" s="255"/>
      <c r="H577" s="61"/>
      <c r="I577" s="61"/>
      <c r="J577" s="33" t="s">
        <v>1307</v>
      </c>
      <c r="K577" s="56" t="s">
        <v>4220</v>
      </c>
      <c r="L577" s="35" t="s">
        <v>332</v>
      </c>
      <c r="M577" s="53" t="s">
        <v>349</v>
      </c>
      <c r="N577" s="53">
        <v>45320</v>
      </c>
      <c r="O577" s="62" t="s">
        <v>830</v>
      </c>
      <c r="P577" s="35" t="s">
        <v>4218</v>
      </c>
      <c r="Q577" s="62"/>
      <c r="R577" s="35"/>
      <c r="S577" s="33"/>
      <c r="T577" s="33"/>
      <c r="U577" s="21"/>
    </row>
    <row r="578" spans="2:21">
      <c r="B578" s="232"/>
      <c r="C578" s="232"/>
      <c r="D578" s="255"/>
      <c r="E578" s="255"/>
      <c r="F578" s="255"/>
      <c r="G578" s="255"/>
      <c r="H578" s="61"/>
      <c r="I578" s="61"/>
      <c r="J578" s="33"/>
      <c r="K578" s="56"/>
      <c r="L578" s="35"/>
      <c r="M578" s="53"/>
      <c r="N578" s="53"/>
      <c r="O578" s="62"/>
      <c r="P578" s="62"/>
      <c r="Q578" s="62"/>
      <c r="R578" s="35"/>
      <c r="S578" s="33"/>
      <c r="T578" s="33"/>
      <c r="U578" s="21"/>
    </row>
    <row r="579" spans="2:21">
      <c r="B579" s="232"/>
      <c r="C579" s="232"/>
      <c r="D579" s="255"/>
      <c r="E579" s="255"/>
      <c r="F579" s="255"/>
      <c r="G579" s="255"/>
      <c r="H579" s="61"/>
      <c r="I579" s="61"/>
      <c r="J579" s="33" t="s">
        <v>1306</v>
      </c>
      <c r="K579" s="56" t="s">
        <v>1301</v>
      </c>
      <c r="L579" s="35" t="s">
        <v>332</v>
      </c>
      <c r="M579" s="53" t="s">
        <v>349</v>
      </c>
      <c r="N579" s="53">
        <v>44277</v>
      </c>
      <c r="O579" s="62" t="s">
        <v>1311</v>
      </c>
      <c r="P579" s="62" t="s">
        <v>1300</v>
      </c>
      <c r="Q579" s="62"/>
      <c r="R579" s="35"/>
      <c r="S579" s="33"/>
      <c r="T579" s="33"/>
      <c r="U579" s="21"/>
    </row>
    <row r="580" spans="2:21">
      <c r="B580" s="232"/>
      <c r="C580" s="232"/>
      <c r="D580" s="255"/>
      <c r="E580" s="255"/>
      <c r="F580" s="255"/>
      <c r="G580" s="255"/>
      <c r="H580" s="61"/>
      <c r="I580" s="61"/>
      <c r="J580" s="33" t="s">
        <v>1306</v>
      </c>
      <c r="K580" s="56" t="s">
        <v>1446</v>
      </c>
      <c r="L580" s="35" t="s">
        <v>332</v>
      </c>
      <c r="M580" s="53" t="s">
        <v>349</v>
      </c>
      <c r="N580" s="53">
        <v>44298</v>
      </c>
      <c r="O580" s="62" t="s">
        <v>1311</v>
      </c>
      <c r="P580" s="35" t="s">
        <v>1439</v>
      </c>
      <c r="Q580" s="62"/>
      <c r="R580" s="35"/>
      <c r="S580" s="33"/>
      <c r="T580" s="33"/>
      <c r="U580" s="21"/>
    </row>
    <row r="581" spans="2:21">
      <c r="B581" s="232"/>
      <c r="C581" s="232"/>
      <c r="D581" s="255"/>
      <c r="E581" s="255"/>
      <c r="F581" s="255"/>
      <c r="G581" s="255"/>
      <c r="H581" s="61"/>
      <c r="I581" s="61"/>
      <c r="J581" s="33" t="s">
        <v>1306</v>
      </c>
      <c r="K581" s="56" t="s">
        <v>1443</v>
      </c>
      <c r="L581" s="35" t="s">
        <v>332</v>
      </c>
      <c r="M581" s="53" t="s">
        <v>349</v>
      </c>
      <c r="N581" s="53">
        <v>44306</v>
      </c>
      <c r="O581" s="62" t="s">
        <v>1311</v>
      </c>
      <c r="P581" s="35" t="s">
        <v>1444</v>
      </c>
      <c r="Q581" s="62"/>
      <c r="R581" s="35"/>
      <c r="S581" s="33"/>
      <c r="T581" s="33"/>
      <c r="U581" s="21"/>
    </row>
    <row r="582" spans="2:21">
      <c r="B582" s="232"/>
      <c r="C582" s="232"/>
      <c r="D582" s="255"/>
      <c r="E582" s="255"/>
      <c r="F582" s="255"/>
      <c r="G582" s="255"/>
      <c r="H582" s="61"/>
      <c r="I582" s="61"/>
      <c r="J582" s="33" t="s">
        <v>1445</v>
      </c>
      <c r="K582" s="56" t="s">
        <v>1830</v>
      </c>
      <c r="L582" s="35" t="s">
        <v>332</v>
      </c>
      <c r="M582" s="53" t="s">
        <v>349</v>
      </c>
      <c r="N582" s="53">
        <v>44371</v>
      </c>
      <c r="O582" s="62" t="s">
        <v>1311</v>
      </c>
      <c r="P582" s="35" t="s">
        <v>1831</v>
      </c>
      <c r="Q582" s="62"/>
      <c r="R582" s="35"/>
      <c r="S582" s="33"/>
      <c r="T582" s="33"/>
      <c r="U582" s="21"/>
    </row>
    <row r="583" spans="2:21">
      <c r="B583" s="232"/>
      <c r="C583" s="232"/>
      <c r="D583" s="255"/>
      <c r="E583" s="255"/>
      <c r="F583" s="255"/>
      <c r="G583" s="255"/>
      <c r="H583" s="61"/>
      <c r="I583" s="61"/>
      <c r="J583" s="33" t="s">
        <v>2301</v>
      </c>
      <c r="K583" s="56" t="s">
        <v>2300</v>
      </c>
      <c r="L583" s="35" t="s">
        <v>332</v>
      </c>
      <c r="M583" s="53" t="s">
        <v>349</v>
      </c>
      <c r="N583" s="53">
        <v>44473</v>
      </c>
      <c r="O583" s="62" t="s">
        <v>1311</v>
      </c>
      <c r="P583" s="35" t="s">
        <v>2297</v>
      </c>
      <c r="Q583" s="62"/>
      <c r="R583" s="35"/>
      <c r="S583" s="33"/>
      <c r="T583" s="33"/>
      <c r="U583" s="21"/>
    </row>
    <row r="584" spans="2:21">
      <c r="B584" s="232"/>
      <c r="C584" s="232"/>
      <c r="D584" s="255"/>
      <c r="E584" s="255"/>
      <c r="F584" s="255"/>
      <c r="G584" s="255"/>
      <c r="H584" s="61"/>
      <c r="I584" s="61"/>
      <c r="J584" s="33" t="s">
        <v>4071</v>
      </c>
      <c r="K584" s="56" t="s">
        <v>4070</v>
      </c>
      <c r="L584" s="35" t="s">
        <v>332</v>
      </c>
      <c r="M584" s="53" t="s">
        <v>349</v>
      </c>
      <c r="N584" s="53">
        <v>45219</v>
      </c>
      <c r="O584" s="62" t="s">
        <v>1311</v>
      </c>
      <c r="P584" s="35" t="s">
        <v>4068</v>
      </c>
      <c r="Q584" s="62"/>
      <c r="R584" s="35"/>
      <c r="S584" s="33"/>
      <c r="T584" s="33"/>
      <c r="U584" s="21"/>
    </row>
    <row r="585" spans="2:21">
      <c r="B585" s="232"/>
      <c r="C585" s="232"/>
      <c r="D585" s="255"/>
      <c r="E585" s="255"/>
      <c r="F585" s="255"/>
      <c r="G585" s="255"/>
      <c r="H585" s="61"/>
      <c r="I585" s="61"/>
      <c r="J585" s="33" t="s">
        <v>4221</v>
      </c>
      <c r="K585" s="56" t="s">
        <v>4220</v>
      </c>
      <c r="L585" s="35" t="s">
        <v>332</v>
      </c>
      <c r="M585" s="53" t="s">
        <v>349</v>
      </c>
      <c r="N585" s="53">
        <v>45320</v>
      </c>
      <c r="O585" s="62" t="s">
        <v>1311</v>
      </c>
      <c r="P585" s="35" t="s">
        <v>4218</v>
      </c>
      <c r="Q585" s="62"/>
      <c r="R585" s="35"/>
      <c r="S585" s="33"/>
      <c r="T585" s="33"/>
      <c r="U585" s="21"/>
    </row>
    <row r="586" spans="2:21">
      <c r="B586" s="232"/>
      <c r="C586" s="232"/>
      <c r="D586" s="255"/>
      <c r="E586" s="255"/>
      <c r="F586" s="255"/>
      <c r="G586" s="255"/>
      <c r="H586" s="61"/>
      <c r="I586" s="61"/>
      <c r="J586" s="33"/>
      <c r="K586" s="56"/>
      <c r="L586" s="35"/>
      <c r="M586" s="53"/>
      <c r="N586" s="53"/>
      <c r="O586" s="62"/>
      <c r="P586" s="62"/>
      <c r="Q586" s="62"/>
      <c r="R586" s="35"/>
      <c r="S586" s="33"/>
      <c r="T586" s="33"/>
      <c r="U586" s="21"/>
    </row>
    <row r="587" spans="2:21">
      <c r="B587" s="232"/>
      <c r="C587" s="232"/>
      <c r="D587" s="255"/>
      <c r="E587" s="255"/>
      <c r="F587" s="255"/>
      <c r="G587" s="255"/>
      <c r="H587" s="61"/>
      <c r="I587" s="61"/>
      <c r="J587" s="33" t="s">
        <v>1305</v>
      </c>
      <c r="K587" s="56" t="s">
        <v>1301</v>
      </c>
      <c r="L587" s="35" t="s">
        <v>332</v>
      </c>
      <c r="M587" s="53" t="s">
        <v>349</v>
      </c>
      <c r="N587" s="53">
        <v>44277</v>
      </c>
      <c r="O587" s="62" t="s">
        <v>1312</v>
      </c>
      <c r="P587" s="62" t="s">
        <v>1300</v>
      </c>
      <c r="Q587" s="62"/>
      <c r="R587" s="35"/>
      <c r="S587" s="33"/>
      <c r="T587" s="33"/>
      <c r="U587" s="21"/>
    </row>
    <row r="588" spans="2:21">
      <c r="B588" s="232"/>
      <c r="C588" s="232"/>
      <c r="D588" s="255"/>
      <c r="E588" s="255"/>
      <c r="F588" s="255"/>
      <c r="G588" s="255"/>
      <c r="H588" s="61"/>
      <c r="I588" s="61"/>
      <c r="J588" s="33" t="s">
        <v>1305</v>
      </c>
      <c r="K588" s="56" t="s">
        <v>1440</v>
      </c>
      <c r="L588" s="35" t="s">
        <v>332</v>
      </c>
      <c r="M588" s="53" t="s">
        <v>349</v>
      </c>
      <c r="N588" s="53">
        <v>44298</v>
      </c>
      <c r="O588" s="62" t="s">
        <v>1312</v>
      </c>
      <c r="P588" s="35" t="s">
        <v>1439</v>
      </c>
      <c r="Q588" s="62"/>
      <c r="R588" s="35"/>
      <c r="S588" s="33"/>
      <c r="T588" s="33"/>
      <c r="U588" s="21"/>
    </row>
    <row r="589" spans="2:21">
      <c r="B589" s="232"/>
      <c r="C589" s="232"/>
      <c r="D589" s="255"/>
      <c r="E589" s="255"/>
      <c r="F589" s="255"/>
      <c r="G589" s="255"/>
      <c r="H589" s="61"/>
      <c r="I589" s="61"/>
      <c r="J589" s="33" t="s">
        <v>1305</v>
      </c>
      <c r="K589" s="56" t="s">
        <v>1769</v>
      </c>
      <c r="L589" s="35" t="s">
        <v>332</v>
      </c>
      <c r="M589" s="53" t="s">
        <v>349</v>
      </c>
      <c r="N589" s="53">
        <v>44356</v>
      </c>
      <c r="O589" s="62" t="s">
        <v>1312</v>
      </c>
      <c r="P589" s="35" t="s">
        <v>1768</v>
      </c>
      <c r="Q589" s="62"/>
      <c r="R589" s="35"/>
      <c r="S589" s="33"/>
      <c r="T589" s="33"/>
      <c r="U589" s="21"/>
    </row>
    <row r="590" spans="2:21">
      <c r="B590" s="232"/>
      <c r="C590" s="232"/>
      <c r="D590" s="255"/>
      <c r="E590" s="255"/>
      <c r="F590" s="255"/>
      <c r="G590" s="255"/>
      <c r="H590" s="61"/>
      <c r="I590" s="61"/>
      <c r="J590" s="33" t="s">
        <v>1305</v>
      </c>
      <c r="K590" s="56" t="s">
        <v>1830</v>
      </c>
      <c r="L590" s="35" t="s">
        <v>332</v>
      </c>
      <c r="M590" s="53" t="s">
        <v>349</v>
      </c>
      <c r="N590" s="53">
        <v>44371</v>
      </c>
      <c r="O590" s="62" t="s">
        <v>1312</v>
      </c>
      <c r="P590" s="35" t="s">
        <v>1831</v>
      </c>
      <c r="Q590" s="62"/>
      <c r="R590" s="35"/>
      <c r="S590" s="33"/>
      <c r="T590" s="33"/>
      <c r="U590" s="21"/>
    </row>
    <row r="591" spans="2:21">
      <c r="B591" s="232"/>
      <c r="C591" s="232"/>
      <c r="D591" s="255"/>
      <c r="E591" s="255"/>
      <c r="F591" s="255"/>
      <c r="G591" s="255"/>
      <c r="H591" s="61"/>
      <c r="I591" s="61"/>
      <c r="J591" s="33" t="s">
        <v>1305</v>
      </c>
      <c r="K591" s="56" t="s">
        <v>2300</v>
      </c>
      <c r="L591" s="35" t="s">
        <v>332</v>
      </c>
      <c r="M591" s="53" t="s">
        <v>349</v>
      </c>
      <c r="N591" s="53">
        <v>44473</v>
      </c>
      <c r="O591" s="62" t="s">
        <v>1312</v>
      </c>
      <c r="P591" s="35" t="s">
        <v>2297</v>
      </c>
      <c r="Q591" s="62"/>
      <c r="R591" s="35"/>
      <c r="S591" s="33"/>
      <c r="T591" s="33"/>
      <c r="U591" s="21"/>
    </row>
    <row r="592" spans="2:21">
      <c r="B592" s="232"/>
      <c r="C592" s="232"/>
      <c r="D592" s="255"/>
      <c r="E592" s="255"/>
      <c r="F592" s="255"/>
      <c r="G592" s="255"/>
      <c r="H592" s="61"/>
      <c r="I592" s="61"/>
      <c r="J592" s="33" t="s">
        <v>1305</v>
      </c>
      <c r="K592" s="56" t="s">
        <v>4070</v>
      </c>
      <c r="L592" s="35" t="s">
        <v>332</v>
      </c>
      <c r="M592" s="53" t="s">
        <v>349</v>
      </c>
      <c r="N592" s="53">
        <v>45219</v>
      </c>
      <c r="O592" s="62" t="s">
        <v>1312</v>
      </c>
      <c r="P592" s="35" t="s">
        <v>4068</v>
      </c>
      <c r="Q592" s="62"/>
      <c r="R592" s="35"/>
      <c r="S592" s="33"/>
      <c r="T592" s="33"/>
      <c r="U592" s="21"/>
    </row>
    <row r="593" spans="2:21">
      <c r="B593" s="232"/>
      <c r="C593" s="232"/>
      <c r="D593" s="255"/>
      <c r="E593" s="255"/>
      <c r="F593" s="255"/>
      <c r="G593" s="255"/>
      <c r="H593" s="61"/>
      <c r="I593" s="61"/>
      <c r="J593" s="33" t="s">
        <v>1305</v>
      </c>
      <c r="K593" s="56" t="s">
        <v>4220</v>
      </c>
      <c r="L593" s="35" t="s">
        <v>332</v>
      </c>
      <c r="M593" s="53" t="s">
        <v>349</v>
      </c>
      <c r="N593" s="53">
        <v>45320</v>
      </c>
      <c r="O593" s="62" t="s">
        <v>1312</v>
      </c>
      <c r="P593" s="35" t="s">
        <v>4218</v>
      </c>
      <c r="Q593" s="62"/>
      <c r="R593" s="35"/>
      <c r="S593" s="33"/>
      <c r="T593" s="33"/>
      <c r="U593" s="21"/>
    </row>
    <row r="594" spans="2:21">
      <c r="B594" s="232"/>
      <c r="C594" s="232"/>
      <c r="D594" s="255"/>
      <c r="E594" s="255"/>
      <c r="F594" s="255"/>
      <c r="G594" s="255"/>
      <c r="H594" s="61"/>
      <c r="I594" s="61"/>
      <c r="J594" s="33"/>
      <c r="K594" s="56"/>
      <c r="L594" s="35"/>
      <c r="M594" s="53"/>
      <c r="N594" s="53"/>
      <c r="O594" s="62"/>
      <c r="P594" s="62"/>
      <c r="Q594" s="62"/>
      <c r="R594" s="35"/>
      <c r="S594" s="33"/>
      <c r="T594" s="33"/>
      <c r="U594" s="21"/>
    </row>
    <row r="595" spans="2:21">
      <c r="B595" s="232"/>
      <c r="C595" s="232"/>
      <c r="D595" s="255"/>
      <c r="E595" s="255"/>
      <c r="F595" s="255"/>
      <c r="G595" s="255"/>
      <c r="H595" s="61"/>
      <c r="I595" s="61"/>
      <c r="J595" s="33" t="s">
        <v>1304</v>
      </c>
      <c r="K595" s="56" t="s">
        <v>1301</v>
      </c>
      <c r="L595" s="35" t="s">
        <v>332</v>
      </c>
      <c r="M595" s="53" t="s">
        <v>349</v>
      </c>
      <c r="N595" s="53">
        <v>44277</v>
      </c>
      <c r="O595" s="62" t="s">
        <v>1313</v>
      </c>
      <c r="P595" s="62" t="s">
        <v>1300</v>
      </c>
      <c r="Q595" s="62"/>
      <c r="R595" s="35"/>
      <c r="S595" s="33"/>
      <c r="T595" s="33"/>
      <c r="U595" s="21"/>
    </row>
    <row r="596" spans="2:21">
      <c r="B596" s="232"/>
      <c r="C596" s="232"/>
      <c r="D596" s="255"/>
      <c r="E596" s="255"/>
      <c r="F596" s="255"/>
      <c r="G596" s="255"/>
      <c r="H596" s="61"/>
      <c r="I596" s="61"/>
      <c r="J596" s="33" t="s">
        <v>1304</v>
      </c>
      <c r="K596" s="56" t="s">
        <v>1446</v>
      </c>
      <c r="L596" s="35" t="s">
        <v>332</v>
      </c>
      <c r="M596" s="53" t="s">
        <v>349</v>
      </c>
      <c r="N596" s="53">
        <v>44298</v>
      </c>
      <c r="O596" s="62" t="s">
        <v>1313</v>
      </c>
      <c r="P596" s="35" t="s">
        <v>1439</v>
      </c>
      <c r="Q596" s="62"/>
      <c r="R596" s="35"/>
      <c r="S596" s="33"/>
      <c r="T596" s="33"/>
      <c r="U596" s="21"/>
    </row>
    <row r="597" spans="2:21">
      <c r="B597" s="232"/>
      <c r="C597" s="232"/>
      <c r="D597" s="255"/>
      <c r="E597" s="255"/>
      <c r="F597" s="255"/>
      <c r="G597" s="255"/>
      <c r="H597" s="61"/>
      <c r="I597" s="61"/>
      <c r="J597" s="33" t="s">
        <v>1304</v>
      </c>
      <c r="K597" s="56" t="s">
        <v>1443</v>
      </c>
      <c r="L597" s="35" t="s">
        <v>332</v>
      </c>
      <c r="M597" s="53" t="s">
        <v>349</v>
      </c>
      <c r="N597" s="53">
        <v>44306</v>
      </c>
      <c r="O597" s="62" t="s">
        <v>1313</v>
      </c>
      <c r="P597" s="35" t="s">
        <v>1444</v>
      </c>
      <c r="Q597" s="62"/>
      <c r="R597" s="35"/>
      <c r="S597" s="33"/>
      <c r="T597" s="33"/>
      <c r="U597" s="21"/>
    </row>
    <row r="598" spans="2:21">
      <c r="B598" s="232"/>
      <c r="C598" s="232"/>
      <c r="D598" s="255"/>
      <c r="E598" s="255"/>
      <c r="F598" s="255"/>
      <c r="G598" s="255"/>
      <c r="H598" s="61"/>
      <c r="I598" s="61"/>
      <c r="J598" s="33" t="s">
        <v>1304</v>
      </c>
      <c r="K598" s="56" t="s">
        <v>1830</v>
      </c>
      <c r="L598" s="35" t="s">
        <v>332</v>
      </c>
      <c r="M598" s="53" t="s">
        <v>349</v>
      </c>
      <c r="N598" s="53">
        <v>44371</v>
      </c>
      <c r="O598" s="62" t="s">
        <v>1313</v>
      </c>
      <c r="P598" s="35" t="s">
        <v>1831</v>
      </c>
      <c r="Q598" s="62"/>
      <c r="R598" s="35"/>
      <c r="S598" s="33"/>
      <c r="T598" s="33"/>
      <c r="U598" s="21"/>
    </row>
    <row r="599" spans="2:21">
      <c r="B599" s="232"/>
      <c r="C599" s="232"/>
      <c r="D599" s="255"/>
      <c r="E599" s="255"/>
      <c r="F599" s="255"/>
      <c r="G599" s="255"/>
      <c r="H599" s="61"/>
      <c r="I599" s="61"/>
      <c r="J599" s="33" t="s">
        <v>1304</v>
      </c>
      <c r="K599" s="56" t="s">
        <v>2300</v>
      </c>
      <c r="L599" s="35" t="s">
        <v>332</v>
      </c>
      <c r="M599" s="53" t="s">
        <v>349</v>
      </c>
      <c r="N599" s="53">
        <v>44473</v>
      </c>
      <c r="O599" s="62" t="s">
        <v>1313</v>
      </c>
      <c r="P599" s="35" t="s">
        <v>2297</v>
      </c>
      <c r="Q599" s="62"/>
      <c r="R599" s="35"/>
      <c r="S599" s="33"/>
      <c r="T599" s="33"/>
      <c r="U599" s="21"/>
    </row>
    <row r="600" spans="2:21">
      <c r="B600" s="232"/>
      <c r="C600" s="232"/>
      <c r="D600" s="255"/>
      <c r="E600" s="255"/>
      <c r="F600" s="255"/>
      <c r="G600" s="255"/>
      <c r="H600" s="61"/>
      <c r="I600" s="61"/>
      <c r="J600" s="33" t="s">
        <v>1304</v>
      </c>
      <c r="K600" s="56" t="s">
        <v>4070</v>
      </c>
      <c r="L600" s="35" t="s">
        <v>332</v>
      </c>
      <c r="M600" s="53" t="s">
        <v>349</v>
      </c>
      <c r="N600" s="53">
        <v>45219</v>
      </c>
      <c r="O600" s="62" t="s">
        <v>1313</v>
      </c>
      <c r="P600" s="35" t="s">
        <v>4068</v>
      </c>
      <c r="Q600" s="62"/>
      <c r="R600" s="35"/>
      <c r="S600" s="33"/>
      <c r="T600" s="33"/>
      <c r="U600" s="21"/>
    </row>
    <row r="601" spans="2:21">
      <c r="B601" s="232"/>
      <c r="C601" s="232"/>
      <c r="D601" s="255"/>
      <c r="E601" s="255"/>
      <c r="F601" s="255"/>
      <c r="G601" s="255"/>
      <c r="H601" s="61"/>
      <c r="I601" s="61"/>
      <c r="J601" s="33" t="s">
        <v>1304</v>
      </c>
      <c r="K601" s="56" t="s">
        <v>4220</v>
      </c>
      <c r="L601" s="35" t="s">
        <v>332</v>
      </c>
      <c r="M601" s="53" t="s">
        <v>349</v>
      </c>
      <c r="N601" s="53">
        <v>45320</v>
      </c>
      <c r="O601" s="62" t="s">
        <v>1313</v>
      </c>
      <c r="P601" s="35" t="s">
        <v>4218</v>
      </c>
      <c r="Q601" s="62"/>
      <c r="R601" s="35"/>
      <c r="S601" s="33"/>
      <c r="T601" s="33"/>
      <c r="U601" s="21"/>
    </row>
    <row r="602" spans="2:21">
      <c r="B602" s="232"/>
      <c r="C602" s="232"/>
      <c r="D602" s="255"/>
      <c r="E602" s="255"/>
      <c r="F602" s="255"/>
      <c r="G602" s="255"/>
      <c r="H602" s="61"/>
      <c r="I602" s="61"/>
      <c r="J602" s="33"/>
      <c r="K602" s="56"/>
      <c r="L602" s="35"/>
      <c r="M602" s="53"/>
      <c r="N602" s="53"/>
      <c r="O602" s="62"/>
      <c r="P602" s="62"/>
      <c r="Q602" s="62"/>
      <c r="R602" s="35"/>
      <c r="S602" s="33"/>
      <c r="T602" s="33"/>
      <c r="U602" s="21"/>
    </row>
    <row r="603" spans="2:21">
      <c r="B603" s="232"/>
      <c r="C603" s="232"/>
      <c r="D603" s="255"/>
      <c r="E603" s="255"/>
      <c r="F603" s="255"/>
      <c r="G603" s="255"/>
      <c r="H603" s="61"/>
      <c r="I603" s="61"/>
      <c r="J603" s="33" t="s">
        <v>1303</v>
      </c>
      <c r="K603" s="56" t="s">
        <v>1301</v>
      </c>
      <c r="L603" s="35" t="s">
        <v>332</v>
      </c>
      <c r="M603" s="53" t="s">
        <v>349</v>
      </c>
      <c r="N603" s="53">
        <v>44277</v>
      </c>
      <c r="O603" s="62" t="s">
        <v>1314</v>
      </c>
      <c r="P603" s="62" t="s">
        <v>1300</v>
      </c>
      <c r="Q603" s="62"/>
      <c r="R603" s="35"/>
      <c r="S603" s="33"/>
      <c r="T603" s="33"/>
      <c r="U603" s="21"/>
    </row>
    <row r="604" spans="2:21">
      <c r="B604" s="232"/>
      <c r="C604" s="232"/>
      <c r="D604" s="255"/>
      <c r="E604" s="255"/>
      <c r="F604" s="255"/>
      <c r="G604" s="255"/>
      <c r="H604" s="61"/>
      <c r="I604" s="61"/>
      <c r="J604" s="33" t="s">
        <v>1303</v>
      </c>
      <c r="K604" s="56" t="s">
        <v>1446</v>
      </c>
      <c r="L604" s="35" t="s">
        <v>332</v>
      </c>
      <c r="M604" s="53" t="s">
        <v>349</v>
      </c>
      <c r="N604" s="53">
        <v>44298</v>
      </c>
      <c r="O604" s="62" t="s">
        <v>1314</v>
      </c>
      <c r="P604" s="35" t="s">
        <v>1439</v>
      </c>
      <c r="Q604" s="62"/>
      <c r="R604" s="35"/>
      <c r="S604" s="33"/>
      <c r="T604" s="33"/>
      <c r="U604" s="21"/>
    </row>
    <row r="605" spans="2:21">
      <c r="B605" s="232"/>
      <c r="C605" s="232"/>
      <c r="D605" s="255"/>
      <c r="E605" s="255"/>
      <c r="F605" s="255"/>
      <c r="G605" s="255"/>
      <c r="H605" s="61"/>
      <c r="I605" s="61"/>
      <c r="J605" s="33" t="s">
        <v>1303</v>
      </c>
      <c r="K605" s="56" t="s">
        <v>1443</v>
      </c>
      <c r="L605" s="35" t="s">
        <v>332</v>
      </c>
      <c r="M605" s="53" t="s">
        <v>349</v>
      </c>
      <c r="N605" s="53">
        <v>44306</v>
      </c>
      <c r="O605" s="62" t="s">
        <v>1314</v>
      </c>
      <c r="P605" s="35" t="s">
        <v>1444</v>
      </c>
      <c r="Q605" s="62"/>
      <c r="R605" s="35"/>
      <c r="S605" s="33"/>
      <c r="T605" s="33"/>
      <c r="U605" s="21"/>
    </row>
    <row r="606" spans="2:21">
      <c r="B606" s="232"/>
      <c r="C606" s="232"/>
      <c r="D606" s="255"/>
      <c r="E606" s="255"/>
      <c r="F606" s="255"/>
      <c r="G606" s="255"/>
      <c r="H606" s="61"/>
      <c r="I606" s="61"/>
      <c r="J606" s="33" t="s">
        <v>1303</v>
      </c>
      <c r="K606" s="56" t="s">
        <v>1830</v>
      </c>
      <c r="L606" s="35" t="s">
        <v>332</v>
      </c>
      <c r="M606" s="53" t="s">
        <v>349</v>
      </c>
      <c r="N606" s="53">
        <v>44371</v>
      </c>
      <c r="O606" s="62" t="s">
        <v>1314</v>
      </c>
      <c r="P606" s="35" t="s">
        <v>1831</v>
      </c>
      <c r="Q606" s="62"/>
      <c r="R606" s="35"/>
      <c r="S606" s="33"/>
      <c r="T606" s="33"/>
      <c r="U606" s="21"/>
    </row>
    <row r="607" spans="2:21">
      <c r="B607" s="232"/>
      <c r="C607" s="232"/>
      <c r="D607" s="255"/>
      <c r="E607" s="255"/>
      <c r="F607" s="255"/>
      <c r="G607" s="255"/>
      <c r="H607" s="61"/>
      <c r="I607" s="61"/>
      <c r="J607" s="33" t="s">
        <v>1303</v>
      </c>
      <c r="K607" s="56" t="s">
        <v>2300</v>
      </c>
      <c r="L607" s="35" t="s">
        <v>332</v>
      </c>
      <c r="M607" s="53" t="s">
        <v>349</v>
      </c>
      <c r="N607" s="53">
        <v>44473</v>
      </c>
      <c r="O607" s="62" t="s">
        <v>1314</v>
      </c>
      <c r="P607" s="35" t="s">
        <v>2297</v>
      </c>
      <c r="Q607" s="62"/>
      <c r="R607" s="35"/>
      <c r="S607" s="33"/>
      <c r="T607" s="33"/>
      <c r="U607" s="21"/>
    </row>
    <row r="608" spans="2:21">
      <c r="B608" s="232"/>
      <c r="C608" s="232"/>
      <c r="D608" s="255"/>
      <c r="E608" s="255"/>
      <c r="F608" s="255"/>
      <c r="G608" s="255"/>
      <c r="H608" s="61"/>
      <c r="I608" s="61"/>
      <c r="J608" s="33" t="s">
        <v>1303</v>
      </c>
      <c r="K608" s="56" t="s">
        <v>3542</v>
      </c>
      <c r="L608" s="35" t="s">
        <v>332</v>
      </c>
      <c r="M608" s="53" t="s">
        <v>349</v>
      </c>
      <c r="N608" s="53">
        <v>44972</v>
      </c>
      <c r="O608" s="62" t="s">
        <v>1314</v>
      </c>
      <c r="P608" s="35" t="s">
        <v>3532</v>
      </c>
      <c r="Q608" s="62"/>
      <c r="R608" s="35"/>
      <c r="S608" s="33"/>
      <c r="T608" s="33"/>
      <c r="U608" s="21"/>
    </row>
    <row r="609" spans="2:21">
      <c r="B609" s="232"/>
      <c r="C609" s="232"/>
      <c r="D609" s="255"/>
      <c r="E609" s="255"/>
      <c r="F609" s="255"/>
      <c r="G609" s="255"/>
      <c r="H609" s="61"/>
      <c r="I609" s="61"/>
      <c r="J609" s="33" t="s">
        <v>1303</v>
      </c>
      <c r="K609" s="56" t="s">
        <v>4070</v>
      </c>
      <c r="L609" s="35" t="s">
        <v>332</v>
      </c>
      <c r="M609" s="53" t="s">
        <v>349</v>
      </c>
      <c r="N609" s="53">
        <v>45219</v>
      </c>
      <c r="O609" s="62" t="s">
        <v>1314</v>
      </c>
      <c r="P609" s="35" t="s">
        <v>4068</v>
      </c>
      <c r="Q609" s="62"/>
      <c r="R609" s="35"/>
      <c r="S609" s="33"/>
      <c r="T609" s="33"/>
      <c r="U609" s="21"/>
    </row>
    <row r="610" spans="2:21">
      <c r="B610" s="232"/>
      <c r="C610" s="232"/>
      <c r="D610" s="255"/>
      <c r="E610" s="255"/>
      <c r="F610" s="255"/>
      <c r="G610" s="255"/>
      <c r="H610" s="61"/>
      <c r="I610" s="61"/>
      <c r="J610" s="33" t="s">
        <v>1303</v>
      </c>
      <c r="K610" s="56" t="s">
        <v>4220</v>
      </c>
      <c r="L610" s="35" t="s">
        <v>332</v>
      </c>
      <c r="M610" s="53" t="s">
        <v>349</v>
      </c>
      <c r="N610" s="53">
        <v>45320</v>
      </c>
      <c r="O610" s="62" t="s">
        <v>1314</v>
      </c>
      <c r="P610" s="35" t="s">
        <v>4218</v>
      </c>
      <c r="Q610" s="62"/>
      <c r="R610" s="35"/>
      <c r="S610" s="33"/>
      <c r="T610" s="33"/>
      <c r="U610" s="21"/>
    </row>
    <row r="611" spans="2:21">
      <c r="B611" s="232"/>
      <c r="C611" s="232"/>
      <c r="D611" s="255"/>
      <c r="E611" s="255"/>
      <c r="F611" s="255"/>
      <c r="G611" s="255"/>
      <c r="H611" s="61"/>
      <c r="I611" s="61"/>
      <c r="J611" s="33"/>
      <c r="K611" s="56"/>
      <c r="L611" s="35"/>
      <c r="M611" s="53"/>
      <c r="N611" s="53"/>
      <c r="O611" s="62"/>
      <c r="P611" s="62"/>
      <c r="Q611" s="62"/>
      <c r="R611" s="35"/>
      <c r="S611" s="33"/>
      <c r="T611" s="33"/>
      <c r="U611" s="21"/>
    </row>
    <row r="612" spans="2:21">
      <c r="B612" s="232"/>
      <c r="C612" s="232"/>
      <c r="D612" s="255"/>
      <c r="E612" s="255"/>
      <c r="F612" s="255"/>
      <c r="G612" s="255"/>
      <c r="H612" s="61"/>
      <c r="I612" s="61"/>
      <c r="J612" s="33" t="s">
        <v>1302</v>
      </c>
      <c r="K612" s="56" t="s">
        <v>1301</v>
      </c>
      <c r="L612" s="35" t="s">
        <v>332</v>
      </c>
      <c r="M612" s="53" t="s">
        <v>349</v>
      </c>
      <c r="N612" s="53">
        <v>44277</v>
      </c>
      <c r="O612" s="62" t="s">
        <v>1315</v>
      </c>
      <c r="P612" s="62" t="s">
        <v>1300</v>
      </c>
      <c r="Q612" s="62"/>
      <c r="R612" s="35"/>
      <c r="S612" s="33"/>
      <c r="T612" s="33"/>
      <c r="U612" s="21"/>
    </row>
    <row r="613" spans="2:21">
      <c r="B613" s="232"/>
      <c r="C613" s="232"/>
      <c r="D613" s="255"/>
      <c r="E613" s="255"/>
      <c r="F613" s="255"/>
      <c r="G613" s="255"/>
      <c r="H613" s="61"/>
      <c r="I613" s="61"/>
      <c r="J613" s="33" t="s">
        <v>1302</v>
      </c>
      <c r="K613" s="56" t="s">
        <v>1446</v>
      </c>
      <c r="L613" s="35" t="s">
        <v>332</v>
      </c>
      <c r="M613" s="53" t="s">
        <v>349</v>
      </c>
      <c r="N613" s="53">
        <v>44298</v>
      </c>
      <c r="O613" s="62" t="s">
        <v>1315</v>
      </c>
      <c r="P613" s="35" t="s">
        <v>1439</v>
      </c>
      <c r="Q613" s="62"/>
      <c r="R613" s="35"/>
      <c r="S613" s="33"/>
      <c r="T613" s="33"/>
      <c r="U613" s="21"/>
    </row>
    <row r="614" spans="2:21">
      <c r="B614" s="232"/>
      <c r="C614" s="232"/>
      <c r="D614" s="255"/>
      <c r="E614" s="255"/>
      <c r="F614" s="255"/>
      <c r="G614" s="255"/>
      <c r="H614" s="61"/>
      <c r="I614" s="61"/>
      <c r="J614" s="33" t="s">
        <v>1302</v>
      </c>
      <c r="K614" s="56" t="s">
        <v>1769</v>
      </c>
      <c r="L614" s="35" t="s">
        <v>332</v>
      </c>
      <c r="M614" s="53" t="s">
        <v>349</v>
      </c>
      <c r="N614" s="53">
        <v>44356</v>
      </c>
      <c r="O614" s="62" t="s">
        <v>1315</v>
      </c>
      <c r="P614" s="35" t="s">
        <v>1768</v>
      </c>
      <c r="Q614" s="62"/>
      <c r="R614" s="35"/>
      <c r="S614" s="33"/>
      <c r="T614" s="33"/>
      <c r="U614" s="21"/>
    </row>
    <row r="615" spans="2:21">
      <c r="B615" s="232"/>
      <c r="C615" s="232"/>
      <c r="D615" s="255"/>
      <c r="E615" s="255"/>
      <c r="F615" s="255"/>
      <c r="G615" s="255"/>
      <c r="H615" s="61"/>
      <c r="I615" s="61"/>
      <c r="J615" s="33" t="s">
        <v>1302</v>
      </c>
      <c r="K615" s="56" t="s">
        <v>1830</v>
      </c>
      <c r="L615" s="35" t="s">
        <v>332</v>
      </c>
      <c r="M615" s="53" t="s">
        <v>349</v>
      </c>
      <c r="N615" s="53">
        <v>44371</v>
      </c>
      <c r="O615" s="62" t="s">
        <v>1315</v>
      </c>
      <c r="P615" s="35" t="s">
        <v>1831</v>
      </c>
      <c r="Q615" s="62"/>
      <c r="R615" s="35"/>
      <c r="S615" s="33"/>
      <c r="T615" s="33"/>
      <c r="U615" s="21"/>
    </row>
    <row r="616" spans="2:21">
      <c r="B616" s="232"/>
      <c r="C616" s="232"/>
      <c r="D616" s="255"/>
      <c r="E616" s="255"/>
      <c r="F616" s="255"/>
      <c r="G616" s="255"/>
      <c r="H616" s="61"/>
      <c r="I616" s="61"/>
      <c r="J616" s="33" t="s">
        <v>1302</v>
      </c>
      <c r="K616" s="56" t="s">
        <v>2061</v>
      </c>
      <c r="L616" s="35" t="s">
        <v>332</v>
      </c>
      <c r="M616" s="53" t="s">
        <v>349</v>
      </c>
      <c r="N616" s="53">
        <v>44404</v>
      </c>
      <c r="O616" s="62" t="s">
        <v>1315</v>
      </c>
      <c r="P616" s="35" t="s">
        <v>2062</v>
      </c>
      <c r="Q616" s="62"/>
      <c r="R616" s="35"/>
      <c r="S616" s="33"/>
      <c r="T616" s="33"/>
      <c r="U616" s="21"/>
    </row>
    <row r="617" spans="2:21">
      <c r="B617" s="232"/>
      <c r="C617" s="232"/>
      <c r="D617" s="255"/>
      <c r="E617" s="255"/>
      <c r="F617" s="255"/>
      <c r="G617" s="255"/>
      <c r="H617" s="61"/>
      <c r="I617" s="61"/>
      <c r="J617" s="33" t="s">
        <v>1302</v>
      </c>
      <c r="K617" s="56" t="s">
        <v>2300</v>
      </c>
      <c r="L617" s="35" t="s">
        <v>332</v>
      </c>
      <c r="M617" s="53" t="s">
        <v>349</v>
      </c>
      <c r="N617" s="53">
        <v>44473</v>
      </c>
      <c r="O617" s="62" t="s">
        <v>1315</v>
      </c>
      <c r="P617" s="35" t="s">
        <v>2297</v>
      </c>
      <c r="Q617" s="62"/>
      <c r="R617" s="35"/>
      <c r="S617" s="33"/>
      <c r="T617" s="33"/>
      <c r="U617" s="21"/>
    </row>
    <row r="618" spans="2:21">
      <c r="B618" s="232"/>
      <c r="C618" s="232"/>
      <c r="D618" s="255"/>
      <c r="E618" s="255"/>
      <c r="F618" s="255"/>
      <c r="G618" s="255"/>
      <c r="H618" s="61"/>
      <c r="I618" s="61"/>
      <c r="J618" s="33" t="s">
        <v>1302</v>
      </c>
      <c r="K618" s="56" t="s">
        <v>4070</v>
      </c>
      <c r="L618" s="35" t="s">
        <v>332</v>
      </c>
      <c r="M618" s="53" t="s">
        <v>349</v>
      </c>
      <c r="N618" s="53">
        <v>45219</v>
      </c>
      <c r="O618" s="62" t="s">
        <v>1315</v>
      </c>
      <c r="P618" s="35" t="s">
        <v>4068</v>
      </c>
      <c r="Q618" s="62"/>
      <c r="R618" s="35"/>
      <c r="S618" s="33"/>
      <c r="T618" s="33"/>
      <c r="U618" s="21"/>
    </row>
    <row r="619" spans="2:21">
      <c r="B619" s="232"/>
      <c r="C619" s="232"/>
      <c r="D619" s="255"/>
      <c r="E619" s="255"/>
      <c r="F619" s="255"/>
      <c r="G619" s="255"/>
      <c r="H619" s="61"/>
      <c r="I619" s="61"/>
      <c r="J619" s="33" t="s">
        <v>1302</v>
      </c>
      <c r="K619" s="56" t="s">
        <v>4220</v>
      </c>
      <c r="L619" s="35" t="s">
        <v>332</v>
      </c>
      <c r="M619" s="53" t="s">
        <v>349</v>
      </c>
      <c r="N619" s="53">
        <v>45320</v>
      </c>
      <c r="O619" s="62" t="s">
        <v>1315</v>
      </c>
      <c r="P619" s="35" t="s">
        <v>4218</v>
      </c>
      <c r="Q619" s="62"/>
      <c r="R619" s="35"/>
      <c r="S619" s="33"/>
      <c r="T619" s="33"/>
      <c r="U619" s="21"/>
    </row>
    <row r="620" spans="2:21">
      <c r="B620" s="232"/>
      <c r="C620" s="232"/>
      <c r="D620" s="255"/>
      <c r="E620" s="255"/>
      <c r="F620" s="255"/>
      <c r="G620" s="255"/>
      <c r="H620" s="21"/>
      <c r="I620" s="21"/>
      <c r="J620" s="33"/>
      <c r="K620" s="35"/>
      <c r="L620" s="35"/>
      <c r="M620" s="53"/>
      <c r="N620" s="53"/>
      <c r="O620" s="35"/>
      <c r="P620" s="35"/>
      <c r="Q620" s="35"/>
      <c r="R620" s="35"/>
      <c r="S620" s="33"/>
      <c r="T620" s="33"/>
      <c r="U620" s="21"/>
    </row>
    <row r="621" spans="2:21">
      <c r="B621" s="232"/>
      <c r="C621" s="232"/>
      <c r="D621" s="255"/>
      <c r="E621" s="255"/>
      <c r="F621" s="21" t="s">
        <v>29</v>
      </c>
      <c r="G621" s="256" t="s">
        <v>178</v>
      </c>
      <c r="H621" s="257"/>
      <c r="I621" s="257"/>
      <c r="J621" s="257"/>
      <c r="K621" s="257"/>
      <c r="L621" s="257"/>
      <c r="M621" s="257"/>
      <c r="N621" s="257"/>
      <c r="O621" s="257"/>
      <c r="P621" s="257"/>
      <c r="Q621" s="258"/>
      <c r="R621" s="39"/>
      <c r="S621" s="21"/>
      <c r="T621" s="21"/>
      <c r="U621" s="21"/>
    </row>
    <row r="622" spans="2:21">
      <c r="B622" s="232"/>
      <c r="C622" s="232"/>
      <c r="D622" s="255"/>
      <c r="E622" s="255"/>
      <c r="F622" s="255"/>
      <c r="G622" s="255"/>
      <c r="H622" s="21" t="s">
        <v>176</v>
      </c>
      <c r="I622" s="21"/>
      <c r="J622" s="33" t="s">
        <v>80</v>
      </c>
      <c r="K622" s="56" t="s">
        <v>512</v>
      </c>
      <c r="L622" s="35" t="s">
        <v>333</v>
      </c>
      <c r="M622" s="53">
        <v>44104</v>
      </c>
      <c r="N622" s="53">
        <v>44165</v>
      </c>
      <c r="O622" s="35" t="s">
        <v>596</v>
      </c>
      <c r="P622" s="35" t="s">
        <v>584</v>
      </c>
      <c r="Q622" s="35"/>
      <c r="R622" s="35"/>
      <c r="S622" s="33"/>
      <c r="T622" s="33"/>
      <c r="U622" s="21"/>
    </row>
    <row r="623" spans="2:21">
      <c r="B623" s="232"/>
      <c r="C623" s="232"/>
      <c r="D623" s="255"/>
      <c r="E623" s="255"/>
      <c r="F623" s="255"/>
      <c r="G623" s="255"/>
      <c r="H623" s="21"/>
      <c r="I623" s="21"/>
      <c r="J623" s="33"/>
      <c r="K623" s="35"/>
      <c r="L623" s="35"/>
      <c r="M623" s="53"/>
      <c r="N623" s="53"/>
      <c r="O623" s="35"/>
      <c r="P623" s="35"/>
      <c r="Q623" s="35"/>
      <c r="R623" s="35"/>
      <c r="S623" s="33"/>
      <c r="T623" s="33"/>
      <c r="U623" s="21"/>
    </row>
    <row r="624" spans="2:21">
      <c r="B624" s="232"/>
      <c r="C624" s="232"/>
      <c r="D624" s="255"/>
      <c r="E624" s="255"/>
      <c r="F624" s="255"/>
      <c r="G624" s="255"/>
      <c r="H624" s="21"/>
      <c r="I624" s="21"/>
      <c r="J624" s="33"/>
      <c r="K624" s="35"/>
      <c r="L624" s="35"/>
      <c r="M624" s="53"/>
      <c r="N624" s="53"/>
      <c r="O624" s="35"/>
      <c r="P624" s="35"/>
      <c r="Q624" s="35"/>
      <c r="R624" s="35"/>
      <c r="S624" s="33"/>
      <c r="T624" s="33"/>
      <c r="U624" s="21"/>
    </row>
    <row r="625" spans="2:21">
      <c r="B625" s="232"/>
      <c r="C625" s="232"/>
      <c r="D625" s="255"/>
      <c r="E625" s="255"/>
      <c r="F625" s="255"/>
      <c r="G625" s="255"/>
      <c r="H625" s="21" t="s">
        <v>177</v>
      </c>
      <c r="I625" s="21"/>
      <c r="J625" s="33" t="s">
        <v>713</v>
      </c>
      <c r="K625" s="53" t="s">
        <v>349</v>
      </c>
      <c r="L625" s="35" t="s">
        <v>333</v>
      </c>
      <c r="M625" s="53">
        <v>44104</v>
      </c>
      <c r="N625" s="53" t="s">
        <v>349</v>
      </c>
      <c r="O625" s="53" t="s">
        <v>349</v>
      </c>
      <c r="P625" s="53" t="s">
        <v>349</v>
      </c>
      <c r="Q625" s="35"/>
      <c r="R625" s="35"/>
      <c r="S625" s="33"/>
      <c r="T625" s="33"/>
      <c r="U625" s="21"/>
    </row>
    <row r="626" spans="2:21">
      <c r="B626" s="232"/>
      <c r="C626" s="232"/>
      <c r="D626" s="255"/>
      <c r="E626" s="255"/>
      <c r="F626" s="255"/>
      <c r="G626" s="255"/>
      <c r="H626" s="21"/>
      <c r="I626" s="21"/>
      <c r="J626" s="33" t="s">
        <v>713</v>
      </c>
      <c r="K626" s="56" t="s">
        <v>512</v>
      </c>
      <c r="L626" s="35" t="s">
        <v>332</v>
      </c>
      <c r="M626" s="53">
        <v>44104</v>
      </c>
      <c r="N626" s="53">
        <v>44168</v>
      </c>
      <c r="O626" s="35" t="s">
        <v>714</v>
      </c>
      <c r="P626" s="35" t="s">
        <v>715</v>
      </c>
      <c r="Q626" s="35"/>
      <c r="R626" s="35"/>
      <c r="S626" s="33"/>
      <c r="T626" s="33"/>
      <c r="U626" s="21"/>
    </row>
    <row r="627" spans="2:21">
      <c r="B627" s="232"/>
      <c r="C627" s="232"/>
      <c r="D627" s="255"/>
      <c r="E627" s="255"/>
      <c r="F627" s="255"/>
      <c r="G627" s="255"/>
      <c r="H627" s="21"/>
      <c r="I627" s="21"/>
      <c r="J627" s="33" t="s">
        <v>713</v>
      </c>
      <c r="K627" s="56" t="s">
        <v>1440</v>
      </c>
      <c r="L627" s="35" t="s">
        <v>332</v>
      </c>
      <c r="M627" s="53" t="s">
        <v>349</v>
      </c>
      <c r="N627" s="53">
        <v>44298</v>
      </c>
      <c r="O627" s="35" t="s">
        <v>714</v>
      </c>
      <c r="P627" s="35" t="s">
        <v>1439</v>
      </c>
      <c r="Q627" s="35"/>
      <c r="R627" s="35"/>
      <c r="S627" s="33"/>
      <c r="T627" s="33"/>
      <c r="U627" s="21"/>
    </row>
    <row r="628" spans="2:21">
      <c r="B628" s="232"/>
      <c r="C628" s="232"/>
      <c r="D628" s="255"/>
      <c r="E628" s="255"/>
      <c r="F628" s="255"/>
      <c r="G628" s="255"/>
      <c r="H628" s="21"/>
      <c r="I628" s="21"/>
      <c r="J628" s="33" t="s">
        <v>713</v>
      </c>
      <c r="K628" s="56" t="s">
        <v>1769</v>
      </c>
      <c r="L628" s="35" t="s">
        <v>332</v>
      </c>
      <c r="M628" s="53" t="s">
        <v>349</v>
      </c>
      <c r="N628" s="53">
        <v>44356</v>
      </c>
      <c r="O628" s="35" t="s">
        <v>714</v>
      </c>
      <c r="P628" s="35" t="s">
        <v>1768</v>
      </c>
      <c r="Q628" s="35"/>
      <c r="R628" s="35"/>
      <c r="S628" s="33"/>
      <c r="T628" s="33"/>
      <c r="U628" s="21"/>
    </row>
    <row r="629" spans="2:21">
      <c r="B629" s="232"/>
      <c r="C629" s="232"/>
      <c r="D629" s="255"/>
      <c r="E629" s="255"/>
      <c r="F629" s="255"/>
      <c r="G629" s="255"/>
      <c r="H629" s="21"/>
      <c r="I629" s="21"/>
      <c r="J629" s="33" t="s">
        <v>713</v>
      </c>
      <c r="K629" s="56" t="s">
        <v>1830</v>
      </c>
      <c r="L629" s="35" t="s">
        <v>332</v>
      </c>
      <c r="M629" s="53" t="s">
        <v>349</v>
      </c>
      <c r="N629" s="53">
        <v>44371</v>
      </c>
      <c r="O629" s="35" t="s">
        <v>714</v>
      </c>
      <c r="P629" s="35" t="s">
        <v>1831</v>
      </c>
      <c r="Q629" s="35"/>
      <c r="R629" s="35"/>
      <c r="S629" s="33"/>
      <c r="T629" s="33"/>
      <c r="U629" s="21"/>
    </row>
    <row r="630" spans="2:21">
      <c r="B630" s="232"/>
      <c r="C630" s="232"/>
      <c r="D630" s="255"/>
      <c r="E630" s="255"/>
      <c r="F630" s="255"/>
      <c r="G630" s="255"/>
      <c r="H630" s="21"/>
      <c r="I630" s="21"/>
      <c r="J630" s="33" t="s">
        <v>713</v>
      </c>
      <c r="K630" s="56" t="s">
        <v>2000</v>
      </c>
      <c r="L630" s="35" t="s">
        <v>332</v>
      </c>
      <c r="M630" s="53" t="s">
        <v>349</v>
      </c>
      <c r="N630" s="53">
        <v>44390</v>
      </c>
      <c r="O630" s="35" t="s">
        <v>714</v>
      </c>
      <c r="P630" s="35" t="s">
        <v>1999</v>
      </c>
      <c r="Q630" s="35"/>
      <c r="R630" s="35"/>
      <c r="S630" s="33"/>
      <c r="T630" s="33"/>
      <c r="U630" s="21"/>
    </row>
    <row r="631" spans="2:21">
      <c r="B631" s="232"/>
      <c r="C631" s="232"/>
      <c r="D631" s="255"/>
      <c r="E631" s="255"/>
      <c r="F631" s="255"/>
      <c r="G631" s="255"/>
      <c r="H631" s="21"/>
      <c r="I631" s="21"/>
      <c r="J631" s="33" t="s">
        <v>713</v>
      </c>
      <c r="K631" s="56" t="s">
        <v>2300</v>
      </c>
      <c r="L631" s="35" t="s">
        <v>332</v>
      </c>
      <c r="M631" s="53" t="s">
        <v>349</v>
      </c>
      <c r="N631" s="53">
        <v>44473</v>
      </c>
      <c r="O631" s="35" t="s">
        <v>714</v>
      </c>
      <c r="P631" s="35" t="s">
        <v>2297</v>
      </c>
      <c r="Q631" s="35"/>
      <c r="R631" s="35"/>
      <c r="S631" s="33"/>
      <c r="T631" s="33"/>
      <c r="U631" s="21"/>
    </row>
    <row r="632" spans="2:21">
      <c r="B632" s="232"/>
      <c r="C632" s="232"/>
      <c r="D632" s="255"/>
      <c r="E632" s="255"/>
      <c r="F632" s="255"/>
      <c r="G632" s="255"/>
      <c r="H632" s="21"/>
      <c r="I632" s="21"/>
      <c r="J632" s="33" t="s">
        <v>713</v>
      </c>
      <c r="K632" s="56" t="s">
        <v>3989</v>
      </c>
      <c r="L632" s="35" t="s">
        <v>332</v>
      </c>
      <c r="M632" s="53" t="s">
        <v>349</v>
      </c>
      <c r="N632" s="53">
        <v>45219</v>
      </c>
      <c r="O632" s="35" t="s">
        <v>714</v>
      </c>
      <c r="P632" s="35" t="s">
        <v>4068</v>
      </c>
      <c r="Q632" s="35"/>
      <c r="R632" s="35"/>
      <c r="S632" s="33"/>
      <c r="T632" s="33"/>
      <c r="U632" s="21"/>
    </row>
    <row r="633" spans="2:21">
      <c r="B633" s="232"/>
      <c r="C633" s="232"/>
      <c r="D633" s="255"/>
      <c r="E633" s="255"/>
      <c r="F633" s="255"/>
      <c r="G633" s="255"/>
      <c r="H633" s="21"/>
      <c r="I633" s="21"/>
      <c r="J633" s="33" t="s">
        <v>713</v>
      </c>
      <c r="K633" s="56" t="s">
        <v>4220</v>
      </c>
      <c r="L633" s="35" t="s">
        <v>332</v>
      </c>
      <c r="M633" s="53" t="s">
        <v>349</v>
      </c>
      <c r="N633" s="53">
        <v>45320</v>
      </c>
      <c r="O633" s="35" t="s">
        <v>714</v>
      </c>
      <c r="P633" s="35" t="s">
        <v>4218</v>
      </c>
      <c r="Q633" s="35"/>
      <c r="R633" s="35"/>
      <c r="S633" s="33"/>
      <c r="T633" s="33"/>
      <c r="U633" s="21"/>
    </row>
    <row r="634" spans="2:21">
      <c r="B634" s="232"/>
      <c r="C634" s="232"/>
      <c r="D634" s="255"/>
      <c r="E634" s="255"/>
      <c r="F634" s="255"/>
      <c r="G634" s="255"/>
      <c r="H634" s="21"/>
      <c r="I634" s="21"/>
      <c r="J634" s="33"/>
      <c r="K634" s="56"/>
      <c r="L634" s="35"/>
      <c r="M634" s="53"/>
      <c r="N634" s="53"/>
      <c r="O634" s="35"/>
      <c r="P634" s="35"/>
      <c r="Q634" s="35"/>
      <c r="R634" s="35"/>
      <c r="S634" s="33"/>
      <c r="T634" s="33"/>
      <c r="U634" s="21"/>
    </row>
    <row r="635" spans="2:21">
      <c r="B635" s="232"/>
      <c r="C635" s="232"/>
      <c r="D635" s="255"/>
      <c r="E635" s="255"/>
      <c r="F635" s="255"/>
      <c r="G635" s="255"/>
      <c r="H635" s="21" t="s">
        <v>181</v>
      </c>
      <c r="I635" s="21"/>
      <c r="J635" s="33" t="s">
        <v>1310</v>
      </c>
      <c r="K635" s="56"/>
      <c r="L635" s="35" t="s">
        <v>332</v>
      </c>
      <c r="M635" s="53">
        <v>44104</v>
      </c>
      <c r="N635" s="53">
        <v>44181</v>
      </c>
      <c r="O635" s="62" t="s">
        <v>824</v>
      </c>
      <c r="P635" s="62" t="s">
        <v>852</v>
      </c>
      <c r="Q635" s="35"/>
      <c r="R635" s="35"/>
      <c r="S635" s="33"/>
      <c r="T635" s="33"/>
      <c r="U635" s="21"/>
    </row>
    <row r="636" spans="2:21">
      <c r="B636" s="232"/>
      <c r="C636" s="232"/>
      <c r="D636" s="255"/>
      <c r="E636" s="255"/>
      <c r="F636" s="255"/>
      <c r="G636" s="255"/>
      <c r="H636" s="21"/>
      <c r="I636" s="21"/>
      <c r="J636" s="33" t="s">
        <v>1310</v>
      </c>
      <c r="K636" s="56" t="s">
        <v>1301</v>
      </c>
      <c r="L636" s="35" t="s">
        <v>332</v>
      </c>
      <c r="M636" s="53" t="s">
        <v>349</v>
      </c>
      <c r="N636" s="53">
        <v>44277</v>
      </c>
      <c r="O636" s="62" t="s">
        <v>824</v>
      </c>
      <c r="P636" s="62" t="s">
        <v>1300</v>
      </c>
      <c r="Q636" s="35"/>
      <c r="R636" s="35"/>
      <c r="S636" s="33"/>
      <c r="T636" s="33"/>
      <c r="U636" s="21"/>
    </row>
    <row r="637" spans="2:21">
      <c r="B637" s="232"/>
      <c r="C637" s="232"/>
      <c r="D637" s="255"/>
      <c r="E637" s="255"/>
      <c r="F637" s="255"/>
      <c r="G637" s="255"/>
      <c r="H637" s="21"/>
      <c r="I637" s="21"/>
      <c r="J637" s="33" t="s">
        <v>1310</v>
      </c>
      <c r="K637" s="56" t="s">
        <v>1440</v>
      </c>
      <c r="L637" s="35" t="s">
        <v>332</v>
      </c>
      <c r="M637" s="53" t="s">
        <v>349</v>
      </c>
      <c r="N637" s="53">
        <v>44298</v>
      </c>
      <c r="O637" s="62" t="s">
        <v>824</v>
      </c>
      <c r="P637" s="35" t="s">
        <v>1439</v>
      </c>
      <c r="Q637" s="35"/>
      <c r="R637" s="35"/>
      <c r="S637" s="33"/>
      <c r="T637" s="33"/>
      <c r="U637" s="21"/>
    </row>
    <row r="638" spans="2:21">
      <c r="B638" s="232"/>
      <c r="C638" s="232"/>
      <c r="D638" s="255"/>
      <c r="E638" s="255"/>
      <c r="F638" s="255"/>
      <c r="G638" s="255"/>
      <c r="H638" s="21"/>
      <c r="I638" s="21"/>
      <c r="J638" s="33" t="s">
        <v>1310</v>
      </c>
      <c r="K638" s="56" t="s">
        <v>1443</v>
      </c>
      <c r="L638" s="35" t="s">
        <v>332</v>
      </c>
      <c r="M638" s="53" t="s">
        <v>349</v>
      </c>
      <c r="N638" s="53">
        <v>44306</v>
      </c>
      <c r="O638" s="62" t="s">
        <v>824</v>
      </c>
      <c r="P638" s="35" t="s">
        <v>1444</v>
      </c>
      <c r="Q638" s="35"/>
      <c r="R638" s="35"/>
      <c r="S638" s="33"/>
      <c r="T638" s="33"/>
      <c r="U638" s="21"/>
    </row>
    <row r="639" spans="2:21">
      <c r="B639" s="232"/>
      <c r="C639" s="232"/>
      <c r="D639" s="255"/>
      <c r="E639" s="255"/>
      <c r="F639" s="255"/>
      <c r="G639" s="255"/>
      <c r="H639" s="21"/>
      <c r="I639" s="21"/>
      <c r="J639" s="33" t="s">
        <v>1310</v>
      </c>
      <c r="K639" s="56" t="s">
        <v>1769</v>
      </c>
      <c r="L639" s="35" t="s">
        <v>332</v>
      </c>
      <c r="M639" s="53" t="s">
        <v>349</v>
      </c>
      <c r="N639" s="53">
        <v>44356</v>
      </c>
      <c r="O639" s="62" t="s">
        <v>824</v>
      </c>
      <c r="P639" s="35" t="s">
        <v>1768</v>
      </c>
      <c r="Q639" s="35"/>
      <c r="R639" s="35"/>
      <c r="S639" s="33"/>
      <c r="T639" s="33"/>
      <c r="U639" s="21"/>
    </row>
    <row r="640" spans="2:21">
      <c r="B640" s="232"/>
      <c r="C640" s="232"/>
      <c r="D640" s="255"/>
      <c r="E640" s="255"/>
      <c r="F640" s="255"/>
      <c r="G640" s="255"/>
      <c r="H640" s="21"/>
      <c r="I640" s="21"/>
      <c r="J640" s="33" t="s">
        <v>1310</v>
      </c>
      <c r="K640" s="56" t="s">
        <v>1830</v>
      </c>
      <c r="L640" s="35" t="s">
        <v>332</v>
      </c>
      <c r="M640" s="53" t="s">
        <v>349</v>
      </c>
      <c r="N640" s="53">
        <v>44371</v>
      </c>
      <c r="O640" s="62" t="s">
        <v>824</v>
      </c>
      <c r="P640" s="35" t="s">
        <v>1831</v>
      </c>
      <c r="Q640" s="35"/>
      <c r="R640" s="35"/>
      <c r="S640" s="33"/>
      <c r="T640" s="33"/>
      <c r="U640" s="21"/>
    </row>
    <row r="641" spans="2:21">
      <c r="B641" s="232"/>
      <c r="C641" s="232"/>
      <c r="D641" s="255"/>
      <c r="E641" s="255"/>
      <c r="F641" s="255"/>
      <c r="G641" s="255"/>
      <c r="H641" s="21"/>
      <c r="I641" s="21"/>
      <c r="J641" s="33" t="s">
        <v>1310</v>
      </c>
      <c r="K641" s="56" t="s">
        <v>2300</v>
      </c>
      <c r="L641" s="35" t="s">
        <v>332</v>
      </c>
      <c r="M641" s="53" t="s">
        <v>349</v>
      </c>
      <c r="N641" s="53">
        <v>44473</v>
      </c>
      <c r="O641" s="62" t="s">
        <v>824</v>
      </c>
      <c r="P641" s="35" t="s">
        <v>2297</v>
      </c>
      <c r="Q641" s="35"/>
      <c r="R641" s="35"/>
      <c r="S641" s="33"/>
      <c r="T641" s="33"/>
      <c r="U641" s="21"/>
    </row>
    <row r="642" spans="2:21">
      <c r="B642" s="232"/>
      <c r="C642" s="232"/>
      <c r="D642" s="255"/>
      <c r="E642" s="255"/>
      <c r="F642" s="255"/>
      <c r="G642" s="255"/>
      <c r="H642" s="21"/>
      <c r="I642" s="21"/>
      <c r="J642" s="33" t="s">
        <v>1310</v>
      </c>
      <c r="K642" s="56" t="s">
        <v>4070</v>
      </c>
      <c r="L642" s="35" t="s">
        <v>332</v>
      </c>
      <c r="M642" s="53" t="s">
        <v>349</v>
      </c>
      <c r="N642" s="53">
        <v>45219</v>
      </c>
      <c r="O642" s="62" t="s">
        <v>824</v>
      </c>
      <c r="P642" s="35" t="s">
        <v>4068</v>
      </c>
      <c r="Q642" s="35"/>
      <c r="R642" s="35"/>
      <c r="S642" s="33"/>
      <c r="T642" s="33"/>
      <c r="U642" s="21"/>
    </row>
    <row r="643" spans="2:21">
      <c r="B643" s="232"/>
      <c r="C643" s="232"/>
      <c r="D643" s="255"/>
      <c r="E643" s="255"/>
      <c r="F643" s="255"/>
      <c r="G643" s="255"/>
      <c r="H643" s="21"/>
      <c r="I643" s="21"/>
      <c r="J643" s="33" t="s">
        <v>1310</v>
      </c>
      <c r="K643" s="56" t="s">
        <v>4220</v>
      </c>
      <c r="L643" s="35" t="s">
        <v>332</v>
      </c>
      <c r="M643" s="53" t="s">
        <v>349</v>
      </c>
      <c r="N643" s="53">
        <v>45320</v>
      </c>
      <c r="O643" s="62" t="s">
        <v>824</v>
      </c>
      <c r="P643" s="35" t="s">
        <v>4218</v>
      </c>
      <c r="Q643" s="35"/>
      <c r="R643" s="35"/>
      <c r="S643" s="33"/>
      <c r="T643" s="33"/>
      <c r="U643" s="21"/>
    </row>
    <row r="644" spans="2:21">
      <c r="B644" s="232"/>
      <c r="C644" s="232"/>
      <c r="D644" s="255"/>
      <c r="E644" s="255"/>
      <c r="F644" s="255"/>
      <c r="G644" s="255"/>
      <c r="H644" s="21"/>
      <c r="I644" s="21"/>
      <c r="J644" s="33"/>
      <c r="K644" s="56"/>
      <c r="L644" s="35"/>
      <c r="M644" s="53"/>
      <c r="N644" s="53"/>
      <c r="O644" s="62"/>
      <c r="P644" s="62"/>
      <c r="Q644" s="35"/>
      <c r="R644" s="35"/>
      <c r="S644" s="33"/>
      <c r="T644" s="33"/>
      <c r="U644" s="21"/>
    </row>
    <row r="645" spans="2:21">
      <c r="B645" s="232"/>
      <c r="C645" s="232"/>
      <c r="D645" s="255"/>
      <c r="E645" s="255"/>
      <c r="F645" s="255"/>
      <c r="G645" s="255"/>
      <c r="H645" s="21"/>
      <c r="I645" s="21"/>
      <c r="J645" s="33" t="s">
        <v>1308</v>
      </c>
      <c r="K645" s="56"/>
      <c r="L645" s="35" t="s">
        <v>332</v>
      </c>
      <c r="M645" s="53">
        <v>44104</v>
      </c>
      <c r="N645" s="53">
        <v>44181</v>
      </c>
      <c r="O645" s="62" t="s">
        <v>826</v>
      </c>
      <c r="P645" s="62" t="s">
        <v>852</v>
      </c>
      <c r="Q645" s="35"/>
      <c r="R645" s="35"/>
      <c r="S645" s="33"/>
      <c r="T645" s="33"/>
      <c r="U645" s="21"/>
    </row>
    <row r="646" spans="2:21">
      <c r="B646" s="232"/>
      <c r="C646" s="232"/>
      <c r="D646" s="255"/>
      <c r="E646" s="255"/>
      <c r="F646" s="255"/>
      <c r="G646" s="255"/>
      <c r="H646" s="21"/>
      <c r="I646" s="21"/>
      <c r="J646" s="33" t="s">
        <v>1308</v>
      </c>
      <c r="K646" s="56" t="s">
        <v>1301</v>
      </c>
      <c r="L646" s="35" t="s">
        <v>332</v>
      </c>
      <c r="M646" s="53" t="s">
        <v>349</v>
      </c>
      <c r="N646" s="53">
        <v>44277</v>
      </c>
      <c r="O646" s="62" t="s">
        <v>826</v>
      </c>
      <c r="P646" s="62" t="s">
        <v>1300</v>
      </c>
      <c r="Q646" s="35"/>
      <c r="R646" s="35"/>
      <c r="S646" s="33"/>
      <c r="T646" s="33"/>
      <c r="U646" s="21"/>
    </row>
    <row r="647" spans="2:21">
      <c r="B647" s="232"/>
      <c r="C647" s="232"/>
      <c r="D647" s="255"/>
      <c r="E647" s="255"/>
      <c r="F647" s="255"/>
      <c r="G647" s="255"/>
      <c r="H647" s="21"/>
      <c r="I647" s="21"/>
      <c r="J647" s="33" t="s">
        <v>1308</v>
      </c>
      <c r="K647" s="56" t="s">
        <v>1446</v>
      </c>
      <c r="L647" s="35" t="s">
        <v>332</v>
      </c>
      <c r="M647" s="53" t="s">
        <v>349</v>
      </c>
      <c r="N647" s="53">
        <v>44298</v>
      </c>
      <c r="O647" s="62" t="s">
        <v>826</v>
      </c>
      <c r="P647" s="35" t="s">
        <v>1439</v>
      </c>
      <c r="Q647" s="35"/>
      <c r="R647" s="35"/>
      <c r="S647" s="33"/>
      <c r="T647" s="33"/>
      <c r="U647" s="21"/>
    </row>
    <row r="648" spans="2:21">
      <c r="B648" s="232"/>
      <c r="C648" s="232"/>
      <c r="D648" s="255"/>
      <c r="E648" s="255"/>
      <c r="F648" s="255"/>
      <c r="G648" s="255"/>
      <c r="H648" s="21"/>
      <c r="I648" s="21"/>
      <c r="J648" s="33" t="s">
        <v>1308</v>
      </c>
      <c r="K648" s="56" t="s">
        <v>1443</v>
      </c>
      <c r="L648" s="35" t="s">
        <v>332</v>
      </c>
      <c r="M648" s="53" t="s">
        <v>349</v>
      </c>
      <c r="N648" s="53">
        <v>44306</v>
      </c>
      <c r="O648" s="62" t="s">
        <v>826</v>
      </c>
      <c r="P648" s="35" t="s">
        <v>1444</v>
      </c>
      <c r="Q648" s="35"/>
      <c r="R648" s="35"/>
      <c r="S648" s="33"/>
      <c r="T648" s="33"/>
      <c r="U648" s="21"/>
    </row>
    <row r="649" spans="2:21">
      <c r="B649" s="232"/>
      <c r="C649" s="232"/>
      <c r="D649" s="255"/>
      <c r="E649" s="255"/>
      <c r="F649" s="255"/>
      <c r="G649" s="255"/>
      <c r="H649" s="21"/>
      <c r="I649" s="21"/>
      <c r="J649" s="33" t="s">
        <v>1308</v>
      </c>
      <c r="K649" s="56" t="s">
        <v>1769</v>
      </c>
      <c r="L649" s="35" t="s">
        <v>332</v>
      </c>
      <c r="M649" s="53" t="s">
        <v>349</v>
      </c>
      <c r="N649" s="53">
        <v>44356</v>
      </c>
      <c r="O649" s="62" t="s">
        <v>826</v>
      </c>
      <c r="P649" s="35" t="s">
        <v>1768</v>
      </c>
      <c r="Q649" s="35"/>
      <c r="R649" s="35"/>
      <c r="S649" s="33"/>
      <c r="T649" s="33"/>
      <c r="U649" s="21"/>
    </row>
    <row r="650" spans="2:21">
      <c r="B650" s="232"/>
      <c r="C650" s="232"/>
      <c r="D650" s="255"/>
      <c r="E650" s="255"/>
      <c r="F650" s="255"/>
      <c r="G650" s="255"/>
      <c r="H650" s="21"/>
      <c r="I650" s="21"/>
      <c r="J650" s="33" t="s">
        <v>1308</v>
      </c>
      <c r="K650" s="56" t="s">
        <v>1830</v>
      </c>
      <c r="L650" s="35" t="s">
        <v>332</v>
      </c>
      <c r="M650" s="53" t="s">
        <v>349</v>
      </c>
      <c r="N650" s="53">
        <v>44371</v>
      </c>
      <c r="O650" s="62" t="s">
        <v>826</v>
      </c>
      <c r="P650" s="35" t="s">
        <v>1831</v>
      </c>
      <c r="Q650" s="35"/>
      <c r="R650" s="35"/>
      <c r="S650" s="33"/>
      <c r="T650" s="33"/>
      <c r="U650" s="21"/>
    </row>
    <row r="651" spans="2:21">
      <c r="B651" s="232"/>
      <c r="C651" s="232"/>
      <c r="D651" s="255"/>
      <c r="E651" s="255"/>
      <c r="F651" s="255"/>
      <c r="G651" s="255"/>
      <c r="H651" s="21"/>
      <c r="I651" s="21"/>
      <c r="J651" s="33" t="s">
        <v>1308</v>
      </c>
      <c r="K651" s="56" t="s">
        <v>2300</v>
      </c>
      <c r="L651" s="35" t="s">
        <v>332</v>
      </c>
      <c r="M651" s="53" t="s">
        <v>349</v>
      </c>
      <c r="N651" s="53">
        <v>44473</v>
      </c>
      <c r="O651" s="62" t="s">
        <v>826</v>
      </c>
      <c r="P651" s="35" t="s">
        <v>2297</v>
      </c>
      <c r="Q651" s="35"/>
      <c r="R651" s="35"/>
      <c r="S651" s="33"/>
      <c r="T651" s="33"/>
      <c r="U651" s="21"/>
    </row>
    <row r="652" spans="2:21">
      <c r="B652" s="232"/>
      <c r="C652" s="232"/>
      <c r="D652" s="255"/>
      <c r="E652" s="255"/>
      <c r="F652" s="255"/>
      <c r="G652" s="255"/>
      <c r="H652" s="21"/>
      <c r="I652" s="21"/>
      <c r="J652" s="33" t="s">
        <v>1308</v>
      </c>
      <c r="K652" s="56" t="s">
        <v>4070</v>
      </c>
      <c r="L652" s="35" t="s">
        <v>332</v>
      </c>
      <c r="M652" s="53" t="s">
        <v>349</v>
      </c>
      <c r="N652" s="53">
        <v>45219</v>
      </c>
      <c r="O652" s="62" t="s">
        <v>826</v>
      </c>
      <c r="P652" s="35" t="s">
        <v>4068</v>
      </c>
      <c r="Q652" s="35"/>
      <c r="R652" s="35"/>
      <c r="S652" s="33"/>
      <c r="T652" s="33"/>
      <c r="U652" s="21"/>
    </row>
    <row r="653" spans="2:21">
      <c r="B653" s="232"/>
      <c r="C653" s="232"/>
      <c r="D653" s="255"/>
      <c r="E653" s="255"/>
      <c r="F653" s="255"/>
      <c r="G653" s="255"/>
      <c r="H653" s="21"/>
      <c r="I653" s="21"/>
      <c r="J653" s="33" t="s">
        <v>1308</v>
      </c>
      <c r="K653" s="56" t="s">
        <v>4220</v>
      </c>
      <c r="L653" s="35" t="s">
        <v>332</v>
      </c>
      <c r="M653" s="53" t="s">
        <v>349</v>
      </c>
      <c r="N653" s="53">
        <v>45320</v>
      </c>
      <c r="O653" s="62" t="s">
        <v>826</v>
      </c>
      <c r="P653" s="35" t="s">
        <v>4218</v>
      </c>
      <c r="Q653" s="35"/>
      <c r="R653" s="35"/>
      <c r="S653" s="33"/>
      <c r="T653" s="33"/>
      <c r="U653" s="21"/>
    </row>
    <row r="654" spans="2:21">
      <c r="B654" s="232"/>
      <c r="C654" s="232"/>
      <c r="D654" s="255"/>
      <c r="E654" s="255"/>
      <c r="F654" s="255"/>
      <c r="G654" s="255"/>
      <c r="H654" s="21"/>
      <c r="I654" s="21"/>
      <c r="J654" s="33"/>
      <c r="K654" s="56"/>
      <c r="L654" s="35"/>
      <c r="M654" s="53"/>
      <c r="N654" s="53"/>
      <c r="O654" s="62"/>
      <c r="P654" s="62"/>
      <c r="Q654" s="35"/>
      <c r="R654" s="35"/>
      <c r="S654" s="33"/>
      <c r="T654" s="33"/>
      <c r="U654" s="21"/>
    </row>
    <row r="655" spans="2:21">
      <c r="B655" s="232"/>
      <c r="C655" s="232"/>
      <c r="D655" s="255"/>
      <c r="E655" s="255"/>
      <c r="F655" s="255"/>
      <c r="G655" s="255"/>
      <c r="H655" s="21"/>
      <c r="I655" s="21"/>
      <c r="J655" s="33" t="s">
        <v>1309</v>
      </c>
      <c r="K655" s="56"/>
      <c r="L655" s="35" t="s">
        <v>332</v>
      </c>
      <c r="M655" s="53">
        <v>44104</v>
      </c>
      <c r="N655" s="53">
        <v>44181</v>
      </c>
      <c r="O655" s="62" t="s">
        <v>828</v>
      </c>
      <c r="P655" s="62" t="s">
        <v>852</v>
      </c>
      <c r="Q655" s="35"/>
      <c r="R655" s="35"/>
      <c r="S655" s="33"/>
      <c r="T655" s="33"/>
      <c r="U655" s="21"/>
    </row>
    <row r="656" spans="2:21">
      <c r="B656" s="232"/>
      <c r="C656" s="232"/>
      <c r="D656" s="255"/>
      <c r="E656" s="255"/>
      <c r="F656" s="255"/>
      <c r="G656" s="255"/>
      <c r="H656" s="21"/>
      <c r="I656" s="21"/>
      <c r="J656" s="33" t="s">
        <v>1309</v>
      </c>
      <c r="K656" s="56" t="s">
        <v>1301</v>
      </c>
      <c r="L656" s="35" t="s">
        <v>332</v>
      </c>
      <c r="M656" s="53" t="s">
        <v>349</v>
      </c>
      <c r="N656" s="53">
        <v>44277</v>
      </c>
      <c r="O656" s="62" t="s">
        <v>828</v>
      </c>
      <c r="P656" s="62" t="s">
        <v>1300</v>
      </c>
      <c r="Q656" s="35"/>
      <c r="R656" s="35"/>
      <c r="S656" s="33"/>
      <c r="T656" s="33"/>
      <c r="U656" s="21"/>
    </row>
    <row r="657" spans="2:21">
      <c r="B657" s="232"/>
      <c r="C657" s="232"/>
      <c r="D657" s="255"/>
      <c r="E657" s="255"/>
      <c r="F657" s="255"/>
      <c r="G657" s="255"/>
      <c r="H657" s="21"/>
      <c r="I657" s="21"/>
      <c r="J657" s="33" t="s">
        <v>1309</v>
      </c>
      <c r="K657" s="56" t="s">
        <v>1446</v>
      </c>
      <c r="L657" s="35" t="s">
        <v>332</v>
      </c>
      <c r="M657" s="53" t="s">
        <v>349</v>
      </c>
      <c r="N657" s="53">
        <v>44298</v>
      </c>
      <c r="O657" s="62" t="s">
        <v>828</v>
      </c>
      <c r="P657" s="35" t="s">
        <v>1439</v>
      </c>
      <c r="Q657" s="35"/>
      <c r="R657" s="35"/>
      <c r="S657" s="33"/>
      <c r="T657" s="33"/>
      <c r="U657" s="21"/>
    </row>
    <row r="658" spans="2:21">
      <c r="B658" s="232"/>
      <c r="C658" s="232"/>
      <c r="D658" s="255"/>
      <c r="E658" s="255"/>
      <c r="F658" s="255"/>
      <c r="G658" s="255"/>
      <c r="H658" s="21"/>
      <c r="I658" s="21"/>
      <c r="J658" s="33" t="s">
        <v>1309</v>
      </c>
      <c r="K658" s="56" t="s">
        <v>1830</v>
      </c>
      <c r="L658" s="35" t="s">
        <v>332</v>
      </c>
      <c r="M658" s="53" t="s">
        <v>349</v>
      </c>
      <c r="N658" s="53">
        <v>44371</v>
      </c>
      <c r="O658" s="62" t="s">
        <v>828</v>
      </c>
      <c r="P658" s="35" t="s">
        <v>1831</v>
      </c>
      <c r="Q658" s="35"/>
      <c r="R658" s="35"/>
      <c r="S658" s="33"/>
      <c r="T658" s="33"/>
      <c r="U658" s="21"/>
    </row>
    <row r="659" spans="2:21">
      <c r="B659" s="232"/>
      <c r="C659" s="232"/>
      <c r="D659" s="255"/>
      <c r="E659" s="255"/>
      <c r="F659" s="255"/>
      <c r="G659" s="255"/>
      <c r="H659" s="21"/>
      <c r="I659" s="21"/>
      <c r="J659" s="33" t="s">
        <v>1309</v>
      </c>
      <c r="K659" s="56" t="s">
        <v>2300</v>
      </c>
      <c r="L659" s="35" t="s">
        <v>332</v>
      </c>
      <c r="M659" s="53" t="s">
        <v>349</v>
      </c>
      <c r="N659" s="53">
        <v>44473</v>
      </c>
      <c r="O659" s="62" t="s">
        <v>828</v>
      </c>
      <c r="P659" s="35" t="s">
        <v>2297</v>
      </c>
      <c r="Q659" s="35"/>
      <c r="R659" s="35"/>
      <c r="S659" s="33"/>
      <c r="T659" s="33"/>
      <c r="U659" s="21"/>
    </row>
    <row r="660" spans="2:21">
      <c r="B660" s="232"/>
      <c r="C660" s="232"/>
      <c r="D660" s="255"/>
      <c r="E660" s="255"/>
      <c r="F660" s="255"/>
      <c r="G660" s="255"/>
      <c r="H660" s="21"/>
      <c r="I660" s="21"/>
      <c r="J660" s="33" t="s">
        <v>1309</v>
      </c>
      <c r="K660" s="56" t="s">
        <v>4070</v>
      </c>
      <c r="L660" s="35" t="s">
        <v>332</v>
      </c>
      <c r="M660" s="53" t="s">
        <v>349</v>
      </c>
      <c r="N660" s="53">
        <v>45219</v>
      </c>
      <c r="O660" s="62" t="s">
        <v>828</v>
      </c>
      <c r="P660" s="35" t="s">
        <v>4068</v>
      </c>
      <c r="Q660" s="35"/>
      <c r="R660" s="35"/>
      <c r="S660" s="33"/>
      <c r="T660" s="33"/>
      <c r="U660" s="21"/>
    </row>
    <row r="661" spans="2:21">
      <c r="B661" s="232"/>
      <c r="C661" s="232"/>
      <c r="D661" s="255"/>
      <c r="E661" s="255"/>
      <c r="F661" s="255"/>
      <c r="G661" s="255"/>
      <c r="H661" s="21"/>
      <c r="I661" s="21"/>
      <c r="J661" s="33" t="s">
        <v>1309</v>
      </c>
      <c r="K661" s="56" t="s">
        <v>4220</v>
      </c>
      <c r="L661" s="35" t="s">
        <v>332</v>
      </c>
      <c r="M661" s="53" t="s">
        <v>349</v>
      </c>
      <c r="N661" s="53">
        <v>45320</v>
      </c>
      <c r="O661" s="62" t="s">
        <v>828</v>
      </c>
      <c r="P661" s="35" t="s">
        <v>4218</v>
      </c>
      <c r="Q661" s="35"/>
      <c r="R661" s="35"/>
      <c r="S661" s="33"/>
      <c r="T661" s="33"/>
      <c r="U661" s="21"/>
    </row>
    <row r="662" spans="2:21">
      <c r="B662" s="232"/>
      <c r="C662" s="232"/>
      <c r="D662" s="255"/>
      <c r="E662" s="255"/>
      <c r="F662" s="255"/>
      <c r="G662" s="255"/>
      <c r="H662" s="21"/>
      <c r="I662" s="21"/>
      <c r="J662" s="33"/>
      <c r="K662" s="56"/>
      <c r="L662" s="35"/>
      <c r="M662" s="53"/>
      <c r="N662" s="53"/>
      <c r="O662" s="62"/>
      <c r="P662" s="62"/>
      <c r="Q662" s="35"/>
      <c r="R662" s="35"/>
      <c r="S662" s="33"/>
      <c r="T662" s="33"/>
      <c r="U662" s="21"/>
    </row>
    <row r="663" spans="2:21">
      <c r="B663" s="232"/>
      <c r="C663" s="232"/>
      <c r="D663" s="255"/>
      <c r="E663" s="255"/>
      <c r="F663" s="255"/>
      <c r="G663" s="255"/>
      <c r="H663" s="21"/>
      <c r="I663" s="21"/>
      <c r="J663" s="33" t="s">
        <v>1307</v>
      </c>
      <c r="K663" s="56"/>
      <c r="L663" s="35" t="s">
        <v>332</v>
      </c>
      <c r="M663" s="53">
        <v>44104</v>
      </c>
      <c r="N663" s="53">
        <v>44181</v>
      </c>
      <c r="O663" s="62" t="s">
        <v>830</v>
      </c>
      <c r="P663" s="62" t="s">
        <v>852</v>
      </c>
      <c r="Q663" s="35"/>
      <c r="R663" s="35"/>
      <c r="S663" s="33"/>
      <c r="T663" s="33"/>
      <c r="U663" s="21"/>
    </row>
    <row r="664" spans="2:21">
      <c r="B664" s="232"/>
      <c r="C664" s="232"/>
      <c r="D664" s="255"/>
      <c r="E664" s="255"/>
      <c r="F664" s="255"/>
      <c r="G664" s="255"/>
      <c r="H664" s="21"/>
      <c r="I664" s="21"/>
      <c r="J664" s="33" t="s">
        <v>1307</v>
      </c>
      <c r="K664" s="56" t="s">
        <v>1301</v>
      </c>
      <c r="L664" s="35" t="s">
        <v>332</v>
      </c>
      <c r="M664" s="53" t="s">
        <v>349</v>
      </c>
      <c r="N664" s="53">
        <v>44277</v>
      </c>
      <c r="O664" s="62" t="s">
        <v>830</v>
      </c>
      <c r="P664" s="62" t="s">
        <v>1300</v>
      </c>
      <c r="Q664" s="35"/>
      <c r="R664" s="35"/>
      <c r="S664" s="33"/>
      <c r="T664" s="33"/>
      <c r="U664" s="21"/>
    </row>
    <row r="665" spans="2:21">
      <c r="B665" s="232"/>
      <c r="C665" s="232"/>
      <c r="D665" s="255"/>
      <c r="E665" s="255"/>
      <c r="F665" s="255"/>
      <c r="G665" s="255"/>
      <c r="H665" s="21"/>
      <c r="I665" s="21"/>
      <c r="J665" s="33" t="s">
        <v>1307</v>
      </c>
      <c r="K665" s="56" t="s">
        <v>1446</v>
      </c>
      <c r="L665" s="35" t="s">
        <v>332</v>
      </c>
      <c r="M665" s="53" t="s">
        <v>349</v>
      </c>
      <c r="N665" s="53">
        <v>44298</v>
      </c>
      <c r="O665" s="62" t="s">
        <v>830</v>
      </c>
      <c r="P665" s="35" t="s">
        <v>1439</v>
      </c>
      <c r="Q665" s="35"/>
      <c r="R665" s="35"/>
      <c r="S665" s="33"/>
      <c r="T665" s="33"/>
      <c r="U665" s="21"/>
    </row>
    <row r="666" spans="2:21">
      <c r="B666" s="232"/>
      <c r="C666" s="232"/>
      <c r="D666" s="255"/>
      <c r="E666" s="255"/>
      <c r="F666" s="255"/>
      <c r="G666" s="255"/>
      <c r="H666" s="21"/>
      <c r="I666" s="21"/>
      <c r="J666" s="33" t="s">
        <v>1307</v>
      </c>
      <c r="K666" s="56" t="s">
        <v>1443</v>
      </c>
      <c r="L666" s="35" t="s">
        <v>332</v>
      </c>
      <c r="M666" s="53" t="s">
        <v>349</v>
      </c>
      <c r="N666" s="53">
        <v>44306</v>
      </c>
      <c r="O666" s="62" t="s">
        <v>830</v>
      </c>
      <c r="P666" s="35" t="s">
        <v>1444</v>
      </c>
      <c r="Q666" s="35"/>
      <c r="R666" s="35"/>
      <c r="S666" s="33"/>
      <c r="T666" s="33"/>
      <c r="U666" s="21"/>
    </row>
    <row r="667" spans="2:21">
      <c r="B667" s="232"/>
      <c r="C667" s="232"/>
      <c r="D667" s="255"/>
      <c r="E667" s="255"/>
      <c r="F667" s="255"/>
      <c r="G667" s="255"/>
      <c r="H667" s="21"/>
      <c r="I667" s="21"/>
      <c r="J667" s="33" t="s">
        <v>1307</v>
      </c>
      <c r="K667" s="56" t="s">
        <v>1830</v>
      </c>
      <c r="L667" s="35" t="s">
        <v>332</v>
      </c>
      <c r="M667" s="53" t="s">
        <v>349</v>
      </c>
      <c r="N667" s="53">
        <v>44371</v>
      </c>
      <c r="O667" s="62" t="s">
        <v>830</v>
      </c>
      <c r="P667" s="35" t="s">
        <v>1831</v>
      </c>
      <c r="Q667" s="35"/>
      <c r="R667" s="35"/>
      <c r="S667" s="33"/>
      <c r="T667" s="33"/>
      <c r="U667" s="21"/>
    </row>
    <row r="668" spans="2:21">
      <c r="B668" s="232"/>
      <c r="C668" s="232"/>
      <c r="D668" s="255"/>
      <c r="E668" s="255"/>
      <c r="F668" s="255"/>
      <c r="G668" s="255"/>
      <c r="H668" s="21"/>
      <c r="I668" s="21"/>
      <c r="J668" s="33" t="s">
        <v>1307</v>
      </c>
      <c r="K668" s="56" t="s">
        <v>2300</v>
      </c>
      <c r="L668" s="35" t="s">
        <v>332</v>
      </c>
      <c r="M668" s="53" t="s">
        <v>349</v>
      </c>
      <c r="N668" s="53">
        <v>44473</v>
      </c>
      <c r="O668" s="62" t="s">
        <v>830</v>
      </c>
      <c r="P668" s="35" t="s">
        <v>2297</v>
      </c>
      <c r="Q668" s="35"/>
      <c r="R668" s="35"/>
      <c r="S668" s="33"/>
      <c r="T668" s="33"/>
      <c r="U668" s="21"/>
    </row>
    <row r="669" spans="2:21">
      <c r="B669" s="232"/>
      <c r="C669" s="232"/>
      <c r="D669" s="255"/>
      <c r="E669" s="255"/>
      <c r="F669" s="255"/>
      <c r="G669" s="255"/>
      <c r="H669" s="21"/>
      <c r="I669" s="21"/>
      <c r="J669" s="33" t="s">
        <v>1307</v>
      </c>
      <c r="K669" s="56" t="s">
        <v>4070</v>
      </c>
      <c r="L669" s="35" t="s">
        <v>332</v>
      </c>
      <c r="M669" s="53" t="s">
        <v>349</v>
      </c>
      <c r="N669" s="53">
        <v>45219</v>
      </c>
      <c r="O669" s="62" t="s">
        <v>830</v>
      </c>
      <c r="P669" s="35" t="s">
        <v>4068</v>
      </c>
      <c r="Q669" s="35"/>
      <c r="R669" s="35"/>
      <c r="S669" s="33"/>
      <c r="T669" s="33"/>
      <c r="U669" s="21"/>
    </row>
    <row r="670" spans="2:21">
      <c r="B670" s="232"/>
      <c r="C670" s="232"/>
      <c r="D670" s="255"/>
      <c r="E670" s="255"/>
      <c r="F670" s="255"/>
      <c r="G670" s="255"/>
      <c r="H670" s="21"/>
      <c r="I670" s="21"/>
      <c r="J670" s="33" t="s">
        <v>1307</v>
      </c>
      <c r="K670" s="56" t="s">
        <v>4220</v>
      </c>
      <c r="L670" s="35" t="s">
        <v>332</v>
      </c>
      <c r="M670" s="53" t="s">
        <v>349</v>
      </c>
      <c r="N670" s="53">
        <v>45320</v>
      </c>
      <c r="O670" s="62" t="s">
        <v>830</v>
      </c>
      <c r="P670" s="35" t="s">
        <v>4218</v>
      </c>
      <c r="Q670" s="35"/>
      <c r="R670" s="35"/>
      <c r="S670" s="33"/>
      <c r="T670" s="33"/>
      <c r="U670" s="21"/>
    </row>
    <row r="671" spans="2:21">
      <c r="B671" s="232"/>
      <c r="C671" s="232"/>
      <c r="D671" s="255"/>
      <c r="E671" s="255"/>
      <c r="F671" s="255"/>
      <c r="G671" s="255"/>
      <c r="H671" s="21"/>
      <c r="I671" s="21"/>
      <c r="J671" s="33"/>
      <c r="K671" s="56"/>
      <c r="L671" s="35"/>
      <c r="M671" s="53"/>
      <c r="N671" s="53"/>
      <c r="O671" s="62"/>
      <c r="P671" s="62"/>
      <c r="Q671" s="35"/>
      <c r="R671" s="35"/>
      <c r="S671" s="33"/>
      <c r="T671" s="33"/>
      <c r="U671" s="21"/>
    </row>
    <row r="672" spans="2:21">
      <c r="B672" s="232"/>
      <c r="C672" s="232"/>
      <c r="D672" s="255"/>
      <c r="E672" s="255"/>
      <c r="F672" s="255"/>
      <c r="G672" s="255"/>
      <c r="H672" s="21"/>
      <c r="I672" s="21"/>
      <c r="J672" s="33" t="s">
        <v>1306</v>
      </c>
      <c r="K672" s="56" t="s">
        <v>1301</v>
      </c>
      <c r="L672" s="35" t="s">
        <v>332</v>
      </c>
      <c r="M672" s="53" t="s">
        <v>349</v>
      </c>
      <c r="N672" s="53">
        <v>44277</v>
      </c>
      <c r="O672" s="62" t="s">
        <v>1311</v>
      </c>
      <c r="P672" s="62" t="s">
        <v>1300</v>
      </c>
      <c r="Q672" s="35"/>
      <c r="R672" s="35"/>
      <c r="S672" s="33"/>
      <c r="T672" s="33"/>
      <c r="U672" s="21"/>
    </row>
    <row r="673" spans="2:21">
      <c r="B673" s="232"/>
      <c r="C673" s="232"/>
      <c r="D673" s="255"/>
      <c r="E673" s="255"/>
      <c r="F673" s="255"/>
      <c r="G673" s="255"/>
      <c r="H673" s="21"/>
      <c r="I673" s="21"/>
      <c r="J673" s="33" t="s">
        <v>1306</v>
      </c>
      <c r="K673" s="56" t="s">
        <v>1446</v>
      </c>
      <c r="L673" s="35" t="s">
        <v>332</v>
      </c>
      <c r="M673" s="53" t="s">
        <v>349</v>
      </c>
      <c r="N673" s="53">
        <v>44298</v>
      </c>
      <c r="O673" s="62" t="s">
        <v>1311</v>
      </c>
      <c r="P673" s="35" t="s">
        <v>1439</v>
      </c>
      <c r="Q673" s="35"/>
      <c r="R673" s="35"/>
      <c r="S673" s="33"/>
      <c r="T673" s="33"/>
      <c r="U673" s="21"/>
    </row>
    <row r="674" spans="2:21">
      <c r="B674" s="232"/>
      <c r="C674" s="232"/>
      <c r="D674" s="255"/>
      <c r="E674" s="255"/>
      <c r="F674" s="255"/>
      <c r="G674" s="255"/>
      <c r="H674" s="21"/>
      <c r="I674" s="21"/>
      <c r="J674" s="33" t="s">
        <v>1445</v>
      </c>
      <c r="K674" s="56" t="s">
        <v>1443</v>
      </c>
      <c r="L674" s="35" t="s">
        <v>332</v>
      </c>
      <c r="M674" s="53" t="s">
        <v>349</v>
      </c>
      <c r="N674" s="53">
        <v>44306</v>
      </c>
      <c r="O674" s="62" t="s">
        <v>1311</v>
      </c>
      <c r="P674" s="35" t="s">
        <v>1444</v>
      </c>
      <c r="Q674" s="35"/>
      <c r="R674" s="35"/>
      <c r="S674" s="33"/>
      <c r="T674" s="33"/>
      <c r="U674" s="21"/>
    </row>
    <row r="675" spans="2:21">
      <c r="B675" s="232"/>
      <c r="C675" s="232"/>
      <c r="D675" s="255"/>
      <c r="E675" s="255"/>
      <c r="F675" s="255"/>
      <c r="G675" s="255"/>
      <c r="H675" s="21"/>
      <c r="I675" s="21"/>
      <c r="J675" s="33" t="s">
        <v>1445</v>
      </c>
      <c r="K675" s="56" t="s">
        <v>1830</v>
      </c>
      <c r="L675" s="35" t="s">
        <v>332</v>
      </c>
      <c r="M675" s="53" t="s">
        <v>349</v>
      </c>
      <c r="N675" s="53">
        <v>44371</v>
      </c>
      <c r="O675" s="62" t="s">
        <v>1311</v>
      </c>
      <c r="P675" s="35" t="s">
        <v>1831</v>
      </c>
      <c r="Q675" s="35"/>
      <c r="R675" s="35"/>
      <c r="S675" s="33"/>
      <c r="T675" s="33"/>
      <c r="U675" s="21"/>
    </row>
    <row r="676" spans="2:21">
      <c r="B676" s="232"/>
      <c r="C676" s="232"/>
      <c r="D676" s="255"/>
      <c r="E676" s="255"/>
      <c r="F676" s="255"/>
      <c r="G676" s="255"/>
      <c r="H676" s="21"/>
      <c r="I676" s="21"/>
      <c r="J676" s="33" t="s">
        <v>1445</v>
      </c>
      <c r="K676" s="56" t="s">
        <v>2300</v>
      </c>
      <c r="L676" s="35" t="s">
        <v>332</v>
      </c>
      <c r="M676" s="53" t="s">
        <v>349</v>
      </c>
      <c r="N676" s="53">
        <v>44473</v>
      </c>
      <c r="O676" s="62" t="s">
        <v>1311</v>
      </c>
      <c r="P676" s="35" t="s">
        <v>2297</v>
      </c>
      <c r="Q676" s="35"/>
      <c r="R676" s="35"/>
      <c r="S676" s="33"/>
      <c r="T676" s="33"/>
      <c r="U676" s="21"/>
    </row>
    <row r="677" spans="2:21">
      <c r="B677" s="232"/>
      <c r="C677" s="232"/>
      <c r="D677" s="255"/>
      <c r="E677" s="255"/>
      <c r="F677" s="255"/>
      <c r="G677" s="255"/>
      <c r="H677" s="21"/>
      <c r="I677" s="21"/>
      <c r="J677" s="33" t="s">
        <v>4071</v>
      </c>
      <c r="K677" s="56" t="s">
        <v>4070</v>
      </c>
      <c r="L677" s="35" t="s">
        <v>332</v>
      </c>
      <c r="M677" s="53" t="s">
        <v>349</v>
      </c>
      <c r="N677" s="53">
        <v>45219</v>
      </c>
      <c r="O677" s="62" t="s">
        <v>1311</v>
      </c>
      <c r="P677" s="35" t="s">
        <v>4068</v>
      </c>
      <c r="Q677" s="35"/>
      <c r="R677" s="35"/>
      <c r="S677" s="33"/>
      <c r="T677" s="33"/>
      <c r="U677" s="21"/>
    </row>
    <row r="678" spans="2:21">
      <c r="B678" s="232"/>
      <c r="C678" s="232"/>
      <c r="D678" s="255"/>
      <c r="E678" s="255"/>
      <c r="F678" s="255"/>
      <c r="G678" s="255"/>
      <c r="H678" s="21"/>
      <c r="I678" s="21"/>
      <c r="J678" s="33" t="s">
        <v>4221</v>
      </c>
      <c r="K678" s="56" t="s">
        <v>4220</v>
      </c>
      <c r="L678" s="35" t="s">
        <v>332</v>
      </c>
      <c r="M678" s="53" t="s">
        <v>349</v>
      </c>
      <c r="N678" s="53">
        <v>45320</v>
      </c>
      <c r="O678" s="62" t="s">
        <v>1311</v>
      </c>
      <c r="P678" s="35" t="s">
        <v>4218</v>
      </c>
      <c r="Q678" s="35"/>
      <c r="R678" s="35"/>
      <c r="S678" s="33"/>
      <c r="T678" s="33"/>
      <c r="U678" s="21"/>
    </row>
    <row r="679" spans="2:21">
      <c r="B679" s="232"/>
      <c r="C679" s="232"/>
      <c r="D679" s="255"/>
      <c r="E679" s="255"/>
      <c r="F679" s="255"/>
      <c r="G679" s="255"/>
      <c r="H679" s="21"/>
      <c r="I679" s="21"/>
      <c r="J679" s="33"/>
      <c r="K679" s="56"/>
      <c r="L679" s="35"/>
      <c r="M679" s="53"/>
      <c r="N679" s="53"/>
      <c r="O679" s="62"/>
      <c r="P679" s="62"/>
      <c r="Q679" s="35"/>
      <c r="R679" s="35"/>
      <c r="S679" s="33"/>
      <c r="T679" s="33"/>
      <c r="U679" s="21"/>
    </row>
    <row r="680" spans="2:21">
      <c r="B680" s="232"/>
      <c r="C680" s="232"/>
      <c r="D680" s="255"/>
      <c r="E680" s="255"/>
      <c r="F680" s="255"/>
      <c r="G680" s="255"/>
      <c r="H680" s="21"/>
      <c r="I680" s="21"/>
      <c r="J680" s="33" t="s">
        <v>1305</v>
      </c>
      <c r="K680" s="56" t="s">
        <v>1301</v>
      </c>
      <c r="L680" s="35" t="s">
        <v>332</v>
      </c>
      <c r="M680" s="53" t="s">
        <v>349</v>
      </c>
      <c r="N680" s="53">
        <v>44277</v>
      </c>
      <c r="O680" s="62" t="s">
        <v>1312</v>
      </c>
      <c r="P680" s="62" t="s">
        <v>1300</v>
      </c>
      <c r="Q680" s="35"/>
      <c r="R680" s="35"/>
      <c r="S680" s="33"/>
      <c r="T680" s="33"/>
      <c r="U680" s="21"/>
    </row>
    <row r="681" spans="2:21">
      <c r="B681" s="232"/>
      <c r="C681" s="232"/>
      <c r="D681" s="255"/>
      <c r="E681" s="255"/>
      <c r="F681" s="255"/>
      <c r="G681" s="255"/>
      <c r="H681" s="21"/>
      <c r="I681" s="21"/>
      <c r="J681" s="33" t="s">
        <v>1305</v>
      </c>
      <c r="K681" s="56" t="s">
        <v>1440</v>
      </c>
      <c r="L681" s="35" t="s">
        <v>332</v>
      </c>
      <c r="M681" s="53" t="s">
        <v>349</v>
      </c>
      <c r="N681" s="53">
        <v>44298</v>
      </c>
      <c r="O681" s="62" t="s">
        <v>1312</v>
      </c>
      <c r="P681" s="35" t="s">
        <v>1439</v>
      </c>
      <c r="Q681" s="35"/>
      <c r="R681" s="35"/>
      <c r="S681" s="33"/>
      <c r="T681" s="33"/>
      <c r="U681" s="21"/>
    </row>
    <row r="682" spans="2:21">
      <c r="B682" s="232"/>
      <c r="C682" s="232"/>
      <c r="D682" s="255"/>
      <c r="E682" s="255"/>
      <c r="F682" s="255"/>
      <c r="G682" s="255"/>
      <c r="H682" s="21"/>
      <c r="I682" s="21"/>
      <c r="J682" s="33" t="s">
        <v>1305</v>
      </c>
      <c r="K682" s="56" t="s">
        <v>1769</v>
      </c>
      <c r="L682" s="35" t="s">
        <v>332</v>
      </c>
      <c r="M682" s="53" t="s">
        <v>349</v>
      </c>
      <c r="N682" s="53">
        <v>44356</v>
      </c>
      <c r="O682" s="62" t="s">
        <v>1312</v>
      </c>
      <c r="P682" s="35" t="s">
        <v>1768</v>
      </c>
      <c r="Q682" s="35"/>
      <c r="R682" s="35"/>
      <c r="S682" s="33"/>
      <c r="T682" s="33"/>
      <c r="U682" s="21"/>
    </row>
    <row r="683" spans="2:21">
      <c r="B683" s="232"/>
      <c r="C683" s="232"/>
      <c r="D683" s="255"/>
      <c r="E683" s="255"/>
      <c r="F683" s="255"/>
      <c r="G683" s="255"/>
      <c r="H683" s="21"/>
      <c r="I683" s="21"/>
      <c r="J683" s="33" t="s">
        <v>1305</v>
      </c>
      <c r="K683" s="56" t="s">
        <v>1830</v>
      </c>
      <c r="L683" s="35" t="s">
        <v>332</v>
      </c>
      <c r="M683" s="53" t="s">
        <v>349</v>
      </c>
      <c r="N683" s="53">
        <v>44371</v>
      </c>
      <c r="O683" s="62" t="s">
        <v>1312</v>
      </c>
      <c r="P683" s="35" t="s">
        <v>1831</v>
      </c>
      <c r="Q683" s="35"/>
      <c r="R683" s="35"/>
      <c r="S683" s="33"/>
      <c r="T683" s="33"/>
      <c r="U683" s="21"/>
    </row>
    <row r="684" spans="2:21">
      <c r="B684" s="232"/>
      <c r="C684" s="232"/>
      <c r="D684" s="255"/>
      <c r="E684" s="255"/>
      <c r="F684" s="255"/>
      <c r="G684" s="255"/>
      <c r="H684" s="21"/>
      <c r="I684" s="21"/>
      <c r="J684" s="33" t="s">
        <v>1305</v>
      </c>
      <c r="K684" s="56" t="s">
        <v>2300</v>
      </c>
      <c r="L684" s="35" t="s">
        <v>332</v>
      </c>
      <c r="M684" s="53" t="s">
        <v>349</v>
      </c>
      <c r="N684" s="53">
        <v>44473</v>
      </c>
      <c r="O684" s="62" t="s">
        <v>1312</v>
      </c>
      <c r="P684" s="35" t="s">
        <v>2297</v>
      </c>
      <c r="Q684" s="35"/>
      <c r="R684" s="35"/>
      <c r="S684" s="33"/>
      <c r="T684" s="33"/>
      <c r="U684" s="21"/>
    </row>
    <row r="685" spans="2:21">
      <c r="B685" s="232"/>
      <c r="C685" s="232"/>
      <c r="D685" s="255"/>
      <c r="E685" s="255"/>
      <c r="F685" s="255"/>
      <c r="G685" s="255"/>
      <c r="H685" s="21"/>
      <c r="I685" s="21"/>
      <c r="J685" s="33" t="s">
        <v>1305</v>
      </c>
      <c r="K685" s="56" t="s">
        <v>4070</v>
      </c>
      <c r="L685" s="35" t="s">
        <v>332</v>
      </c>
      <c r="M685" s="53" t="s">
        <v>349</v>
      </c>
      <c r="N685" s="53">
        <v>45219</v>
      </c>
      <c r="O685" s="62" t="s">
        <v>1312</v>
      </c>
      <c r="P685" s="35" t="s">
        <v>4068</v>
      </c>
      <c r="Q685" s="35"/>
      <c r="R685" s="35"/>
      <c r="S685" s="33"/>
      <c r="T685" s="33"/>
      <c r="U685" s="21"/>
    </row>
    <row r="686" spans="2:21">
      <c r="B686" s="232"/>
      <c r="C686" s="232"/>
      <c r="D686" s="255"/>
      <c r="E686" s="255"/>
      <c r="F686" s="255"/>
      <c r="G686" s="255"/>
      <c r="H686" s="21"/>
      <c r="I686" s="21"/>
      <c r="J686" s="33" t="s">
        <v>1305</v>
      </c>
      <c r="K686" s="56" t="s">
        <v>4220</v>
      </c>
      <c r="L686" s="35" t="s">
        <v>332</v>
      </c>
      <c r="M686" s="53" t="s">
        <v>349</v>
      </c>
      <c r="N686" s="53">
        <v>45320</v>
      </c>
      <c r="O686" s="62" t="s">
        <v>1312</v>
      </c>
      <c r="P686" s="35" t="s">
        <v>4218</v>
      </c>
      <c r="Q686" s="35"/>
      <c r="R686" s="35"/>
      <c r="S686" s="33"/>
      <c r="T686" s="33"/>
      <c r="U686" s="21"/>
    </row>
    <row r="687" spans="2:21">
      <c r="B687" s="232"/>
      <c r="C687" s="232"/>
      <c r="D687" s="255"/>
      <c r="E687" s="255"/>
      <c r="F687" s="255"/>
      <c r="G687" s="255"/>
      <c r="H687" s="21"/>
      <c r="I687" s="21"/>
      <c r="J687" s="33"/>
      <c r="K687" s="56"/>
      <c r="L687" s="35"/>
      <c r="M687" s="53"/>
      <c r="N687" s="53"/>
      <c r="O687" s="62"/>
      <c r="P687" s="62"/>
      <c r="Q687" s="35"/>
      <c r="R687" s="35"/>
      <c r="S687" s="33"/>
      <c r="T687" s="33"/>
      <c r="U687" s="21"/>
    </row>
    <row r="688" spans="2:21">
      <c r="B688" s="232"/>
      <c r="C688" s="232"/>
      <c r="D688" s="255"/>
      <c r="E688" s="255"/>
      <c r="F688" s="255"/>
      <c r="G688" s="255"/>
      <c r="H688" s="21"/>
      <c r="I688" s="21"/>
      <c r="J688" s="33" t="s">
        <v>1304</v>
      </c>
      <c r="K688" s="56" t="s">
        <v>1301</v>
      </c>
      <c r="L688" s="35" t="s">
        <v>332</v>
      </c>
      <c r="M688" s="53" t="s">
        <v>349</v>
      </c>
      <c r="N688" s="53">
        <v>44277</v>
      </c>
      <c r="O688" s="62" t="s">
        <v>1313</v>
      </c>
      <c r="P688" s="62" t="s">
        <v>1300</v>
      </c>
      <c r="Q688" s="35"/>
      <c r="R688" s="35"/>
      <c r="S688" s="33"/>
      <c r="T688" s="33"/>
      <c r="U688" s="21"/>
    </row>
    <row r="689" spans="2:21">
      <c r="B689" s="232"/>
      <c r="C689" s="232"/>
      <c r="D689" s="255"/>
      <c r="E689" s="255"/>
      <c r="F689" s="255"/>
      <c r="G689" s="255"/>
      <c r="H689" s="21"/>
      <c r="I689" s="21"/>
      <c r="J689" s="33" t="s">
        <v>1304</v>
      </c>
      <c r="K689" s="56" t="s">
        <v>1446</v>
      </c>
      <c r="L689" s="35" t="s">
        <v>332</v>
      </c>
      <c r="M689" s="53" t="s">
        <v>349</v>
      </c>
      <c r="N689" s="53">
        <v>44298</v>
      </c>
      <c r="O689" s="62" t="s">
        <v>1313</v>
      </c>
      <c r="P689" s="35" t="s">
        <v>1439</v>
      </c>
      <c r="Q689" s="35"/>
      <c r="R689" s="35"/>
      <c r="S689" s="33"/>
      <c r="T689" s="33"/>
      <c r="U689" s="21"/>
    </row>
    <row r="690" spans="2:21">
      <c r="B690" s="232"/>
      <c r="C690" s="232"/>
      <c r="D690" s="255"/>
      <c r="E690" s="255"/>
      <c r="F690" s="255"/>
      <c r="G690" s="255"/>
      <c r="H690" s="21"/>
      <c r="I690" s="21"/>
      <c r="J690" s="33" t="s">
        <v>1304</v>
      </c>
      <c r="K690" s="56" t="s">
        <v>1443</v>
      </c>
      <c r="L690" s="35" t="s">
        <v>332</v>
      </c>
      <c r="M690" s="53" t="s">
        <v>349</v>
      </c>
      <c r="N690" s="53">
        <v>44306</v>
      </c>
      <c r="O690" s="62" t="s">
        <v>1313</v>
      </c>
      <c r="P690" s="35" t="s">
        <v>1444</v>
      </c>
      <c r="Q690" s="35"/>
      <c r="R690" s="35"/>
      <c r="S690" s="33"/>
      <c r="T690" s="33"/>
      <c r="U690" s="21"/>
    </row>
    <row r="691" spans="2:21">
      <c r="B691" s="232"/>
      <c r="C691" s="232"/>
      <c r="D691" s="255"/>
      <c r="E691" s="255"/>
      <c r="F691" s="255"/>
      <c r="G691" s="255"/>
      <c r="H691" s="21"/>
      <c r="I691" s="21"/>
      <c r="J691" s="33" t="s">
        <v>1304</v>
      </c>
      <c r="K691" s="56" t="s">
        <v>1830</v>
      </c>
      <c r="L691" s="35" t="s">
        <v>332</v>
      </c>
      <c r="M691" s="53" t="s">
        <v>349</v>
      </c>
      <c r="N691" s="53">
        <v>44371</v>
      </c>
      <c r="O691" s="62" t="s">
        <v>1313</v>
      </c>
      <c r="P691" s="35" t="s">
        <v>1831</v>
      </c>
      <c r="Q691" s="35"/>
      <c r="R691" s="35"/>
      <c r="S691" s="33"/>
      <c r="T691" s="33"/>
      <c r="U691" s="21"/>
    </row>
    <row r="692" spans="2:21">
      <c r="B692" s="232"/>
      <c r="C692" s="232"/>
      <c r="D692" s="255"/>
      <c r="E692" s="255"/>
      <c r="F692" s="255"/>
      <c r="G692" s="255"/>
      <c r="H692" s="21"/>
      <c r="I692" s="21"/>
      <c r="J692" s="33" t="s">
        <v>1304</v>
      </c>
      <c r="K692" s="56" t="s">
        <v>2300</v>
      </c>
      <c r="L692" s="35" t="s">
        <v>332</v>
      </c>
      <c r="M692" s="53" t="s">
        <v>349</v>
      </c>
      <c r="N692" s="53">
        <v>44473</v>
      </c>
      <c r="O692" s="62" t="s">
        <v>1313</v>
      </c>
      <c r="P692" s="35" t="s">
        <v>2297</v>
      </c>
      <c r="Q692" s="35"/>
      <c r="R692" s="35"/>
      <c r="S692" s="33"/>
      <c r="T692" s="33"/>
      <c r="U692" s="21"/>
    </row>
    <row r="693" spans="2:21">
      <c r="B693" s="232"/>
      <c r="C693" s="232"/>
      <c r="D693" s="255"/>
      <c r="E693" s="255"/>
      <c r="F693" s="255"/>
      <c r="G693" s="255"/>
      <c r="H693" s="21"/>
      <c r="I693" s="21"/>
      <c r="J693" s="33" t="s">
        <v>1304</v>
      </c>
      <c r="K693" s="56" t="s">
        <v>4070</v>
      </c>
      <c r="L693" s="35" t="s">
        <v>332</v>
      </c>
      <c r="M693" s="53" t="s">
        <v>349</v>
      </c>
      <c r="N693" s="53">
        <v>45219</v>
      </c>
      <c r="O693" s="62" t="s">
        <v>1313</v>
      </c>
      <c r="P693" s="35" t="s">
        <v>4068</v>
      </c>
      <c r="Q693" s="35"/>
      <c r="R693" s="35"/>
      <c r="S693" s="33"/>
      <c r="T693" s="33"/>
      <c r="U693" s="21"/>
    </row>
    <row r="694" spans="2:21">
      <c r="B694" s="232"/>
      <c r="C694" s="232"/>
      <c r="D694" s="255"/>
      <c r="E694" s="255"/>
      <c r="F694" s="255"/>
      <c r="G694" s="255"/>
      <c r="H694" s="21"/>
      <c r="I694" s="21"/>
      <c r="J694" s="33" t="s">
        <v>1304</v>
      </c>
      <c r="K694" s="56" t="s">
        <v>4220</v>
      </c>
      <c r="L694" s="35" t="s">
        <v>332</v>
      </c>
      <c r="M694" s="53" t="s">
        <v>349</v>
      </c>
      <c r="N694" s="53">
        <v>45320</v>
      </c>
      <c r="O694" s="62" t="s">
        <v>1313</v>
      </c>
      <c r="P694" s="35" t="s">
        <v>4218</v>
      </c>
      <c r="Q694" s="35"/>
      <c r="R694" s="35"/>
      <c r="S694" s="33"/>
      <c r="T694" s="33"/>
      <c r="U694" s="21"/>
    </row>
    <row r="695" spans="2:21">
      <c r="B695" s="232"/>
      <c r="C695" s="232"/>
      <c r="D695" s="255"/>
      <c r="E695" s="255"/>
      <c r="F695" s="255"/>
      <c r="G695" s="255"/>
      <c r="H695" s="21"/>
      <c r="I695" s="21"/>
      <c r="J695" s="33"/>
      <c r="K695" s="56"/>
      <c r="L695" s="35"/>
      <c r="M695" s="53"/>
      <c r="N695" s="53"/>
      <c r="O695" s="62"/>
      <c r="P695" s="62"/>
      <c r="Q695" s="35"/>
      <c r="R695" s="35"/>
      <c r="S695" s="33"/>
      <c r="T695" s="33"/>
      <c r="U695" s="21"/>
    </row>
    <row r="696" spans="2:21">
      <c r="B696" s="232"/>
      <c r="C696" s="232"/>
      <c r="D696" s="255"/>
      <c r="E696" s="255"/>
      <c r="F696" s="255"/>
      <c r="G696" s="255"/>
      <c r="H696" s="21"/>
      <c r="I696" s="21"/>
      <c r="J696" s="33" t="s">
        <v>1303</v>
      </c>
      <c r="K696" s="56" t="s">
        <v>1301</v>
      </c>
      <c r="L696" s="35" t="s">
        <v>332</v>
      </c>
      <c r="M696" s="53" t="s">
        <v>349</v>
      </c>
      <c r="N696" s="53">
        <v>44277</v>
      </c>
      <c r="O696" s="62" t="s">
        <v>1314</v>
      </c>
      <c r="P696" s="62" t="s">
        <v>1300</v>
      </c>
      <c r="Q696" s="35"/>
      <c r="R696" s="35"/>
      <c r="S696" s="33"/>
      <c r="T696" s="33"/>
      <c r="U696" s="21"/>
    </row>
    <row r="697" spans="2:21">
      <c r="B697" s="232"/>
      <c r="C697" s="232"/>
      <c r="D697" s="255"/>
      <c r="E697" s="255"/>
      <c r="F697" s="255"/>
      <c r="G697" s="255"/>
      <c r="H697" s="21"/>
      <c r="I697" s="21"/>
      <c r="J697" s="33" t="s">
        <v>1303</v>
      </c>
      <c r="K697" s="56" t="s">
        <v>1446</v>
      </c>
      <c r="L697" s="35" t="s">
        <v>332</v>
      </c>
      <c r="M697" s="53" t="s">
        <v>349</v>
      </c>
      <c r="N697" s="53">
        <v>44298</v>
      </c>
      <c r="O697" s="62" t="s">
        <v>1314</v>
      </c>
      <c r="P697" s="35" t="s">
        <v>1439</v>
      </c>
      <c r="Q697" s="35"/>
      <c r="R697" s="35"/>
      <c r="S697" s="33"/>
      <c r="T697" s="33"/>
      <c r="U697" s="21"/>
    </row>
    <row r="698" spans="2:21">
      <c r="B698" s="232"/>
      <c r="C698" s="232"/>
      <c r="D698" s="255"/>
      <c r="E698" s="255"/>
      <c r="F698" s="255"/>
      <c r="G698" s="255"/>
      <c r="H698" s="21"/>
      <c r="I698" s="21"/>
      <c r="J698" s="33" t="s">
        <v>1303</v>
      </c>
      <c r="K698" s="56" t="s">
        <v>1443</v>
      </c>
      <c r="L698" s="35" t="s">
        <v>332</v>
      </c>
      <c r="M698" s="53" t="s">
        <v>349</v>
      </c>
      <c r="N698" s="53">
        <v>44306</v>
      </c>
      <c r="O698" s="62" t="s">
        <v>1314</v>
      </c>
      <c r="P698" s="35" t="s">
        <v>1444</v>
      </c>
      <c r="Q698" s="35"/>
      <c r="R698" s="35"/>
      <c r="S698" s="33"/>
      <c r="T698" s="33"/>
      <c r="U698" s="21"/>
    </row>
    <row r="699" spans="2:21">
      <c r="B699" s="232"/>
      <c r="C699" s="232"/>
      <c r="D699" s="255"/>
      <c r="E699" s="255"/>
      <c r="F699" s="255"/>
      <c r="G699" s="255"/>
      <c r="H699" s="21"/>
      <c r="I699" s="21"/>
      <c r="J699" s="33" t="s">
        <v>1303</v>
      </c>
      <c r="K699" s="56" t="s">
        <v>1830</v>
      </c>
      <c r="L699" s="35" t="s">
        <v>332</v>
      </c>
      <c r="M699" s="53" t="s">
        <v>349</v>
      </c>
      <c r="N699" s="53">
        <v>44371</v>
      </c>
      <c r="O699" s="62" t="s">
        <v>1314</v>
      </c>
      <c r="P699" s="35" t="s">
        <v>1831</v>
      </c>
      <c r="Q699" s="35"/>
      <c r="R699" s="35"/>
      <c r="S699" s="33"/>
      <c r="T699" s="33"/>
      <c r="U699" s="21"/>
    </row>
    <row r="700" spans="2:21">
      <c r="B700" s="232"/>
      <c r="C700" s="232"/>
      <c r="D700" s="255"/>
      <c r="E700" s="255"/>
      <c r="F700" s="255"/>
      <c r="G700" s="255"/>
      <c r="H700" s="21"/>
      <c r="I700" s="21"/>
      <c r="J700" s="33" t="s">
        <v>1303</v>
      </c>
      <c r="K700" s="56" t="s">
        <v>2300</v>
      </c>
      <c r="L700" s="35" t="s">
        <v>332</v>
      </c>
      <c r="M700" s="53" t="s">
        <v>349</v>
      </c>
      <c r="N700" s="53">
        <v>44473</v>
      </c>
      <c r="O700" s="62" t="s">
        <v>1314</v>
      </c>
      <c r="P700" s="35" t="s">
        <v>2297</v>
      </c>
      <c r="Q700" s="35"/>
      <c r="R700" s="35"/>
      <c r="S700" s="33"/>
      <c r="T700" s="33"/>
      <c r="U700" s="21"/>
    </row>
    <row r="701" spans="2:21">
      <c r="B701" s="232"/>
      <c r="C701" s="232"/>
      <c r="D701" s="255"/>
      <c r="E701" s="255"/>
      <c r="F701" s="255"/>
      <c r="G701" s="255"/>
      <c r="H701" s="21"/>
      <c r="I701" s="21"/>
      <c r="J701" s="33" t="s">
        <v>1303</v>
      </c>
      <c r="K701" s="56" t="s">
        <v>4070</v>
      </c>
      <c r="L701" s="35" t="s">
        <v>332</v>
      </c>
      <c r="M701" s="53" t="s">
        <v>349</v>
      </c>
      <c r="N701" s="53">
        <v>45219</v>
      </c>
      <c r="O701" s="62" t="s">
        <v>1314</v>
      </c>
      <c r="P701" s="35" t="s">
        <v>4068</v>
      </c>
      <c r="Q701" s="35"/>
      <c r="R701" s="35"/>
      <c r="S701" s="33"/>
      <c r="T701" s="33"/>
      <c r="U701" s="21"/>
    </row>
    <row r="702" spans="2:21">
      <c r="B702" s="232"/>
      <c r="C702" s="232"/>
      <c r="D702" s="255"/>
      <c r="E702" s="255"/>
      <c r="F702" s="255"/>
      <c r="G702" s="255"/>
      <c r="H702" s="21"/>
      <c r="I702" s="21"/>
      <c r="J702" s="33" t="s">
        <v>1303</v>
      </c>
      <c r="K702" s="56" t="s">
        <v>4220</v>
      </c>
      <c r="L702" s="35" t="s">
        <v>332</v>
      </c>
      <c r="M702" s="53" t="s">
        <v>349</v>
      </c>
      <c r="N702" s="53">
        <v>45320</v>
      </c>
      <c r="O702" s="62" t="s">
        <v>1314</v>
      </c>
      <c r="P702" s="35" t="s">
        <v>4218</v>
      </c>
      <c r="Q702" s="35"/>
      <c r="R702" s="35"/>
      <c r="S702" s="33"/>
      <c r="T702" s="33"/>
      <c r="U702" s="21"/>
    </row>
    <row r="703" spans="2:21">
      <c r="B703" s="232"/>
      <c r="C703" s="232"/>
      <c r="D703" s="255"/>
      <c r="E703" s="255"/>
      <c r="F703" s="255"/>
      <c r="G703" s="255"/>
      <c r="H703" s="21"/>
      <c r="I703" s="21"/>
      <c r="J703" s="33"/>
      <c r="K703" s="56"/>
      <c r="L703" s="35"/>
      <c r="M703" s="53"/>
      <c r="N703" s="53"/>
      <c r="O703" s="62"/>
      <c r="P703" s="62"/>
      <c r="Q703" s="35"/>
      <c r="R703" s="35"/>
      <c r="S703" s="33"/>
      <c r="T703" s="33"/>
      <c r="U703" s="21"/>
    </row>
    <row r="704" spans="2:21">
      <c r="B704" s="232"/>
      <c r="C704" s="232"/>
      <c r="D704" s="255"/>
      <c r="E704" s="255"/>
      <c r="F704" s="255"/>
      <c r="G704" s="255"/>
      <c r="H704" s="21"/>
      <c r="I704" s="21"/>
      <c r="J704" s="33" t="s">
        <v>1302</v>
      </c>
      <c r="K704" s="56" t="s">
        <v>1301</v>
      </c>
      <c r="L704" s="35" t="s">
        <v>332</v>
      </c>
      <c r="M704" s="53" t="s">
        <v>349</v>
      </c>
      <c r="N704" s="53">
        <v>44277</v>
      </c>
      <c r="O704" s="62" t="s">
        <v>1315</v>
      </c>
      <c r="P704" s="62" t="s">
        <v>1300</v>
      </c>
      <c r="Q704" s="35"/>
      <c r="R704" s="35"/>
      <c r="S704" s="33"/>
      <c r="T704" s="33"/>
      <c r="U704" s="21"/>
    </row>
    <row r="705" spans="2:21">
      <c r="B705" s="232"/>
      <c r="C705" s="232"/>
      <c r="D705" s="255"/>
      <c r="E705" s="255"/>
      <c r="F705" s="255"/>
      <c r="G705" s="255"/>
      <c r="H705" s="21"/>
      <c r="I705" s="21"/>
      <c r="J705" s="33" t="s">
        <v>1302</v>
      </c>
      <c r="K705" s="56" t="s">
        <v>1446</v>
      </c>
      <c r="L705" s="35" t="s">
        <v>332</v>
      </c>
      <c r="M705" s="53" t="s">
        <v>349</v>
      </c>
      <c r="N705" s="53">
        <v>44298</v>
      </c>
      <c r="O705" s="62" t="s">
        <v>1315</v>
      </c>
      <c r="P705" s="35" t="s">
        <v>1439</v>
      </c>
      <c r="Q705" s="35"/>
      <c r="R705" s="35"/>
      <c r="S705" s="33"/>
      <c r="T705" s="33"/>
      <c r="U705" s="21"/>
    </row>
    <row r="706" spans="2:21">
      <c r="B706" s="232"/>
      <c r="C706" s="232"/>
      <c r="D706" s="255"/>
      <c r="E706" s="255"/>
      <c r="F706" s="255"/>
      <c r="G706" s="255"/>
      <c r="H706" s="21"/>
      <c r="I706" s="21"/>
      <c r="J706" s="33" t="s">
        <v>1302</v>
      </c>
      <c r="K706" s="56" t="s">
        <v>1769</v>
      </c>
      <c r="L706" s="35" t="s">
        <v>332</v>
      </c>
      <c r="M706" s="53" t="s">
        <v>349</v>
      </c>
      <c r="N706" s="53">
        <v>44356</v>
      </c>
      <c r="O706" s="62" t="s">
        <v>1315</v>
      </c>
      <c r="P706" s="35" t="s">
        <v>1768</v>
      </c>
      <c r="Q706" s="35"/>
      <c r="R706" s="35"/>
      <c r="S706" s="33"/>
      <c r="T706" s="33"/>
      <c r="U706" s="21"/>
    </row>
    <row r="707" spans="2:21">
      <c r="B707" s="232"/>
      <c r="C707" s="232"/>
      <c r="D707" s="255"/>
      <c r="E707" s="255"/>
      <c r="F707" s="255"/>
      <c r="G707" s="255"/>
      <c r="H707" s="21"/>
      <c r="I707" s="21"/>
      <c r="J707" s="33" t="s">
        <v>1302</v>
      </c>
      <c r="K707" s="56" t="s">
        <v>1830</v>
      </c>
      <c r="L707" s="35" t="s">
        <v>332</v>
      </c>
      <c r="M707" s="53" t="s">
        <v>349</v>
      </c>
      <c r="N707" s="53">
        <v>44371</v>
      </c>
      <c r="O707" s="62" t="s">
        <v>1315</v>
      </c>
      <c r="P707" s="35" t="s">
        <v>1831</v>
      </c>
      <c r="Q707" s="35"/>
      <c r="R707" s="35"/>
      <c r="S707" s="33"/>
      <c r="T707" s="33"/>
      <c r="U707" s="21"/>
    </row>
    <row r="708" spans="2:21">
      <c r="B708" s="232"/>
      <c r="C708" s="232"/>
      <c r="D708" s="255"/>
      <c r="E708" s="255"/>
      <c r="F708" s="255"/>
      <c r="G708" s="255"/>
      <c r="H708" s="21"/>
      <c r="I708" s="21"/>
      <c r="J708" s="33" t="s">
        <v>1302</v>
      </c>
      <c r="K708" s="56" t="s">
        <v>2061</v>
      </c>
      <c r="L708" s="35" t="s">
        <v>332</v>
      </c>
      <c r="M708" s="53" t="s">
        <v>349</v>
      </c>
      <c r="N708" s="53">
        <v>44404</v>
      </c>
      <c r="O708" s="62" t="s">
        <v>1315</v>
      </c>
      <c r="P708" s="35" t="s">
        <v>2062</v>
      </c>
      <c r="Q708" s="35"/>
      <c r="R708" s="35"/>
      <c r="S708" s="33"/>
      <c r="T708" s="33"/>
      <c r="U708" s="21"/>
    </row>
    <row r="709" spans="2:21">
      <c r="B709" s="232"/>
      <c r="C709" s="232"/>
      <c r="D709" s="255"/>
      <c r="E709" s="255"/>
      <c r="F709" s="255"/>
      <c r="G709" s="255"/>
      <c r="H709" s="21"/>
      <c r="I709" s="21"/>
      <c r="J709" s="33" t="s">
        <v>1302</v>
      </c>
      <c r="K709" s="56" t="s">
        <v>2300</v>
      </c>
      <c r="L709" s="35" t="s">
        <v>332</v>
      </c>
      <c r="M709" s="53" t="s">
        <v>349</v>
      </c>
      <c r="N709" s="53">
        <v>44473</v>
      </c>
      <c r="O709" s="62" t="s">
        <v>1315</v>
      </c>
      <c r="P709" s="35" t="s">
        <v>2297</v>
      </c>
      <c r="Q709" s="35"/>
      <c r="R709" s="35"/>
      <c r="S709" s="33"/>
      <c r="T709" s="33"/>
      <c r="U709" s="21"/>
    </row>
    <row r="710" spans="2:21">
      <c r="B710" s="232"/>
      <c r="C710" s="232"/>
      <c r="D710" s="255"/>
      <c r="E710" s="255"/>
      <c r="F710" s="255"/>
      <c r="G710" s="255"/>
      <c r="H710" s="21"/>
      <c r="I710" s="21"/>
      <c r="J710" s="33" t="s">
        <v>1302</v>
      </c>
      <c r="K710" s="56" t="s">
        <v>4070</v>
      </c>
      <c r="L710" s="35" t="s">
        <v>332</v>
      </c>
      <c r="M710" s="53" t="s">
        <v>349</v>
      </c>
      <c r="N710" s="53">
        <v>45219</v>
      </c>
      <c r="O710" s="62" t="s">
        <v>1315</v>
      </c>
      <c r="P710" s="35" t="s">
        <v>4068</v>
      </c>
      <c r="Q710" s="35"/>
      <c r="R710" s="35"/>
      <c r="S710" s="33"/>
      <c r="T710" s="33"/>
      <c r="U710" s="21"/>
    </row>
    <row r="711" spans="2:21">
      <c r="B711" s="232"/>
      <c r="C711" s="232"/>
      <c r="D711" s="255"/>
      <c r="E711" s="255"/>
      <c r="F711" s="255"/>
      <c r="G711" s="255"/>
      <c r="H711" s="21"/>
      <c r="I711" s="21"/>
      <c r="J711" s="33" t="s">
        <v>1302</v>
      </c>
      <c r="K711" s="56" t="s">
        <v>4220</v>
      </c>
      <c r="L711" s="35" t="s">
        <v>332</v>
      </c>
      <c r="M711" s="53" t="s">
        <v>349</v>
      </c>
      <c r="N711" s="53">
        <v>45320</v>
      </c>
      <c r="O711" s="62" t="s">
        <v>1315</v>
      </c>
      <c r="P711" s="35" t="s">
        <v>4218</v>
      </c>
      <c r="Q711" s="35"/>
      <c r="R711" s="35"/>
      <c r="S711" s="33"/>
      <c r="T711" s="33"/>
      <c r="U711" s="21"/>
    </row>
    <row r="712" spans="2:21">
      <c r="B712" s="232"/>
      <c r="C712" s="232"/>
      <c r="D712" s="255"/>
      <c r="E712" s="255"/>
      <c r="F712" s="255"/>
      <c r="G712" s="255"/>
      <c r="H712" s="21"/>
      <c r="I712" s="21"/>
      <c r="J712" s="33"/>
      <c r="K712" s="35"/>
      <c r="L712" s="35"/>
      <c r="M712" s="53"/>
      <c r="N712" s="35"/>
      <c r="O712" s="35"/>
      <c r="P712" s="35"/>
      <c r="Q712" s="35"/>
      <c r="R712" s="35"/>
      <c r="S712" s="33"/>
      <c r="T712" s="33"/>
      <c r="U712" s="21"/>
    </row>
    <row r="713" spans="2:21">
      <c r="B713" s="232"/>
      <c r="C713" s="232"/>
      <c r="D713" s="255"/>
      <c r="E713" s="255"/>
      <c r="F713" s="21" t="s">
        <v>35</v>
      </c>
      <c r="G713" s="256" t="s">
        <v>242</v>
      </c>
      <c r="H713" s="257"/>
      <c r="I713" s="257"/>
      <c r="J713" s="257"/>
      <c r="K713" s="257"/>
      <c r="L713" s="257"/>
      <c r="M713" s="257"/>
      <c r="N713" s="257"/>
      <c r="O713" s="257"/>
      <c r="P713" s="257"/>
      <c r="Q713" s="258"/>
      <c r="R713" s="39"/>
      <c r="S713" s="21"/>
      <c r="T713" s="21"/>
      <c r="U713" s="21"/>
    </row>
    <row r="714" spans="2:21">
      <c r="B714" s="232"/>
      <c r="C714" s="232"/>
      <c r="D714" s="255"/>
      <c r="E714" s="255"/>
      <c r="F714" s="255"/>
      <c r="G714" s="263"/>
      <c r="H714" s="21" t="s">
        <v>176</v>
      </c>
      <c r="I714" s="21"/>
      <c r="J714" s="33" t="s">
        <v>80</v>
      </c>
      <c r="K714" s="35"/>
      <c r="L714" s="35" t="s">
        <v>333</v>
      </c>
      <c r="M714" s="53">
        <v>44104</v>
      </c>
      <c r="N714" s="53">
        <v>44165</v>
      </c>
      <c r="O714" s="35" t="s">
        <v>596</v>
      </c>
      <c r="P714" s="35" t="s">
        <v>584</v>
      </c>
      <c r="Q714" s="59"/>
      <c r="R714" s="35"/>
      <c r="S714" s="33"/>
      <c r="T714" s="33"/>
      <c r="U714" s="21"/>
    </row>
    <row r="715" spans="2:21">
      <c r="B715" s="232"/>
      <c r="C715" s="232"/>
      <c r="D715" s="255"/>
      <c r="E715" s="255"/>
      <c r="F715" s="255"/>
      <c r="G715" s="264"/>
      <c r="H715" s="21"/>
      <c r="I715" s="21"/>
      <c r="J715" s="33"/>
      <c r="K715" s="35"/>
      <c r="L715" s="35"/>
      <c r="M715" s="53"/>
      <c r="N715" s="53"/>
      <c r="O715" s="35"/>
      <c r="P715" s="35"/>
      <c r="Q715" s="35"/>
      <c r="R715" s="35"/>
      <c r="S715" s="33"/>
      <c r="T715" s="33"/>
      <c r="U715" s="21"/>
    </row>
    <row r="716" spans="2:21">
      <c r="B716" s="232"/>
      <c r="C716" s="232"/>
      <c r="D716" s="255"/>
      <c r="E716" s="255"/>
      <c r="F716" s="21" t="s">
        <v>36</v>
      </c>
      <c r="G716" s="256"/>
      <c r="H716" s="257"/>
      <c r="I716" s="257"/>
      <c r="J716" s="257"/>
      <c r="K716" s="257"/>
      <c r="L716" s="257"/>
      <c r="M716" s="257"/>
      <c r="N716" s="257"/>
      <c r="O716" s="257"/>
      <c r="P716" s="257"/>
      <c r="Q716" s="258"/>
      <c r="R716" s="39"/>
      <c r="S716" s="21"/>
      <c r="T716" s="21"/>
      <c r="U716" s="21"/>
    </row>
    <row r="717" spans="2:21">
      <c r="B717" s="232"/>
      <c r="C717" s="232"/>
      <c r="D717" s="255"/>
      <c r="E717" s="255"/>
      <c r="F717" s="255"/>
      <c r="G717" s="255"/>
      <c r="H717" s="38"/>
      <c r="I717" s="38"/>
      <c r="J717" s="38"/>
      <c r="K717" s="38"/>
      <c r="L717" s="39"/>
      <c r="M717" s="38"/>
      <c r="N717" s="39"/>
      <c r="O717" s="38"/>
      <c r="P717" s="38"/>
      <c r="Q717" s="38"/>
      <c r="R717" s="35"/>
      <c r="S717" s="33"/>
      <c r="T717" s="33"/>
      <c r="U717" s="21"/>
    </row>
    <row r="718" spans="2:21">
      <c r="B718" s="232"/>
      <c r="C718" s="232"/>
      <c r="D718" s="255"/>
      <c r="E718" s="255"/>
      <c r="F718" s="255"/>
      <c r="G718" s="255"/>
      <c r="H718" s="21"/>
      <c r="I718" s="21"/>
      <c r="J718" s="33"/>
      <c r="K718" s="35"/>
      <c r="L718" s="35"/>
      <c r="M718" s="33"/>
      <c r="N718" s="35"/>
      <c r="O718" s="35"/>
      <c r="P718" s="35"/>
      <c r="Q718" s="35"/>
      <c r="R718" s="35"/>
      <c r="S718" s="33"/>
      <c r="T718" s="33"/>
      <c r="U718" s="21"/>
    </row>
    <row r="719" spans="2:21" ht="12.75" customHeight="1">
      <c r="B719" s="232"/>
      <c r="C719" s="232"/>
      <c r="D719" s="9" t="s">
        <v>119</v>
      </c>
      <c r="E719" s="227" t="s">
        <v>109</v>
      </c>
      <c r="F719" s="228"/>
      <c r="G719" s="228"/>
      <c r="H719" s="228"/>
      <c r="I719" s="228"/>
      <c r="J719" s="228"/>
      <c r="K719" s="228"/>
      <c r="L719" s="228"/>
      <c r="M719" s="228"/>
      <c r="N719" s="228"/>
      <c r="O719" s="228"/>
      <c r="P719" s="228"/>
      <c r="Q719" s="228"/>
      <c r="R719" s="228"/>
      <c r="S719" s="228"/>
      <c r="T719" s="229"/>
      <c r="U719" s="21"/>
    </row>
    <row r="720" spans="2:21">
      <c r="B720" s="232"/>
      <c r="C720" s="232"/>
      <c r="D720" s="255"/>
      <c r="E720" s="255"/>
      <c r="F720" s="21" t="s">
        <v>27</v>
      </c>
      <c r="G720" s="256" t="s">
        <v>175</v>
      </c>
      <c r="H720" s="257"/>
      <c r="I720" s="257"/>
      <c r="J720" s="257"/>
      <c r="K720" s="257"/>
      <c r="L720" s="257"/>
      <c r="M720" s="257"/>
      <c r="N720" s="257"/>
      <c r="O720" s="257"/>
      <c r="P720" s="257"/>
      <c r="Q720" s="258"/>
      <c r="R720" s="39" t="s">
        <v>26</v>
      </c>
      <c r="S720" s="21"/>
      <c r="T720" s="21"/>
      <c r="U720" s="21"/>
    </row>
    <row r="721" spans="2:21">
      <c r="B721" s="232"/>
      <c r="C721" s="232"/>
      <c r="D721" s="255"/>
      <c r="E721" s="255"/>
      <c r="F721" s="263"/>
      <c r="G721" s="263"/>
      <c r="H721" s="21" t="s">
        <v>176</v>
      </c>
      <c r="I721" s="21"/>
      <c r="J721" s="33" t="s">
        <v>186</v>
      </c>
      <c r="K721" s="35" t="s">
        <v>330</v>
      </c>
      <c r="L721" s="35" t="s">
        <v>333</v>
      </c>
      <c r="M721" s="53">
        <v>44000</v>
      </c>
      <c r="N721" s="53">
        <v>44000</v>
      </c>
      <c r="O721" s="35" t="s">
        <v>336</v>
      </c>
      <c r="P721" s="35" t="s">
        <v>335</v>
      </c>
      <c r="Q721" s="35"/>
      <c r="R721" s="35"/>
      <c r="S721" s="33"/>
      <c r="T721" s="33"/>
      <c r="U721" s="21"/>
    </row>
    <row r="722" spans="2:21">
      <c r="B722" s="232"/>
      <c r="C722" s="232"/>
      <c r="D722" s="255"/>
      <c r="E722" s="255"/>
      <c r="F722" s="262"/>
      <c r="G722" s="262"/>
      <c r="H722" s="21"/>
      <c r="I722" s="21"/>
      <c r="J722" s="33" t="s">
        <v>186</v>
      </c>
      <c r="K722" s="56" t="s">
        <v>3</v>
      </c>
      <c r="L722" s="35" t="s">
        <v>332</v>
      </c>
      <c r="M722" s="53">
        <v>44081</v>
      </c>
      <c r="N722" s="53">
        <v>44081</v>
      </c>
      <c r="O722" s="35" t="s">
        <v>1572</v>
      </c>
      <c r="P722" s="35" t="s">
        <v>393</v>
      </c>
      <c r="Q722" s="35"/>
      <c r="R722" s="35"/>
      <c r="S722" s="33"/>
      <c r="T722" s="33"/>
      <c r="U722" s="21"/>
    </row>
    <row r="723" spans="2:21">
      <c r="B723" s="232"/>
      <c r="C723" s="232"/>
      <c r="D723" s="255"/>
      <c r="E723" s="255"/>
      <c r="F723" s="262"/>
      <c r="G723" s="262"/>
      <c r="H723" s="21"/>
      <c r="I723" s="21"/>
      <c r="J723" s="33" t="s">
        <v>186</v>
      </c>
      <c r="K723" s="56" t="s">
        <v>512</v>
      </c>
      <c r="L723" s="35" t="s">
        <v>332</v>
      </c>
      <c r="M723" s="53" t="s">
        <v>349</v>
      </c>
      <c r="N723" s="53">
        <v>44138</v>
      </c>
      <c r="O723" s="35" t="s">
        <v>1572</v>
      </c>
      <c r="P723" s="35" t="s">
        <v>584</v>
      </c>
      <c r="Q723" s="35"/>
      <c r="R723" s="35"/>
      <c r="S723" s="33"/>
      <c r="T723" s="33"/>
      <c r="U723" s="21"/>
    </row>
    <row r="724" spans="2:21">
      <c r="B724" s="232"/>
      <c r="C724" s="232"/>
      <c r="D724" s="255"/>
      <c r="E724" s="255"/>
      <c r="F724" s="262"/>
      <c r="G724" s="262"/>
      <c r="H724" s="21"/>
      <c r="I724" s="21"/>
      <c r="J724" s="33" t="s">
        <v>186</v>
      </c>
      <c r="K724" s="56" t="s">
        <v>654</v>
      </c>
      <c r="L724" s="35" t="s">
        <v>332</v>
      </c>
      <c r="M724" s="53" t="s">
        <v>349</v>
      </c>
      <c r="N724" s="53">
        <v>44281</v>
      </c>
      <c r="O724" s="35" t="s">
        <v>1572</v>
      </c>
      <c r="P724" s="35" t="s">
        <v>1349</v>
      </c>
      <c r="Q724" s="35"/>
      <c r="R724" s="35"/>
      <c r="S724" s="33"/>
      <c r="T724" s="33"/>
      <c r="U724" s="21"/>
    </row>
    <row r="725" spans="2:21">
      <c r="B725" s="232"/>
      <c r="C725" s="232"/>
      <c r="D725" s="255"/>
      <c r="E725" s="255"/>
      <c r="F725" s="262"/>
      <c r="G725" s="262"/>
      <c r="H725" s="21"/>
      <c r="I725" s="21"/>
      <c r="J725" s="33"/>
      <c r="K725" s="56"/>
      <c r="L725" s="35"/>
      <c r="M725" s="53"/>
      <c r="N725" s="53"/>
      <c r="O725" s="35"/>
      <c r="P725" s="35"/>
      <c r="Q725" s="35"/>
      <c r="R725" s="35"/>
      <c r="S725" s="33"/>
      <c r="T725" s="33"/>
      <c r="U725" s="21"/>
    </row>
    <row r="726" spans="2:21">
      <c r="B726" s="232"/>
      <c r="C726" s="232"/>
      <c r="D726" s="255"/>
      <c r="E726" s="255"/>
      <c r="F726" s="262"/>
      <c r="G726" s="262"/>
      <c r="H726" s="21" t="s">
        <v>177</v>
      </c>
      <c r="I726" s="21"/>
      <c r="J726" s="33" t="s">
        <v>249</v>
      </c>
      <c r="K726" s="35" t="s">
        <v>330</v>
      </c>
      <c r="L726" s="35" t="s">
        <v>333</v>
      </c>
      <c r="M726" s="53">
        <v>44000</v>
      </c>
      <c r="N726" s="53">
        <v>44000</v>
      </c>
      <c r="O726" s="35" t="s">
        <v>336</v>
      </c>
      <c r="P726" s="35" t="s">
        <v>335</v>
      </c>
      <c r="Q726" s="35"/>
      <c r="R726" s="35"/>
      <c r="S726" s="33"/>
      <c r="T726" s="33"/>
      <c r="U726" s="21"/>
    </row>
    <row r="727" spans="2:21">
      <c r="B727" s="232"/>
      <c r="C727" s="232"/>
      <c r="D727" s="255"/>
      <c r="E727" s="255"/>
      <c r="F727" s="262"/>
      <c r="G727" s="262"/>
      <c r="H727" s="21"/>
      <c r="I727" s="21"/>
      <c r="J727" s="33" t="s">
        <v>249</v>
      </c>
      <c r="K727" s="56" t="s">
        <v>3</v>
      </c>
      <c r="L727" s="35" t="s">
        <v>332</v>
      </c>
      <c r="M727" s="53">
        <v>44081</v>
      </c>
      <c r="N727" s="53">
        <v>44081</v>
      </c>
      <c r="O727" s="35" t="s">
        <v>1572</v>
      </c>
      <c r="P727" s="35" t="s">
        <v>393</v>
      </c>
      <c r="Q727" s="35"/>
      <c r="R727" s="35"/>
      <c r="S727" s="33"/>
      <c r="T727" s="33"/>
      <c r="U727" s="21"/>
    </row>
    <row r="728" spans="2:21">
      <c r="B728" s="232"/>
      <c r="C728" s="232"/>
      <c r="D728" s="255"/>
      <c r="E728" s="255"/>
      <c r="F728" s="262"/>
      <c r="G728" s="262"/>
      <c r="H728" s="21"/>
      <c r="I728" s="21"/>
      <c r="J728" s="33" t="s">
        <v>249</v>
      </c>
      <c r="K728" s="56" t="s">
        <v>512</v>
      </c>
      <c r="L728" s="35" t="s">
        <v>332</v>
      </c>
      <c r="M728" s="53" t="s">
        <v>349</v>
      </c>
      <c r="N728" s="53">
        <v>44138</v>
      </c>
      <c r="O728" s="35" t="s">
        <v>1572</v>
      </c>
      <c r="P728" s="35" t="s">
        <v>584</v>
      </c>
      <c r="Q728" s="35"/>
      <c r="R728" s="35"/>
      <c r="S728" s="33"/>
      <c r="T728" s="33"/>
      <c r="U728" s="21"/>
    </row>
    <row r="729" spans="2:21">
      <c r="B729" s="232"/>
      <c r="C729" s="232"/>
      <c r="D729" s="255"/>
      <c r="E729" s="255"/>
      <c r="F729" s="262"/>
      <c r="G729" s="262"/>
      <c r="H729" s="21"/>
      <c r="I729" s="21"/>
      <c r="J729" s="33" t="s">
        <v>249</v>
      </c>
      <c r="K729" s="56" t="s">
        <v>512</v>
      </c>
      <c r="L729" s="35" t="s">
        <v>332</v>
      </c>
      <c r="M729" s="53" t="s">
        <v>349</v>
      </c>
      <c r="N729" s="53">
        <v>44315</v>
      </c>
      <c r="O729" s="35" t="s">
        <v>1573</v>
      </c>
      <c r="P729" s="35" t="s">
        <v>1570</v>
      </c>
      <c r="Q729" s="35"/>
      <c r="R729" s="35"/>
      <c r="S729" s="33"/>
      <c r="T729" s="33"/>
      <c r="U729" s="21"/>
    </row>
    <row r="730" spans="2:21">
      <c r="B730" s="232"/>
      <c r="C730" s="232"/>
      <c r="D730" s="255"/>
      <c r="E730" s="255"/>
      <c r="F730" s="262"/>
      <c r="G730" s="262"/>
      <c r="H730" s="21"/>
      <c r="I730" s="21"/>
      <c r="J730" s="33" t="s">
        <v>249</v>
      </c>
      <c r="K730" s="56" t="s">
        <v>729</v>
      </c>
      <c r="L730" s="35" t="s">
        <v>332</v>
      </c>
      <c r="M730" s="53" t="s">
        <v>349</v>
      </c>
      <c r="N730" s="53">
        <v>45216</v>
      </c>
      <c r="O730" s="35" t="s">
        <v>1573</v>
      </c>
      <c r="P730" s="35" t="s">
        <v>3976</v>
      </c>
      <c r="Q730" s="35"/>
      <c r="R730" s="35"/>
      <c r="S730" s="33"/>
      <c r="T730" s="33"/>
      <c r="U730" s="21"/>
    </row>
    <row r="731" spans="2:21">
      <c r="B731" s="232"/>
      <c r="C731" s="232"/>
      <c r="D731" s="255"/>
      <c r="E731" s="255"/>
      <c r="F731" s="264"/>
      <c r="G731" s="264"/>
      <c r="H731" s="21"/>
      <c r="I731" s="21"/>
      <c r="J731" s="33"/>
      <c r="K731" s="56"/>
      <c r="L731" s="35"/>
      <c r="M731" s="53"/>
      <c r="N731" s="53"/>
      <c r="O731" s="35"/>
      <c r="P731" s="35"/>
      <c r="Q731" s="35"/>
      <c r="R731" s="35"/>
      <c r="S731" s="33"/>
      <c r="T731" s="33"/>
      <c r="U731" s="21"/>
    </row>
    <row r="732" spans="2:21">
      <c r="B732" s="232"/>
      <c r="C732" s="232"/>
      <c r="D732" s="255"/>
      <c r="E732" s="255"/>
      <c r="F732" s="21" t="s">
        <v>29</v>
      </c>
      <c r="G732" s="256" t="s">
        <v>178</v>
      </c>
      <c r="H732" s="257"/>
      <c r="I732" s="257"/>
      <c r="J732" s="257"/>
      <c r="K732" s="257"/>
      <c r="L732" s="257"/>
      <c r="M732" s="257"/>
      <c r="N732" s="257"/>
      <c r="O732" s="257"/>
      <c r="P732" s="257"/>
      <c r="Q732" s="258"/>
      <c r="R732" s="39"/>
      <c r="S732" s="21"/>
      <c r="T732" s="21"/>
      <c r="U732" s="21"/>
    </row>
    <row r="733" spans="2:21">
      <c r="B733" s="232"/>
      <c r="C733" s="232"/>
      <c r="D733" s="255"/>
      <c r="E733" s="255"/>
      <c r="F733" s="263"/>
      <c r="G733" s="263"/>
      <c r="H733" s="21" t="s">
        <v>176</v>
      </c>
      <c r="I733" s="21"/>
      <c r="J733" s="33" t="s">
        <v>186</v>
      </c>
      <c r="K733" s="56" t="s">
        <v>3</v>
      </c>
      <c r="L733" s="35" t="s">
        <v>333</v>
      </c>
      <c r="M733" s="53">
        <v>44134</v>
      </c>
      <c r="N733" s="53">
        <v>44138</v>
      </c>
      <c r="O733" s="35" t="s">
        <v>586</v>
      </c>
      <c r="P733" s="35" t="s">
        <v>584</v>
      </c>
      <c r="Q733" s="35"/>
      <c r="R733" s="35"/>
      <c r="S733" s="33"/>
      <c r="T733" s="33"/>
      <c r="U733" s="21"/>
    </row>
    <row r="734" spans="2:21">
      <c r="B734" s="232"/>
      <c r="C734" s="232"/>
      <c r="D734" s="255"/>
      <c r="E734" s="255"/>
      <c r="F734" s="262"/>
      <c r="G734" s="262"/>
      <c r="H734" s="21"/>
      <c r="I734" s="21"/>
      <c r="J734" s="33" t="s">
        <v>186</v>
      </c>
      <c r="K734" s="56" t="s">
        <v>512</v>
      </c>
      <c r="L734" s="35" t="s">
        <v>332</v>
      </c>
      <c r="M734" s="53" t="s">
        <v>349</v>
      </c>
      <c r="N734" s="53">
        <v>44266</v>
      </c>
      <c r="O734" s="35" t="s">
        <v>586</v>
      </c>
      <c r="P734" s="35" t="s">
        <v>1239</v>
      </c>
      <c r="Q734" s="35"/>
      <c r="R734" s="35"/>
      <c r="S734" s="33"/>
      <c r="T734" s="33"/>
      <c r="U734" s="21"/>
    </row>
    <row r="735" spans="2:21">
      <c r="B735" s="232"/>
      <c r="C735" s="232"/>
      <c r="D735" s="255"/>
      <c r="E735" s="255"/>
      <c r="F735" s="262"/>
      <c r="G735" s="262"/>
      <c r="H735" s="21"/>
      <c r="I735" s="21"/>
      <c r="J735" s="33" t="s">
        <v>186</v>
      </c>
      <c r="K735" s="56" t="s">
        <v>654</v>
      </c>
      <c r="L735" s="35" t="s">
        <v>332</v>
      </c>
      <c r="M735" s="53" t="s">
        <v>349</v>
      </c>
      <c r="N735" s="53">
        <v>44315</v>
      </c>
      <c r="O735" s="35" t="s">
        <v>586</v>
      </c>
      <c r="P735" s="35" t="s">
        <v>1570</v>
      </c>
      <c r="Q735" s="35"/>
      <c r="R735" s="35"/>
      <c r="S735" s="33"/>
      <c r="T735" s="33"/>
      <c r="U735" s="21"/>
    </row>
    <row r="736" spans="2:21">
      <c r="B736" s="232"/>
      <c r="C736" s="232"/>
      <c r="D736" s="255"/>
      <c r="E736" s="255"/>
      <c r="F736" s="262"/>
      <c r="G736" s="262"/>
      <c r="H736" s="21"/>
      <c r="I736" s="21"/>
      <c r="J736" s="33"/>
      <c r="K736" s="56"/>
      <c r="L736" s="35"/>
      <c r="M736" s="53"/>
      <c r="N736" s="53"/>
      <c r="O736" s="35"/>
      <c r="P736" s="35"/>
      <c r="Q736" s="35"/>
      <c r="R736" s="35"/>
      <c r="S736" s="33"/>
      <c r="T736" s="33"/>
      <c r="U736" s="21"/>
    </row>
    <row r="737" spans="2:21" s="66" customFormat="1">
      <c r="B737" s="232"/>
      <c r="C737" s="232"/>
      <c r="D737" s="255"/>
      <c r="E737" s="255"/>
      <c r="F737" s="262"/>
      <c r="G737" s="262"/>
      <c r="H737" s="21" t="s">
        <v>177</v>
      </c>
      <c r="I737" s="21"/>
      <c r="J737" s="33" t="s">
        <v>585</v>
      </c>
      <c r="K737" s="56" t="s">
        <v>3</v>
      </c>
      <c r="L737" s="35" t="s">
        <v>333</v>
      </c>
      <c r="M737" s="53">
        <v>44134</v>
      </c>
      <c r="N737" s="53">
        <v>44138</v>
      </c>
      <c r="O737" s="35" t="s">
        <v>587</v>
      </c>
      <c r="P737" s="35" t="s">
        <v>584</v>
      </c>
      <c r="Q737" s="35"/>
      <c r="R737" s="65"/>
      <c r="S737" s="65"/>
      <c r="T737" s="65"/>
      <c r="U737" s="64"/>
    </row>
    <row r="738" spans="2:21" s="66" customFormat="1">
      <c r="B738" s="232"/>
      <c r="C738" s="232"/>
      <c r="D738" s="255"/>
      <c r="E738" s="255"/>
      <c r="F738" s="262"/>
      <c r="G738" s="262"/>
      <c r="H738" s="21"/>
      <c r="I738" s="21"/>
      <c r="J738" s="33"/>
      <c r="K738" s="56"/>
      <c r="L738" s="35"/>
      <c r="M738" s="53"/>
      <c r="N738" s="53"/>
      <c r="O738" s="35"/>
      <c r="P738" s="35"/>
      <c r="Q738" s="35"/>
      <c r="R738" s="65"/>
      <c r="S738" s="65"/>
      <c r="T738" s="65"/>
      <c r="U738" s="64"/>
    </row>
    <row r="739" spans="2:21" ht="28">
      <c r="B739" s="232"/>
      <c r="C739" s="232"/>
      <c r="D739" s="255"/>
      <c r="E739" s="255"/>
      <c r="F739" s="262"/>
      <c r="G739" s="262"/>
      <c r="H739" s="64" t="s">
        <v>181</v>
      </c>
      <c r="I739" s="64"/>
      <c r="J739" s="65" t="s">
        <v>681</v>
      </c>
      <c r="K739" s="12" t="s">
        <v>680</v>
      </c>
      <c r="L739" s="62" t="s">
        <v>332</v>
      </c>
      <c r="M739" s="55">
        <v>44165</v>
      </c>
      <c r="N739" s="67">
        <v>44165</v>
      </c>
      <c r="O739" s="12" t="s">
        <v>678</v>
      </c>
      <c r="P739" s="62" t="s">
        <v>712</v>
      </c>
      <c r="Q739" s="65"/>
      <c r="R739" s="35"/>
      <c r="S739" s="33"/>
      <c r="T739" s="33"/>
      <c r="U739" s="21"/>
    </row>
    <row r="740" spans="2:21" ht="28">
      <c r="B740" s="232"/>
      <c r="C740" s="232"/>
      <c r="D740" s="255"/>
      <c r="E740" s="255"/>
      <c r="F740" s="262"/>
      <c r="G740" s="262"/>
      <c r="H740" s="21"/>
      <c r="I740" s="21"/>
      <c r="J740" s="65" t="s">
        <v>681</v>
      </c>
      <c r="K740" s="12" t="s">
        <v>1163</v>
      </c>
      <c r="L740" s="62" t="s">
        <v>332</v>
      </c>
      <c r="M740" s="55" t="s">
        <v>349</v>
      </c>
      <c r="N740" s="67">
        <v>44250</v>
      </c>
      <c r="O740" s="12" t="s">
        <v>678</v>
      </c>
      <c r="P740" s="62" t="s">
        <v>1162</v>
      </c>
      <c r="Q740" s="35"/>
      <c r="R740" s="35"/>
      <c r="S740" s="33"/>
      <c r="T740" s="33"/>
      <c r="U740" s="21"/>
    </row>
    <row r="741" spans="2:21" ht="28">
      <c r="B741" s="232"/>
      <c r="C741" s="232"/>
      <c r="D741" s="255"/>
      <c r="E741" s="255"/>
      <c r="F741" s="262"/>
      <c r="G741" s="262"/>
      <c r="H741" s="21"/>
      <c r="I741" s="21"/>
      <c r="J741" s="65" t="s">
        <v>681</v>
      </c>
      <c r="K741" s="12" t="s">
        <v>1571</v>
      </c>
      <c r="L741" s="62" t="s">
        <v>332</v>
      </c>
      <c r="M741" s="55" t="s">
        <v>349</v>
      </c>
      <c r="N741" s="67">
        <v>44315</v>
      </c>
      <c r="O741" s="12" t="s">
        <v>678</v>
      </c>
      <c r="P741" s="62" t="s">
        <v>1570</v>
      </c>
      <c r="Q741" s="35"/>
      <c r="R741" s="35"/>
      <c r="S741" s="33"/>
      <c r="T741" s="33"/>
      <c r="U741" s="21"/>
    </row>
    <row r="742" spans="2:21" ht="28">
      <c r="B742" s="232"/>
      <c r="C742" s="232"/>
      <c r="D742" s="255"/>
      <c r="E742" s="255"/>
      <c r="F742" s="262"/>
      <c r="G742" s="262"/>
      <c r="H742" s="21"/>
      <c r="I742" s="21"/>
      <c r="J742" s="65" t="s">
        <v>681</v>
      </c>
      <c r="K742" s="12" t="s">
        <v>2380</v>
      </c>
      <c r="L742" s="62" t="s">
        <v>332</v>
      </c>
      <c r="M742" s="55" t="s">
        <v>349</v>
      </c>
      <c r="N742" s="67">
        <v>44497</v>
      </c>
      <c r="O742" s="12" t="s">
        <v>678</v>
      </c>
      <c r="P742" s="62" t="s">
        <v>2379</v>
      </c>
      <c r="Q742" s="35"/>
      <c r="R742" s="35"/>
      <c r="S742" s="33"/>
      <c r="T742" s="33"/>
      <c r="U742" s="21"/>
    </row>
    <row r="743" spans="2:21" ht="28">
      <c r="B743" s="232"/>
      <c r="C743" s="232"/>
      <c r="D743" s="255"/>
      <c r="E743" s="255"/>
      <c r="F743" s="262"/>
      <c r="G743" s="262"/>
      <c r="H743" s="21"/>
      <c r="I743" s="21"/>
      <c r="J743" s="65" t="s">
        <v>681</v>
      </c>
      <c r="K743" s="12" t="s">
        <v>3983</v>
      </c>
      <c r="L743" s="62" t="s">
        <v>332</v>
      </c>
      <c r="M743" s="55" t="s">
        <v>349</v>
      </c>
      <c r="N743" s="67">
        <v>45216</v>
      </c>
      <c r="O743" s="12" t="s">
        <v>678</v>
      </c>
      <c r="P743" s="62" t="s">
        <v>3976</v>
      </c>
      <c r="Q743" s="35"/>
      <c r="R743" s="35"/>
      <c r="S743" s="33"/>
      <c r="T743" s="33"/>
      <c r="U743" s="21"/>
    </row>
    <row r="744" spans="2:21">
      <c r="B744" s="232"/>
      <c r="C744" s="232"/>
      <c r="D744" s="255"/>
      <c r="E744" s="255"/>
      <c r="F744" s="264"/>
      <c r="G744" s="264"/>
      <c r="H744" s="21"/>
      <c r="I744" s="21"/>
      <c r="J744" s="65"/>
      <c r="K744" s="12"/>
      <c r="L744" s="62"/>
      <c r="M744" s="55"/>
      <c r="N744" s="67"/>
      <c r="O744" s="12"/>
      <c r="P744" s="62"/>
      <c r="Q744" s="35"/>
      <c r="R744" s="35"/>
      <c r="S744" s="33"/>
      <c r="T744" s="33"/>
      <c r="U744" s="21"/>
    </row>
    <row r="745" spans="2:21">
      <c r="B745" s="232"/>
      <c r="C745" s="232"/>
      <c r="D745" s="255"/>
      <c r="E745" s="255"/>
      <c r="F745" s="21" t="s">
        <v>35</v>
      </c>
      <c r="G745" s="256"/>
      <c r="H745" s="257"/>
      <c r="I745" s="257"/>
      <c r="J745" s="257"/>
      <c r="K745" s="257"/>
      <c r="L745" s="257"/>
      <c r="M745" s="257"/>
      <c r="N745" s="257"/>
      <c r="O745" s="257"/>
      <c r="P745" s="257"/>
      <c r="Q745" s="258"/>
      <c r="R745" s="39"/>
      <c r="S745" s="21"/>
      <c r="T745" s="21"/>
      <c r="U745" s="21"/>
    </row>
    <row r="746" spans="2:21">
      <c r="B746" s="232"/>
      <c r="C746" s="232"/>
      <c r="D746" s="255"/>
      <c r="E746" s="255"/>
      <c r="F746" s="255"/>
      <c r="G746" s="255"/>
      <c r="H746" s="38"/>
      <c r="I746" s="38"/>
      <c r="J746" s="38"/>
      <c r="K746" s="38"/>
      <c r="L746" s="39"/>
      <c r="M746" s="38"/>
      <c r="N746" s="39"/>
      <c r="O746" s="38"/>
      <c r="P746" s="38"/>
      <c r="Q746" s="38"/>
      <c r="R746" s="35"/>
      <c r="S746" s="33"/>
      <c r="T746" s="33"/>
      <c r="U746" s="21"/>
    </row>
    <row r="747" spans="2:21">
      <c r="B747" s="232"/>
      <c r="C747" s="232"/>
      <c r="D747" s="255"/>
      <c r="E747" s="255"/>
      <c r="F747" s="255"/>
      <c r="G747" s="255"/>
      <c r="H747" s="21"/>
      <c r="I747" s="21"/>
      <c r="J747" s="33"/>
      <c r="K747" s="35"/>
      <c r="L747" s="35"/>
      <c r="M747" s="33"/>
      <c r="N747" s="35"/>
      <c r="O747" s="35"/>
      <c r="P747" s="35"/>
      <c r="Q747" s="35"/>
      <c r="R747" s="35"/>
      <c r="S747" s="33"/>
      <c r="T747" s="33"/>
      <c r="U747" s="21"/>
    </row>
    <row r="748" spans="2:21" ht="12.75" customHeight="1">
      <c r="B748" s="232"/>
      <c r="C748" s="232"/>
      <c r="D748" s="9" t="s">
        <v>148</v>
      </c>
      <c r="E748" s="227" t="s">
        <v>157</v>
      </c>
      <c r="F748" s="228"/>
      <c r="G748" s="228"/>
      <c r="H748" s="228"/>
      <c r="I748" s="228"/>
      <c r="J748" s="228"/>
      <c r="K748" s="228"/>
      <c r="L748" s="228"/>
      <c r="M748" s="228"/>
      <c r="N748" s="228"/>
      <c r="O748" s="228"/>
      <c r="P748" s="228"/>
      <c r="Q748" s="228"/>
      <c r="R748" s="228"/>
      <c r="S748" s="228"/>
      <c r="T748" s="229"/>
      <c r="U748" s="21"/>
    </row>
    <row r="749" spans="2:21">
      <c r="B749" s="232"/>
      <c r="C749" s="232"/>
      <c r="D749" s="255"/>
      <c r="E749" s="255"/>
      <c r="F749" s="21" t="s">
        <v>27</v>
      </c>
      <c r="G749" s="256" t="s">
        <v>175</v>
      </c>
      <c r="H749" s="257"/>
      <c r="I749" s="257"/>
      <c r="J749" s="257"/>
      <c r="K749" s="257"/>
      <c r="L749" s="257"/>
      <c r="M749" s="257"/>
      <c r="N749" s="257"/>
      <c r="O749" s="257"/>
      <c r="P749" s="257"/>
      <c r="Q749" s="258"/>
      <c r="R749" s="39" t="s">
        <v>26</v>
      </c>
      <c r="S749" s="21"/>
      <c r="T749" s="21"/>
      <c r="U749" s="21"/>
    </row>
    <row r="750" spans="2:21">
      <c r="B750" s="232"/>
      <c r="C750" s="232"/>
      <c r="D750" s="255"/>
      <c r="E750" s="255"/>
      <c r="F750" s="263"/>
      <c r="G750" s="263"/>
      <c r="H750" s="21" t="s">
        <v>176</v>
      </c>
      <c r="I750" s="21"/>
      <c r="J750" s="33" t="s">
        <v>158</v>
      </c>
      <c r="K750" s="35" t="s">
        <v>330</v>
      </c>
      <c r="L750" s="35" t="s">
        <v>333</v>
      </c>
      <c r="M750" s="53">
        <v>44029</v>
      </c>
      <c r="N750" s="53">
        <v>44029</v>
      </c>
      <c r="O750" s="35" t="s">
        <v>340</v>
      </c>
      <c r="P750" s="35" t="s">
        <v>335</v>
      </c>
      <c r="Q750" s="35"/>
      <c r="R750" s="35"/>
      <c r="S750" s="33"/>
      <c r="T750" s="33"/>
      <c r="U750" s="21"/>
    </row>
    <row r="751" spans="2:21">
      <c r="B751" s="232"/>
      <c r="C751" s="232"/>
      <c r="D751" s="255"/>
      <c r="E751" s="255"/>
      <c r="F751" s="262"/>
      <c r="G751" s="262"/>
      <c r="H751" s="21"/>
      <c r="I751" s="21"/>
      <c r="J751" s="33" t="s">
        <v>158</v>
      </c>
      <c r="K751" s="53" t="s">
        <v>524</v>
      </c>
      <c r="L751" s="35" t="s">
        <v>332</v>
      </c>
      <c r="M751" s="53">
        <v>44104</v>
      </c>
      <c r="N751" s="53">
        <v>44082</v>
      </c>
      <c r="O751" s="35" t="s">
        <v>408</v>
      </c>
      <c r="P751" s="35" t="s">
        <v>400</v>
      </c>
      <c r="Q751" s="35"/>
      <c r="R751" s="35"/>
      <c r="S751" s="33"/>
      <c r="T751" s="33"/>
      <c r="U751" s="21"/>
    </row>
    <row r="752" spans="2:21">
      <c r="B752" s="232"/>
      <c r="C752" s="232"/>
      <c r="D752" s="255"/>
      <c r="E752" s="255"/>
      <c r="F752" s="262"/>
      <c r="G752" s="262"/>
      <c r="H752" s="21"/>
      <c r="I752" s="21"/>
      <c r="J752" s="33" t="s">
        <v>158</v>
      </c>
      <c r="K752" s="56" t="s">
        <v>3</v>
      </c>
      <c r="L752" s="35" t="s">
        <v>332</v>
      </c>
      <c r="M752" s="53" t="s">
        <v>524</v>
      </c>
      <c r="N752" s="53">
        <v>44105</v>
      </c>
      <c r="O752" s="35" t="s">
        <v>523</v>
      </c>
      <c r="P752" s="35" t="s">
        <v>525</v>
      </c>
      <c r="Q752" s="35"/>
      <c r="R752" s="35"/>
      <c r="S752" s="33"/>
      <c r="T752" s="33"/>
      <c r="U752" s="21"/>
    </row>
    <row r="753" spans="2:21">
      <c r="B753" s="232"/>
      <c r="C753" s="232"/>
      <c r="D753" s="255"/>
      <c r="E753" s="255"/>
      <c r="F753" s="262"/>
      <c r="G753" s="262"/>
      <c r="H753" s="21"/>
      <c r="I753" s="21"/>
      <c r="J753" s="33" t="s">
        <v>158</v>
      </c>
      <c r="K753" s="56" t="s">
        <v>512</v>
      </c>
      <c r="L753" s="35" t="s">
        <v>332</v>
      </c>
      <c r="M753" s="53" t="s">
        <v>524</v>
      </c>
      <c r="N753" s="53">
        <v>44111</v>
      </c>
      <c r="O753" s="35" t="s">
        <v>522</v>
      </c>
      <c r="P753" s="35" t="s">
        <v>561</v>
      </c>
      <c r="Q753" s="35"/>
      <c r="R753" s="35"/>
      <c r="S753" s="33"/>
      <c r="T753" s="33"/>
      <c r="U753" s="21"/>
    </row>
    <row r="754" spans="2:21">
      <c r="B754" s="232"/>
      <c r="C754" s="232"/>
      <c r="D754" s="255"/>
      <c r="E754" s="255"/>
      <c r="F754" s="262"/>
      <c r="G754" s="262"/>
      <c r="H754" s="21"/>
      <c r="I754" s="21"/>
      <c r="J754" s="33" t="s">
        <v>158</v>
      </c>
      <c r="K754" s="56" t="s">
        <v>729</v>
      </c>
      <c r="L754" s="35" t="s">
        <v>332</v>
      </c>
      <c r="M754" s="53" t="s">
        <v>524</v>
      </c>
      <c r="N754" s="53">
        <v>44174</v>
      </c>
      <c r="O754" s="35" t="s">
        <v>930</v>
      </c>
      <c r="P754" s="35" t="s">
        <v>733</v>
      </c>
      <c r="Q754" s="35"/>
      <c r="R754" s="35"/>
      <c r="S754" s="33"/>
      <c r="T754" s="33"/>
      <c r="U754" s="21"/>
    </row>
    <row r="755" spans="2:21">
      <c r="B755" s="232"/>
      <c r="C755" s="232"/>
      <c r="D755" s="255"/>
      <c r="E755" s="255"/>
      <c r="F755" s="262"/>
      <c r="G755" s="262"/>
      <c r="H755" s="21"/>
      <c r="I755" s="21"/>
      <c r="J755" s="33" t="s">
        <v>158</v>
      </c>
      <c r="K755" s="56" t="s">
        <v>730</v>
      </c>
      <c r="L755" s="35" t="s">
        <v>332</v>
      </c>
      <c r="M755" s="53" t="s">
        <v>524</v>
      </c>
      <c r="N755" s="53">
        <v>44218</v>
      </c>
      <c r="O755" s="35" t="s">
        <v>931</v>
      </c>
      <c r="P755" s="35" t="s">
        <v>932</v>
      </c>
      <c r="Q755" s="35"/>
      <c r="R755" s="35"/>
      <c r="S755" s="33"/>
      <c r="T755" s="33"/>
      <c r="U755" s="21"/>
    </row>
    <row r="756" spans="2:21">
      <c r="B756" s="232"/>
      <c r="C756" s="232"/>
      <c r="D756" s="255"/>
      <c r="E756" s="255"/>
      <c r="F756" s="262"/>
      <c r="G756" s="262"/>
      <c r="H756" s="21"/>
      <c r="I756" s="21"/>
      <c r="J756" s="33" t="s">
        <v>158</v>
      </c>
      <c r="K756" s="56" t="s">
        <v>730</v>
      </c>
      <c r="L756" s="35" t="s">
        <v>332</v>
      </c>
      <c r="M756" s="53" t="s">
        <v>524</v>
      </c>
      <c r="N756" s="53">
        <v>44223</v>
      </c>
      <c r="O756" s="35" t="s">
        <v>964</v>
      </c>
      <c r="P756" s="35" t="s">
        <v>965</v>
      </c>
      <c r="Q756" s="35"/>
      <c r="R756" s="35"/>
      <c r="S756" s="33"/>
      <c r="T756" s="33"/>
      <c r="U756" s="21"/>
    </row>
    <row r="757" spans="2:21">
      <c r="B757" s="232"/>
      <c r="C757" s="232"/>
      <c r="D757" s="255"/>
      <c r="E757" s="255"/>
      <c r="F757" s="262"/>
      <c r="G757" s="262"/>
      <c r="H757" s="21"/>
      <c r="I757" s="21"/>
      <c r="J757" s="33" t="s">
        <v>158</v>
      </c>
      <c r="K757" s="56" t="s">
        <v>1161</v>
      </c>
      <c r="L757" s="35" t="s">
        <v>332</v>
      </c>
      <c r="M757" s="53" t="s">
        <v>524</v>
      </c>
      <c r="N757" s="53">
        <v>44298</v>
      </c>
      <c r="O757" s="35" t="s">
        <v>1426</v>
      </c>
      <c r="P757" s="35" t="s">
        <v>1441</v>
      </c>
      <c r="Q757" s="35"/>
      <c r="R757" s="35"/>
      <c r="S757" s="33"/>
      <c r="T757" s="33"/>
      <c r="U757" s="21"/>
    </row>
    <row r="758" spans="2:21">
      <c r="B758" s="232"/>
      <c r="C758" s="232"/>
      <c r="D758" s="255"/>
      <c r="E758" s="255"/>
      <c r="F758" s="262"/>
      <c r="G758" s="262"/>
      <c r="H758" s="21"/>
      <c r="I758" s="21"/>
      <c r="J758" s="33" t="s">
        <v>158</v>
      </c>
      <c r="K758" s="56" t="s">
        <v>917</v>
      </c>
      <c r="L758" s="35" t="s">
        <v>332</v>
      </c>
      <c r="M758" s="53" t="s">
        <v>524</v>
      </c>
      <c r="N758" s="53">
        <v>44421</v>
      </c>
      <c r="O758" s="35" t="s">
        <v>2153</v>
      </c>
      <c r="P758" s="35" t="s">
        <v>2161</v>
      </c>
      <c r="Q758" s="35"/>
      <c r="R758" s="35"/>
      <c r="S758" s="33"/>
      <c r="T758" s="33"/>
      <c r="U758" s="21"/>
    </row>
    <row r="759" spans="2:21">
      <c r="B759" s="232"/>
      <c r="C759" s="232"/>
      <c r="D759" s="255"/>
      <c r="E759" s="255"/>
      <c r="F759" s="262"/>
      <c r="G759" s="262"/>
      <c r="H759" s="21"/>
      <c r="I759" s="21"/>
      <c r="J759" s="33" t="s">
        <v>158</v>
      </c>
      <c r="K759" s="56" t="s">
        <v>2082</v>
      </c>
      <c r="L759" s="35" t="s">
        <v>332</v>
      </c>
      <c r="M759" s="53" t="s">
        <v>524</v>
      </c>
      <c r="N759" s="53">
        <v>44701</v>
      </c>
      <c r="O759" s="35" t="s">
        <v>2919</v>
      </c>
      <c r="P759" s="35" t="s">
        <v>2927</v>
      </c>
      <c r="Q759" s="35"/>
      <c r="R759" s="35"/>
      <c r="S759" s="33"/>
      <c r="T759" s="33"/>
      <c r="U759" s="21"/>
    </row>
    <row r="760" spans="2:21">
      <c r="B760" s="232"/>
      <c r="C760" s="232"/>
      <c r="D760" s="255"/>
      <c r="E760" s="255"/>
      <c r="F760" s="262"/>
      <c r="G760" s="262"/>
      <c r="H760" s="21"/>
      <c r="I760" s="21"/>
      <c r="J760" s="33" t="s">
        <v>158</v>
      </c>
      <c r="K760" s="56" t="s">
        <v>2169</v>
      </c>
      <c r="L760" s="35" t="s">
        <v>332</v>
      </c>
      <c r="M760" s="53" t="s">
        <v>524</v>
      </c>
      <c r="N760" s="53">
        <v>45216</v>
      </c>
      <c r="O760" s="35" t="s">
        <v>3964</v>
      </c>
      <c r="P760" s="35" t="s">
        <v>3976</v>
      </c>
      <c r="Q760" s="35"/>
      <c r="R760" s="35"/>
      <c r="S760" s="33"/>
      <c r="T760" s="33"/>
      <c r="U760" s="21"/>
    </row>
    <row r="761" spans="2:21">
      <c r="B761" s="232"/>
      <c r="C761" s="232"/>
      <c r="D761" s="255"/>
      <c r="E761" s="255"/>
      <c r="F761" s="264"/>
      <c r="G761" s="264"/>
      <c r="H761" s="21"/>
      <c r="I761" s="21"/>
      <c r="J761" s="33"/>
      <c r="K761" s="56"/>
      <c r="L761" s="35"/>
      <c r="M761" s="53"/>
      <c r="N761" s="53"/>
      <c r="O761" s="35"/>
      <c r="P761" s="35"/>
      <c r="Q761" s="35"/>
      <c r="R761" s="35"/>
      <c r="S761" s="33"/>
      <c r="T761" s="33"/>
      <c r="U761" s="21"/>
    </row>
    <row r="762" spans="2:21">
      <c r="B762" s="232"/>
      <c r="C762" s="232"/>
      <c r="D762" s="255"/>
      <c r="E762" s="255"/>
      <c r="F762" s="21" t="s">
        <v>29</v>
      </c>
      <c r="G762" s="256"/>
      <c r="H762" s="257"/>
      <c r="I762" s="257"/>
      <c r="J762" s="257"/>
      <c r="K762" s="257"/>
      <c r="L762" s="257"/>
      <c r="M762" s="257"/>
      <c r="N762" s="257"/>
      <c r="O762" s="257"/>
      <c r="P762" s="257"/>
      <c r="Q762" s="258"/>
      <c r="R762" s="39"/>
      <c r="S762" s="21"/>
      <c r="T762" s="21"/>
      <c r="U762" s="21"/>
    </row>
    <row r="763" spans="2:21">
      <c r="B763" s="232"/>
      <c r="C763" s="232"/>
      <c r="D763" s="255"/>
      <c r="E763" s="255"/>
      <c r="F763" s="263"/>
      <c r="G763" s="263"/>
      <c r="H763" s="38"/>
      <c r="I763" s="38"/>
      <c r="J763" s="38"/>
      <c r="K763" s="38"/>
      <c r="L763" s="39"/>
      <c r="M763" s="38"/>
      <c r="N763" s="39"/>
      <c r="O763" s="38"/>
      <c r="P763" s="38"/>
      <c r="Q763" s="59"/>
      <c r="R763" s="35"/>
      <c r="S763" s="33"/>
      <c r="T763" s="33"/>
      <c r="U763" s="21"/>
    </row>
    <row r="764" spans="2:21">
      <c r="B764" s="232"/>
      <c r="C764" s="232"/>
      <c r="D764" s="255"/>
      <c r="E764" s="255"/>
      <c r="F764" s="264"/>
      <c r="G764" s="264"/>
      <c r="H764" s="21"/>
      <c r="I764" s="21"/>
      <c r="J764" s="33"/>
      <c r="K764" s="35"/>
      <c r="L764" s="35"/>
      <c r="M764" s="33"/>
      <c r="N764" s="35"/>
      <c r="O764" s="35"/>
      <c r="P764" s="35"/>
      <c r="Q764" s="35"/>
      <c r="R764" s="35"/>
      <c r="S764" s="33"/>
      <c r="T764" s="33"/>
      <c r="U764" s="21"/>
    </row>
    <row r="765" spans="2:21" ht="12.75" customHeight="1">
      <c r="B765" s="232"/>
      <c r="C765" s="232"/>
      <c r="D765" s="9" t="s">
        <v>149</v>
      </c>
      <c r="E765" s="259" t="s">
        <v>147</v>
      </c>
      <c r="F765" s="260"/>
      <c r="G765" s="260"/>
      <c r="H765" s="260"/>
      <c r="I765" s="260"/>
      <c r="J765" s="260"/>
      <c r="K765" s="260"/>
      <c r="L765" s="260"/>
      <c r="M765" s="260"/>
      <c r="N765" s="260"/>
      <c r="O765" s="260"/>
      <c r="P765" s="260"/>
      <c r="Q765" s="260"/>
      <c r="R765" s="260"/>
      <c r="S765" s="260"/>
      <c r="T765" s="261"/>
      <c r="U765" s="21"/>
    </row>
    <row r="766" spans="2:21">
      <c r="B766" s="232"/>
      <c r="C766" s="232"/>
      <c r="D766" s="255"/>
      <c r="E766" s="255"/>
      <c r="F766" s="21" t="s">
        <v>27</v>
      </c>
      <c r="G766" s="256" t="s">
        <v>175</v>
      </c>
      <c r="H766" s="257"/>
      <c r="I766" s="257"/>
      <c r="J766" s="257"/>
      <c r="K766" s="257"/>
      <c r="L766" s="257"/>
      <c r="M766" s="257"/>
      <c r="N766" s="257"/>
      <c r="O766" s="257"/>
      <c r="P766" s="257"/>
      <c r="Q766" s="258"/>
      <c r="R766" s="39" t="s">
        <v>26</v>
      </c>
      <c r="S766" s="21"/>
      <c r="T766" s="21"/>
      <c r="U766" s="21"/>
    </row>
    <row r="767" spans="2:21">
      <c r="B767" s="232"/>
      <c r="C767" s="232"/>
      <c r="D767" s="255"/>
      <c r="E767" s="255"/>
      <c r="F767" s="262"/>
      <c r="G767" s="262"/>
      <c r="H767" s="21" t="s">
        <v>176</v>
      </c>
      <c r="I767" s="21"/>
      <c r="J767" s="33" t="s">
        <v>187</v>
      </c>
      <c r="K767" s="35" t="s">
        <v>330</v>
      </c>
      <c r="L767" s="35" t="s">
        <v>333</v>
      </c>
      <c r="M767" s="53">
        <v>44029</v>
      </c>
      <c r="N767" s="53">
        <v>44029</v>
      </c>
      <c r="O767" s="35" t="s">
        <v>341</v>
      </c>
      <c r="P767" s="35" t="s">
        <v>335</v>
      </c>
      <c r="Q767" s="35"/>
      <c r="R767" s="35"/>
      <c r="S767" s="33"/>
      <c r="T767" s="33"/>
      <c r="U767" s="21"/>
    </row>
    <row r="768" spans="2:21">
      <c r="B768" s="232"/>
      <c r="C768" s="232"/>
      <c r="D768" s="255"/>
      <c r="E768" s="255"/>
      <c r="F768" s="262"/>
      <c r="G768" s="262"/>
      <c r="H768" s="21"/>
      <c r="I768" s="21"/>
      <c r="J768" s="33" t="s">
        <v>402</v>
      </c>
      <c r="K768" s="35" t="s">
        <v>330</v>
      </c>
      <c r="L768" s="35" t="s">
        <v>333</v>
      </c>
      <c r="M768" s="53">
        <v>44104</v>
      </c>
      <c r="N768" s="53">
        <v>44085</v>
      </c>
      <c r="O768" s="35" t="s">
        <v>403</v>
      </c>
      <c r="P768" s="35" t="s">
        <v>405</v>
      </c>
      <c r="Q768" s="35"/>
      <c r="R768" s="35"/>
      <c r="S768" s="33"/>
      <c r="T768" s="33"/>
      <c r="U768" s="21"/>
    </row>
    <row r="769" spans="2:21">
      <c r="B769" s="232"/>
      <c r="C769" s="232"/>
      <c r="D769" s="255"/>
      <c r="E769" s="255"/>
      <c r="F769" s="262"/>
      <c r="G769" s="262"/>
      <c r="H769" s="21"/>
      <c r="I769" s="21"/>
      <c r="J769" s="33" t="s">
        <v>402</v>
      </c>
      <c r="K769" s="35" t="s">
        <v>1216</v>
      </c>
      <c r="L769" s="35" t="s">
        <v>333</v>
      </c>
      <c r="M769" s="53" t="s">
        <v>349</v>
      </c>
      <c r="N769" s="53">
        <v>44123</v>
      </c>
      <c r="O769" s="35" t="s">
        <v>403</v>
      </c>
      <c r="P769" s="35" t="s">
        <v>546</v>
      </c>
      <c r="Q769" s="35"/>
      <c r="R769" s="35"/>
      <c r="S769" s="33"/>
      <c r="T769" s="33"/>
      <c r="U769" s="21"/>
    </row>
    <row r="770" spans="2:21">
      <c r="B770" s="232"/>
      <c r="C770" s="232"/>
      <c r="D770" s="255"/>
      <c r="E770" s="255"/>
      <c r="F770" s="262"/>
      <c r="G770" s="262"/>
      <c r="H770" s="21"/>
      <c r="I770" s="21"/>
      <c r="J770" s="33" t="s">
        <v>402</v>
      </c>
      <c r="K770" s="35" t="s">
        <v>1230</v>
      </c>
      <c r="L770" s="35" t="s">
        <v>332</v>
      </c>
      <c r="M770" s="53">
        <v>44180</v>
      </c>
      <c r="N770" s="53">
        <v>44179</v>
      </c>
      <c r="O770" s="35" t="s">
        <v>403</v>
      </c>
      <c r="P770" s="35" t="s">
        <v>765</v>
      </c>
      <c r="Q770" s="35"/>
      <c r="R770" s="35"/>
      <c r="S770" s="33"/>
      <c r="T770" s="33"/>
      <c r="U770" s="21"/>
    </row>
    <row r="771" spans="2:21">
      <c r="B771" s="232"/>
      <c r="C771" s="232"/>
      <c r="D771" s="255"/>
      <c r="E771" s="255"/>
      <c r="F771" s="262"/>
      <c r="G771" s="262"/>
      <c r="H771" s="21"/>
      <c r="I771" s="21"/>
      <c r="J771" s="33" t="s">
        <v>402</v>
      </c>
      <c r="K771" s="35" t="s">
        <v>1231</v>
      </c>
      <c r="L771" s="35" t="s">
        <v>332</v>
      </c>
      <c r="M771" s="53" t="s">
        <v>349</v>
      </c>
      <c r="N771" s="53">
        <v>44256</v>
      </c>
      <c r="O771" s="35" t="s">
        <v>403</v>
      </c>
      <c r="P771" s="35" t="s">
        <v>1168</v>
      </c>
      <c r="Q771" s="35"/>
      <c r="R771" s="35"/>
      <c r="S771" s="33"/>
      <c r="T771" s="33"/>
      <c r="U771" s="21"/>
    </row>
    <row r="772" spans="2:21">
      <c r="B772" s="232"/>
      <c r="C772" s="232"/>
      <c r="D772" s="255"/>
      <c r="E772" s="255"/>
      <c r="F772" s="262"/>
      <c r="G772" s="262"/>
      <c r="H772" s="21"/>
      <c r="I772" s="21"/>
      <c r="J772" s="33" t="s">
        <v>402</v>
      </c>
      <c r="K772" s="35" t="s">
        <v>1232</v>
      </c>
      <c r="L772" s="35" t="s">
        <v>332</v>
      </c>
      <c r="M772" s="53" t="s">
        <v>349</v>
      </c>
      <c r="N772" s="53">
        <v>44291</v>
      </c>
      <c r="O772" s="35" t="s">
        <v>403</v>
      </c>
      <c r="P772" s="35" t="s">
        <v>1395</v>
      </c>
      <c r="Q772" s="35"/>
      <c r="R772" s="35"/>
      <c r="S772" s="33"/>
      <c r="T772" s="33"/>
      <c r="U772" s="21"/>
    </row>
    <row r="773" spans="2:21">
      <c r="B773" s="232"/>
      <c r="C773" s="232"/>
      <c r="D773" s="255"/>
      <c r="E773" s="255"/>
      <c r="F773" s="262"/>
      <c r="G773" s="262"/>
      <c r="H773" s="21"/>
      <c r="I773" s="21"/>
      <c r="J773" s="33" t="s">
        <v>402</v>
      </c>
      <c r="K773" s="35" t="s">
        <v>1396</v>
      </c>
      <c r="L773" s="35" t="s">
        <v>332</v>
      </c>
      <c r="M773" s="53" t="s">
        <v>349</v>
      </c>
      <c r="N773" s="53">
        <v>44531</v>
      </c>
      <c r="O773" s="35" t="s">
        <v>403</v>
      </c>
      <c r="P773" s="35" t="s">
        <v>2485</v>
      </c>
      <c r="Q773" s="35"/>
      <c r="R773" s="35"/>
      <c r="S773" s="33"/>
      <c r="T773" s="33"/>
      <c r="U773" s="21"/>
    </row>
    <row r="774" spans="2:21">
      <c r="B774" s="232"/>
      <c r="C774" s="232"/>
      <c r="D774" s="255"/>
      <c r="E774" s="255"/>
      <c r="F774" s="262"/>
      <c r="G774" s="262"/>
      <c r="H774" s="21"/>
      <c r="I774" s="21"/>
      <c r="J774" s="33" t="s">
        <v>402</v>
      </c>
      <c r="K774" s="35" t="s">
        <v>2098</v>
      </c>
      <c r="L774" s="35" t="s">
        <v>332</v>
      </c>
      <c r="M774" s="53" t="s">
        <v>349</v>
      </c>
      <c r="N774" s="53">
        <v>44614</v>
      </c>
      <c r="O774" s="35" t="s">
        <v>403</v>
      </c>
      <c r="P774" s="35" t="s">
        <v>2673</v>
      </c>
      <c r="Q774" s="35"/>
      <c r="R774" s="35"/>
      <c r="S774" s="33"/>
      <c r="T774" s="33"/>
      <c r="U774" s="21"/>
    </row>
    <row r="775" spans="2:21">
      <c r="B775" s="232"/>
      <c r="C775" s="232"/>
      <c r="D775" s="255"/>
      <c r="E775" s="255"/>
      <c r="F775" s="262"/>
      <c r="G775" s="262"/>
      <c r="H775" s="21"/>
      <c r="I775" s="21"/>
      <c r="J775" s="33" t="s">
        <v>402</v>
      </c>
      <c r="K775" s="35" t="s">
        <v>1694</v>
      </c>
      <c r="L775" s="35" t="s">
        <v>332</v>
      </c>
      <c r="M775" s="53" t="s">
        <v>349</v>
      </c>
      <c r="N775" s="53">
        <v>44678</v>
      </c>
      <c r="O775" s="35" t="s">
        <v>403</v>
      </c>
      <c r="P775" s="35" t="s">
        <v>2903</v>
      </c>
      <c r="Q775" s="35"/>
      <c r="R775" s="35"/>
      <c r="S775" s="33"/>
      <c r="T775" s="33"/>
      <c r="U775" s="21"/>
    </row>
    <row r="776" spans="2:21">
      <c r="B776" s="232"/>
      <c r="C776" s="232"/>
      <c r="D776" s="255"/>
      <c r="E776" s="255"/>
      <c r="F776" s="262"/>
      <c r="G776" s="262"/>
      <c r="H776" s="21"/>
      <c r="I776" s="21"/>
      <c r="J776" s="33"/>
      <c r="K776" s="35"/>
      <c r="L776" s="35"/>
      <c r="M776" s="53"/>
      <c r="N776" s="53"/>
      <c r="O776" s="35"/>
      <c r="P776" s="35"/>
      <c r="Q776" s="35"/>
      <c r="R776" s="35"/>
      <c r="S776" s="33"/>
      <c r="T776" s="33"/>
      <c r="U776" s="21"/>
    </row>
    <row r="777" spans="2:21">
      <c r="B777" s="232"/>
      <c r="C777" s="232"/>
      <c r="D777" s="255"/>
      <c r="E777" s="255"/>
      <c r="F777" s="262"/>
      <c r="G777" s="262"/>
      <c r="H777" s="21"/>
      <c r="I777" s="21"/>
      <c r="J777" s="33"/>
      <c r="K777" s="35"/>
      <c r="L777" s="35"/>
      <c r="M777" s="53"/>
      <c r="N777" s="35"/>
      <c r="O777" s="35"/>
      <c r="P777" s="35"/>
      <c r="Q777" s="35"/>
      <c r="R777" s="35"/>
      <c r="S777" s="33"/>
      <c r="T777" s="33"/>
      <c r="U777" s="21"/>
    </row>
    <row r="778" spans="2:21">
      <c r="B778" s="232"/>
      <c r="C778" s="232"/>
      <c r="D778" s="255"/>
      <c r="E778" s="255"/>
      <c r="F778" s="262"/>
      <c r="G778" s="262"/>
      <c r="H778" s="21" t="s">
        <v>177</v>
      </c>
      <c r="I778" s="21"/>
      <c r="J778" s="33" t="s">
        <v>401</v>
      </c>
      <c r="K778" s="35" t="s">
        <v>330</v>
      </c>
      <c r="L778" s="35" t="s">
        <v>333</v>
      </c>
      <c r="M778" s="53">
        <v>44104</v>
      </c>
      <c r="N778" s="53">
        <v>44085</v>
      </c>
      <c r="O778" s="35" t="s">
        <v>404</v>
      </c>
      <c r="P778" s="35" t="s">
        <v>405</v>
      </c>
      <c r="Q778" s="35"/>
      <c r="R778" s="35"/>
      <c r="S778" s="33"/>
      <c r="T778" s="33"/>
      <c r="U778" s="21"/>
    </row>
    <row r="779" spans="2:21">
      <c r="B779" s="232"/>
      <c r="C779" s="232"/>
      <c r="D779" s="255"/>
      <c r="E779" s="255"/>
      <c r="F779" s="262"/>
      <c r="G779" s="262"/>
      <c r="H779" s="21"/>
      <c r="I779" s="21"/>
      <c r="J779" s="33" t="s">
        <v>401</v>
      </c>
      <c r="K779" s="35" t="s">
        <v>1216</v>
      </c>
      <c r="L779" s="35" t="s">
        <v>333</v>
      </c>
      <c r="M779" s="53" t="s">
        <v>349</v>
      </c>
      <c r="N779" s="53">
        <v>44123</v>
      </c>
      <c r="O779" s="35" t="s">
        <v>404</v>
      </c>
      <c r="P779" s="35" t="s">
        <v>546</v>
      </c>
      <c r="Q779" s="35"/>
      <c r="R779" s="35"/>
      <c r="S779" s="33"/>
      <c r="T779" s="33"/>
      <c r="U779" s="21"/>
    </row>
    <row r="780" spans="2:21">
      <c r="B780" s="232"/>
      <c r="C780" s="232"/>
      <c r="D780" s="255"/>
      <c r="E780" s="255"/>
      <c r="F780" s="262"/>
      <c r="G780" s="262"/>
      <c r="H780" s="21"/>
      <c r="I780" s="21"/>
      <c r="J780" s="33" t="s">
        <v>401</v>
      </c>
      <c r="K780" s="35" t="s">
        <v>1230</v>
      </c>
      <c r="L780" s="35" t="s">
        <v>332</v>
      </c>
      <c r="M780" s="53">
        <v>44180</v>
      </c>
      <c r="N780" s="53">
        <v>44179</v>
      </c>
      <c r="O780" s="35" t="s">
        <v>404</v>
      </c>
      <c r="P780" s="35" t="s">
        <v>765</v>
      </c>
      <c r="Q780" s="35"/>
      <c r="R780" s="35"/>
      <c r="S780" s="33"/>
      <c r="T780" s="33"/>
      <c r="U780" s="21"/>
    </row>
    <row r="781" spans="2:21">
      <c r="B781" s="232"/>
      <c r="C781" s="232"/>
      <c r="D781" s="255"/>
      <c r="E781" s="255"/>
      <c r="F781" s="262"/>
      <c r="G781" s="262"/>
      <c r="H781" s="21"/>
      <c r="I781" s="21"/>
      <c r="J781" s="33" t="s">
        <v>401</v>
      </c>
      <c r="K781" s="35" t="s">
        <v>1231</v>
      </c>
      <c r="L781" s="35" t="s">
        <v>332</v>
      </c>
      <c r="M781" s="53" t="s">
        <v>349</v>
      </c>
      <c r="N781" s="53">
        <v>44256</v>
      </c>
      <c r="O781" s="35" t="s">
        <v>404</v>
      </c>
      <c r="P781" s="35" t="s">
        <v>1168</v>
      </c>
      <c r="Q781" s="35"/>
      <c r="R781" s="35"/>
      <c r="S781" s="33"/>
      <c r="T781" s="33"/>
      <c r="U781" s="21"/>
    </row>
    <row r="782" spans="2:21">
      <c r="B782" s="232"/>
      <c r="C782" s="232"/>
      <c r="D782" s="255"/>
      <c r="E782" s="255"/>
      <c r="F782" s="262"/>
      <c r="G782" s="262"/>
      <c r="H782" s="21"/>
      <c r="I782" s="21"/>
      <c r="J782" s="33" t="s">
        <v>401</v>
      </c>
      <c r="K782" s="35" t="s">
        <v>1232</v>
      </c>
      <c r="L782" s="35" t="s">
        <v>332</v>
      </c>
      <c r="M782" s="53" t="s">
        <v>349</v>
      </c>
      <c r="N782" s="53">
        <v>44266</v>
      </c>
      <c r="O782" s="35" t="s">
        <v>404</v>
      </c>
      <c r="P782" s="35" t="s">
        <v>1225</v>
      </c>
      <c r="Q782" s="35"/>
      <c r="R782" s="35"/>
      <c r="S782" s="33"/>
      <c r="T782" s="33"/>
      <c r="U782" s="21"/>
    </row>
    <row r="783" spans="2:21">
      <c r="B783" s="232"/>
      <c r="C783" s="232"/>
      <c r="D783" s="255"/>
      <c r="E783" s="255"/>
      <c r="F783" s="262"/>
      <c r="G783" s="262"/>
      <c r="H783" s="21"/>
      <c r="I783" s="21"/>
      <c r="J783" s="33" t="s">
        <v>401</v>
      </c>
      <c r="K783" s="35" t="s">
        <v>1396</v>
      </c>
      <c r="L783" s="35" t="s">
        <v>332</v>
      </c>
      <c r="M783" s="53" t="s">
        <v>349</v>
      </c>
      <c r="N783" s="53">
        <v>44291</v>
      </c>
      <c r="O783" s="35" t="s">
        <v>404</v>
      </c>
      <c r="P783" s="35" t="s">
        <v>1395</v>
      </c>
      <c r="Q783" s="35"/>
      <c r="R783" s="35"/>
      <c r="S783" s="33"/>
      <c r="T783" s="33"/>
      <c r="U783" s="21"/>
    </row>
    <row r="784" spans="2:21">
      <c r="B784" s="232"/>
      <c r="C784" s="232"/>
      <c r="D784" s="255"/>
      <c r="E784" s="255"/>
      <c r="F784" s="262"/>
      <c r="G784" s="262"/>
      <c r="H784" s="21"/>
      <c r="I784" s="21"/>
      <c r="J784" s="33" t="s">
        <v>401</v>
      </c>
      <c r="K784" s="35" t="s">
        <v>1695</v>
      </c>
      <c r="L784" s="35" t="s">
        <v>332</v>
      </c>
      <c r="M784" s="53" t="s">
        <v>349</v>
      </c>
      <c r="N784" s="53">
        <v>44531</v>
      </c>
      <c r="O784" s="35" t="s">
        <v>404</v>
      </c>
      <c r="P784" s="35" t="s">
        <v>2485</v>
      </c>
      <c r="Q784" s="35"/>
      <c r="R784" s="35"/>
      <c r="S784" s="33"/>
      <c r="T784" s="33"/>
      <c r="U784" s="21"/>
    </row>
    <row r="785" spans="2:21">
      <c r="B785" s="232"/>
      <c r="C785" s="232"/>
      <c r="D785" s="255"/>
      <c r="E785" s="255"/>
      <c r="F785" s="262"/>
      <c r="G785" s="262"/>
      <c r="H785" s="21"/>
      <c r="I785" s="21"/>
      <c r="J785" s="33" t="s">
        <v>401</v>
      </c>
      <c r="K785" s="35" t="s">
        <v>1694</v>
      </c>
      <c r="L785" s="35" t="s">
        <v>332</v>
      </c>
      <c r="M785" s="53" t="s">
        <v>349</v>
      </c>
      <c r="N785" s="53">
        <v>44614</v>
      </c>
      <c r="O785" s="35" t="s">
        <v>404</v>
      </c>
      <c r="P785" s="35" t="s">
        <v>2673</v>
      </c>
      <c r="Q785" s="35"/>
      <c r="R785" s="35"/>
      <c r="S785" s="33"/>
      <c r="T785" s="33"/>
      <c r="U785" s="21"/>
    </row>
    <row r="786" spans="2:21">
      <c r="B786" s="232"/>
      <c r="C786" s="232"/>
      <c r="D786" s="255"/>
      <c r="E786" s="255"/>
      <c r="F786" s="262"/>
      <c r="G786" s="262"/>
      <c r="H786" s="21"/>
      <c r="I786" s="21"/>
      <c r="J786" s="33" t="s">
        <v>401</v>
      </c>
      <c r="K786" s="35" t="s">
        <v>2097</v>
      </c>
      <c r="L786" s="35" t="s">
        <v>332</v>
      </c>
      <c r="M786" s="53" t="s">
        <v>349</v>
      </c>
      <c r="N786" s="53">
        <v>44678</v>
      </c>
      <c r="O786" s="35" t="s">
        <v>404</v>
      </c>
      <c r="P786" s="35" t="s">
        <v>2903</v>
      </c>
      <c r="Q786" s="35"/>
      <c r="R786" s="35"/>
      <c r="S786" s="33"/>
      <c r="T786" s="33"/>
      <c r="U786" s="21"/>
    </row>
    <row r="787" spans="2:21">
      <c r="B787" s="232"/>
      <c r="C787" s="232"/>
      <c r="D787" s="255"/>
      <c r="E787" s="255"/>
      <c r="F787" s="262"/>
      <c r="G787" s="262"/>
      <c r="H787" s="21"/>
      <c r="I787" s="21"/>
      <c r="J787" s="33"/>
      <c r="K787" s="35"/>
      <c r="L787" s="35"/>
      <c r="M787" s="53"/>
      <c r="N787" s="53"/>
      <c r="O787" s="35"/>
      <c r="P787" s="35"/>
      <c r="Q787" s="35"/>
      <c r="R787" s="35"/>
      <c r="S787" s="33"/>
      <c r="T787" s="33"/>
      <c r="U787" s="21"/>
    </row>
    <row r="788" spans="2:21">
      <c r="B788" s="232"/>
      <c r="C788" s="232"/>
      <c r="D788" s="255"/>
      <c r="E788" s="255"/>
      <c r="F788" s="262"/>
      <c r="G788" s="262"/>
      <c r="H788" s="21"/>
      <c r="I788" s="21"/>
      <c r="J788" s="33"/>
      <c r="K788" s="35"/>
      <c r="L788" s="35"/>
      <c r="M788" s="53"/>
      <c r="N788" s="35"/>
      <c r="O788" s="35"/>
      <c r="P788" s="35"/>
      <c r="Q788" s="35"/>
      <c r="R788" s="35"/>
      <c r="S788" s="33"/>
      <c r="T788" s="33"/>
      <c r="U788" s="21"/>
    </row>
    <row r="789" spans="2:21">
      <c r="B789" s="232"/>
      <c r="C789" s="232"/>
      <c r="D789" s="255"/>
      <c r="E789" s="255"/>
      <c r="F789" s="21" t="s">
        <v>29</v>
      </c>
      <c r="G789" s="256" t="s">
        <v>257</v>
      </c>
      <c r="H789" s="257"/>
      <c r="I789" s="257"/>
      <c r="J789" s="257"/>
      <c r="K789" s="257"/>
      <c r="L789" s="257"/>
      <c r="M789" s="257"/>
      <c r="N789" s="257"/>
      <c r="O789" s="257"/>
      <c r="P789" s="257"/>
      <c r="Q789" s="258"/>
      <c r="R789" s="39"/>
      <c r="S789" s="21"/>
      <c r="T789" s="21"/>
      <c r="U789" s="21"/>
    </row>
    <row r="790" spans="2:21">
      <c r="B790" s="232"/>
      <c r="C790" s="232"/>
      <c r="D790" s="255"/>
      <c r="E790" s="255"/>
      <c r="F790" s="263"/>
      <c r="G790" s="263"/>
      <c r="H790" s="21" t="s">
        <v>176</v>
      </c>
      <c r="I790" s="21"/>
      <c r="J790" s="33" t="s">
        <v>187</v>
      </c>
      <c r="K790" s="35" t="s">
        <v>349</v>
      </c>
      <c r="L790" s="35" t="s">
        <v>332</v>
      </c>
      <c r="M790" s="53">
        <v>44070</v>
      </c>
      <c r="N790" s="53">
        <v>44085</v>
      </c>
      <c r="O790" s="35" t="s">
        <v>406</v>
      </c>
      <c r="P790" s="35" t="s">
        <v>405</v>
      </c>
      <c r="Q790" s="35"/>
      <c r="R790" s="35"/>
      <c r="S790" s="33"/>
      <c r="T790" s="33"/>
      <c r="U790" s="21"/>
    </row>
    <row r="791" spans="2:21">
      <c r="B791" s="232"/>
      <c r="C791" s="232"/>
      <c r="D791" s="255"/>
      <c r="E791" s="255"/>
      <c r="F791" s="262"/>
      <c r="G791" s="262"/>
      <c r="H791" s="21"/>
      <c r="I791" s="21"/>
      <c r="J791" s="33" t="s">
        <v>187</v>
      </c>
      <c r="K791" s="35" t="s">
        <v>1230</v>
      </c>
      <c r="L791" s="35" t="s">
        <v>332</v>
      </c>
      <c r="M791" s="53" t="s">
        <v>349</v>
      </c>
      <c r="N791" s="53">
        <v>44266</v>
      </c>
      <c r="O791" s="35" t="s">
        <v>406</v>
      </c>
      <c r="P791" s="35" t="s">
        <v>1239</v>
      </c>
      <c r="Q791" s="35"/>
      <c r="R791" s="35"/>
      <c r="S791" s="33"/>
      <c r="T791" s="33"/>
      <c r="U791" s="21"/>
    </row>
    <row r="792" spans="2:21">
      <c r="B792" s="232"/>
      <c r="C792" s="232"/>
      <c r="D792" s="255"/>
      <c r="E792" s="255"/>
      <c r="F792" s="262"/>
      <c r="G792" s="262"/>
      <c r="H792" s="21"/>
      <c r="I792" s="21"/>
      <c r="J792" s="33" t="s">
        <v>187</v>
      </c>
      <c r="K792" s="35" t="s">
        <v>1231</v>
      </c>
      <c r="L792" s="35" t="s">
        <v>332</v>
      </c>
      <c r="M792" s="53" t="s">
        <v>349</v>
      </c>
      <c r="N792" s="53">
        <v>44291</v>
      </c>
      <c r="O792" s="35" t="s">
        <v>406</v>
      </c>
      <c r="P792" s="35" t="s">
        <v>1395</v>
      </c>
      <c r="Q792" s="35"/>
      <c r="R792" s="35"/>
      <c r="S792" s="33"/>
      <c r="T792" s="33"/>
      <c r="U792" s="21"/>
    </row>
    <row r="793" spans="2:21">
      <c r="B793" s="232"/>
      <c r="C793" s="232"/>
      <c r="D793" s="255"/>
      <c r="E793" s="255"/>
      <c r="F793" s="262"/>
      <c r="G793" s="262"/>
      <c r="H793" s="21"/>
      <c r="I793" s="21"/>
      <c r="J793" s="33" t="s">
        <v>187</v>
      </c>
      <c r="K793" s="35" t="s">
        <v>1232</v>
      </c>
      <c r="L793" s="35" t="s">
        <v>332</v>
      </c>
      <c r="M793" s="53" t="s">
        <v>349</v>
      </c>
      <c r="N793" s="53">
        <v>44326</v>
      </c>
      <c r="O793" s="35" t="s">
        <v>406</v>
      </c>
      <c r="P793" s="35" t="s">
        <v>1670</v>
      </c>
      <c r="Q793" s="35"/>
      <c r="R793" s="35"/>
      <c r="S793" s="33"/>
      <c r="T793" s="33"/>
      <c r="U793" s="21"/>
    </row>
    <row r="794" spans="2:21">
      <c r="B794" s="232"/>
      <c r="C794" s="232"/>
      <c r="D794" s="255"/>
      <c r="E794" s="255"/>
      <c r="F794" s="262"/>
      <c r="G794" s="262"/>
      <c r="H794" s="21"/>
      <c r="I794" s="21"/>
      <c r="J794" s="33" t="s">
        <v>187</v>
      </c>
      <c r="K794" s="35" t="s">
        <v>1396</v>
      </c>
      <c r="L794" s="35" t="s">
        <v>332</v>
      </c>
      <c r="M794" s="53" t="s">
        <v>349</v>
      </c>
      <c r="N794" s="53">
        <v>44532</v>
      </c>
      <c r="O794" s="35" t="s">
        <v>406</v>
      </c>
      <c r="P794" s="35" t="s">
        <v>2502</v>
      </c>
      <c r="Q794" s="35"/>
      <c r="R794" s="35"/>
      <c r="S794" s="33"/>
      <c r="T794" s="33"/>
      <c r="U794" s="21"/>
    </row>
    <row r="795" spans="2:21">
      <c r="B795" s="232"/>
      <c r="C795" s="232"/>
      <c r="D795" s="255"/>
      <c r="E795" s="255"/>
      <c r="F795" s="262"/>
      <c r="G795" s="262"/>
      <c r="H795" s="21"/>
      <c r="I795" s="21"/>
      <c r="J795" s="33" t="s">
        <v>187</v>
      </c>
      <c r="K795" s="35" t="s">
        <v>1695</v>
      </c>
      <c r="L795" s="35" t="s">
        <v>332</v>
      </c>
      <c r="M795" s="53" t="s">
        <v>349</v>
      </c>
      <c r="N795" s="53">
        <v>44532</v>
      </c>
      <c r="O795" s="35" t="s">
        <v>406</v>
      </c>
      <c r="P795" s="35" t="s">
        <v>2502</v>
      </c>
      <c r="Q795" s="35"/>
      <c r="R795" s="35"/>
      <c r="S795" s="33"/>
      <c r="T795" s="33"/>
      <c r="U795" s="21"/>
    </row>
    <row r="796" spans="2:21">
      <c r="B796" s="232"/>
      <c r="C796" s="232"/>
      <c r="D796" s="255"/>
      <c r="E796" s="255"/>
      <c r="F796" s="262"/>
      <c r="G796" s="262"/>
      <c r="H796" s="21"/>
      <c r="I796" s="21"/>
      <c r="J796" s="33" t="s">
        <v>187</v>
      </c>
      <c r="K796" s="35" t="s">
        <v>2097</v>
      </c>
      <c r="L796" s="35" t="s">
        <v>332</v>
      </c>
      <c r="M796" s="53" t="s">
        <v>349</v>
      </c>
      <c r="N796" s="53">
        <v>44678</v>
      </c>
      <c r="O796" s="35" t="s">
        <v>406</v>
      </c>
      <c r="P796" s="35" t="s">
        <v>2903</v>
      </c>
      <c r="Q796" s="35"/>
      <c r="R796" s="35"/>
      <c r="S796" s="33"/>
      <c r="T796" s="33"/>
      <c r="U796" s="21"/>
    </row>
    <row r="797" spans="2:21">
      <c r="B797" s="232"/>
      <c r="C797" s="232"/>
      <c r="D797" s="255"/>
      <c r="E797" s="255"/>
      <c r="F797" s="262"/>
      <c r="G797" s="262"/>
      <c r="H797" s="21"/>
      <c r="I797" s="21"/>
      <c r="J797" s="33" t="s">
        <v>187</v>
      </c>
      <c r="K797" s="35" t="s">
        <v>1767</v>
      </c>
      <c r="L797" s="35" t="s">
        <v>332</v>
      </c>
      <c r="M797" s="53" t="s">
        <v>349</v>
      </c>
      <c r="N797" s="53">
        <v>45009</v>
      </c>
      <c r="O797" s="35" t="s">
        <v>406</v>
      </c>
      <c r="P797" s="35" t="s">
        <v>3632</v>
      </c>
      <c r="Q797" s="35"/>
      <c r="R797" s="35"/>
      <c r="S797" s="33"/>
      <c r="T797" s="33"/>
      <c r="U797" s="21"/>
    </row>
    <row r="798" spans="2:21">
      <c r="B798" s="232"/>
      <c r="C798" s="232"/>
      <c r="D798" s="255"/>
      <c r="E798" s="255"/>
      <c r="F798" s="264"/>
      <c r="G798" s="264"/>
      <c r="H798" s="21"/>
      <c r="I798" s="21"/>
      <c r="J798" s="33"/>
      <c r="K798" s="35"/>
      <c r="L798" s="35"/>
      <c r="M798" s="53"/>
      <c r="N798" s="53"/>
      <c r="O798" s="35"/>
      <c r="P798" s="35"/>
      <c r="Q798" s="35"/>
      <c r="R798" s="35"/>
      <c r="S798" s="33"/>
      <c r="T798" s="33"/>
      <c r="U798" s="21"/>
    </row>
    <row r="799" spans="2:21">
      <c r="B799" s="232"/>
      <c r="C799" s="232"/>
      <c r="D799" s="255"/>
      <c r="E799" s="255"/>
      <c r="F799" s="21" t="s">
        <v>35</v>
      </c>
      <c r="G799" s="256" t="s">
        <v>588</v>
      </c>
      <c r="H799" s="257"/>
      <c r="I799" s="257"/>
      <c r="J799" s="257"/>
      <c r="K799" s="257"/>
      <c r="L799" s="257"/>
      <c r="M799" s="257"/>
      <c r="N799" s="257"/>
      <c r="O799" s="257"/>
      <c r="P799" s="257"/>
      <c r="Q799" s="258"/>
      <c r="R799" s="39"/>
      <c r="S799" s="21"/>
      <c r="T799" s="21"/>
      <c r="U799" s="21"/>
    </row>
    <row r="800" spans="2:21">
      <c r="B800" s="232"/>
      <c r="C800" s="232"/>
      <c r="D800" s="255"/>
      <c r="E800" s="255"/>
      <c r="F800" s="263"/>
      <c r="G800" s="263"/>
      <c r="H800" s="21" t="s">
        <v>176</v>
      </c>
      <c r="I800" s="21"/>
      <c r="J800" s="33" t="s">
        <v>182</v>
      </c>
      <c r="K800" s="56" t="s">
        <v>3</v>
      </c>
      <c r="L800" s="35" t="s">
        <v>332</v>
      </c>
      <c r="M800" s="53">
        <v>44092</v>
      </c>
      <c r="N800" s="53">
        <v>44113</v>
      </c>
      <c r="O800" s="35" t="s">
        <v>520</v>
      </c>
      <c r="P800" s="35" t="s">
        <v>521</v>
      </c>
      <c r="Q800" s="35"/>
      <c r="R800" s="35"/>
      <c r="S800" s="33"/>
      <c r="T800" s="33"/>
      <c r="U800" s="21"/>
    </row>
    <row r="801" spans="2:21">
      <c r="B801" s="232"/>
      <c r="C801" s="232"/>
      <c r="D801" s="255"/>
      <c r="E801" s="255"/>
      <c r="F801" s="262"/>
      <c r="G801" s="262"/>
      <c r="H801" s="21"/>
      <c r="I801" s="21"/>
      <c r="J801" s="33" t="s">
        <v>182</v>
      </c>
      <c r="K801" s="35" t="s">
        <v>1216</v>
      </c>
      <c r="L801" s="35" t="s">
        <v>332</v>
      </c>
      <c r="M801" s="53" t="s">
        <v>349</v>
      </c>
      <c r="N801" s="53">
        <v>44138</v>
      </c>
      <c r="O801" s="35" t="s">
        <v>589</v>
      </c>
      <c r="P801" s="35" t="s">
        <v>584</v>
      </c>
      <c r="Q801" s="35"/>
      <c r="R801" s="35"/>
      <c r="S801" s="33"/>
      <c r="T801" s="33"/>
      <c r="U801" s="21"/>
    </row>
    <row r="802" spans="2:21">
      <c r="B802" s="232"/>
      <c r="C802" s="232"/>
      <c r="D802" s="255"/>
      <c r="E802" s="255"/>
      <c r="F802" s="262"/>
      <c r="G802" s="262"/>
      <c r="H802" s="21"/>
      <c r="I802" s="21"/>
      <c r="J802" s="33"/>
      <c r="K802" s="35"/>
      <c r="L802" s="35"/>
      <c r="M802" s="53"/>
      <c r="N802" s="53"/>
      <c r="O802" s="35"/>
      <c r="P802" s="35"/>
      <c r="Q802" s="35"/>
      <c r="R802" s="35"/>
      <c r="S802" s="33"/>
      <c r="T802" s="33"/>
      <c r="U802" s="21"/>
    </row>
    <row r="803" spans="2:21">
      <c r="B803" s="232"/>
      <c r="C803" s="232"/>
      <c r="D803" s="255"/>
      <c r="E803" s="255"/>
      <c r="F803" s="262"/>
      <c r="G803" s="262"/>
      <c r="H803" s="21" t="s">
        <v>177</v>
      </c>
      <c r="I803" s="21"/>
      <c r="J803" s="33" t="s">
        <v>259</v>
      </c>
      <c r="K803" s="56" t="s">
        <v>3</v>
      </c>
      <c r="L803" s="35" t="s">
        <v>332</v>
      </c>
      <c r="M803" s="53">
        <v>44092</v>
      </c>
      <c r="N803" s="53">
        <v>44113</v>
      </c>
      <c r="O803" s="35" t="s">
        <v>3695</v>
      </c>
      <c r="P803" s="35" t="s">
        <v>521</v>
      </c>
      <c r="Q803" s="35"/>
      <c r="R803" s="35"/>
      <c r="S803" s="33"/>
      <c r="T803" s="33"/>
      <c r="U803" s="21"/>
    </row>
    <row r="804" spans="2:21">
      <c r="B804" s="232"/>
      <c r="C804" s="232"/>
      <c r="D804" s="255"/>
      <c r="E804" s="255"/>
      <c r="F804" s="262"/>
      <c r="G804" s="262"/>
      <c r="H804" s="21"/>
      <c r="I804" s="21"/>
      <c r="J804" s="33" t="s">
        <v>259</v>
      </c>
      <c r="K804" s="56" t="s">
        <v>1230</v>
      </c>
      <c r="L804" s="35" t="s">
        <v>332</v>
      </c>
      <c r="M804" s="53" t="s">
        <v>349</v>
      </c>
      <c r="N804" s="53">
        <v>44256</v>
      </c>
      <c r="O804" s="35" t="s">
        <v>3695</v>
      </c>
      <c r="P804" s="35" t="s">
        <v>1168</v>
      </c>
      <c r="Q804" s="35"/>
      <c r="R804" s="35"/>
      <c r="S804" s="33"/>
      <c r="T804" s="33"/>
      <c r="U804" s="21"/>
    </row>
    <row r="805" spans="2:21">
      <c r="B805" s="232"/>
      <c r="C805" s="232"/>
      <c r="D805" s="255"/>
      <c r="E805" s="255"/>
      <c r="F805" s="262"/>
      <c r="G805" s="262"/>
      <c r="H805" s="21"/>
      <c r="I805" s="21"/>
      <c r="J805" s="33" t="s">
        <v>259</v>
      </c>
      <c r="K805" s="56" t="s">
        <v>1231</v>
      </c>
      <c r="L805" s="35" t="s">
        <v>332</v>
      </c>
      <c r="M805" s="53" t="s">
        <v>349</v>
      </c>
      <c r="N805" s="53">
        <v>44283</v>
      </c>
      <c r="O805" s="35" t="s">
        <v>3695</v>
      </c>
      <c r="P805" s="35" t="s">
        <v>1356</v>
      </c>
      <c r="Q805" s="35"/>
      <c r="R805" s="35"/>
      <c r="S805" s="33"/>
      <c r="T805" s="33"/>
      <c r="U805" s="21"/>
    </row>
    <row r="806" spans="2:21">
      <c r="B806" s="232"/>
      <c r="C806" s="232"/>
      <c r="D806" s="255"/>
      <c r="E806" s="255"/>
      <c r="F806" s="262"/>
      <c r="G806" s="262"/>
      <c r="H806" s="21"/>
      <c r="I806" s="21"/>
      <c r="J806" s="33" t="s">
        <v>259</v>
      </c>
      <c r="K806" s="56" t="s">
        <v>1396</v>
      </c>
      <c r="L806" s="35" t="s">
        <v>332</v>
      </c>
      <c r="M806" s="53" t="s">
        <v>349</v>
      </c>
      <c r="N806" s="53">
        <v>45044</v>
      </c>
      <c r="O806" s="35" t="s">
        <v>3695</v>
      </c>
      <c r="P806" s="35" t="s">
        <v>3694</v>
      </c>
      <c r="Q806" s="35"/>
      <c r="R806" s="35"/>
      <c r="S806" s="33"/>
      <c r="T806" s="33"/>
      <c r="U806" s="21"/>
    </row>
    <row r="807" spans="2:21">
      <c r="B807" s="232"/>
      <c r="C807" s="232"/>
      <c r="D807" s="255"/>
      <c r="E807" s="255"/>
      <c r="F807" s="262"/>
      <c r="G807" s="262"/>
      <c r="H807" s="21"/>
      <c r="I807" s="21"/>
      <c r="J807" s="33"/>
      <c r="K807" s="35"/>
      <c r="L807" s="35"/>
      <c r="M807" s="53"/>
      <c r="N807" s="53"/>
      <c r="O807" s="35"/>
      <c r="P807" s="35"/>
      <c r="Q807" s="35"/>
      <c r="R807" s="35"/>
      <c r="S807" s="33"/>
      <c r="T807" s="33"/>
      <c r="U807" s="21"/>
    </row>
    <row r="808" spans="2:21">
      <c r="B808" s="232"/>
      <c r="C808" s="232"/>
      <c r="D808" s="255"/>
      <c r="E808" s="255"/>
      <c r="F808" s="262"/>
      <c r="G808" s="262"/>
      <c r="H808" s="21" t="s">
        <v>181</v>
      </c>
      <c r="I808" s="21"/>
      <c r="J808" s="33" t="s">
        <v>260</v>
      </c>
      <c r="K808" s="35"/>
      <c r="L808" s="35" t="s">
        <v>332</v>
      </c>
      <c r="M808" s="53">
        <v>44083</v>
      </c>
      <c r="N808" s="53">
        <v>44099</v>
      </c>
      <c r="O808" s="35" t="s">
        <v>1405</v>
      </c>
      <c r="P808" s="35" t="s">
        <v>495</v>
      </c>
      <c r="Q808" s="35"/>
      <c r="R808" s="35"/>
      <c r="S808" s="33"/>
      <c r="T808" s="33"/>
      <c r="U808" s="21"/>
    </row>
    <row r="809" spans="2:21">
      <c r="B809" s="232"/>
      <c r="C809" s="232"/>
      <c r="D809" s="255"/>
      <c r="E809" s="255"/>
      <c r="F809" s="262"/>
      <c r="G809" s="262"/>
      <c r="H809" s="21"/>
      <c r="I809" s="21"/>
      <c r="J809" s="33" t="s">
        <v>260</v>
      </c>
      <c r="K809" s="35" t="s">
        <v>1216</v>
      </c>
      <c r="L809" s="35" t="s">
        <v>332</v>
      </c>
      <c r="M809" s="53" t="s">
        <v>349</v>
      </c>
      <c r="N809" s="53">
        <v>44283</v>
      </c>
      <c r="O809" s="35" t="s">
        <v>1405</v>
      </c>
      <c r="P809" s="35" t="s">
        <v>1356</v>
      </c>
      <c r="Q809" s="35"/>
      <c r="R809" s="35"/>
      <c r="S809" s="33"/>
      <c r="T809" s="33"/>
      <c r="U809" s="21"/>
    </row>
    <row r="810" spans="2:21">
      <c r="B810" s="232"/>
      <c r="C810" s="232"/>
      <c r="D810" s="255"/>
      <c r="E810" s="255"/>
      <c r="F810" s="262"/>
      <c r="G810" s="262"/>
      <c r="H810" s="21"/>
      <c r="I810" s="21"/>
      <c r="J810" s="33" t="s">
        <v>260</v>
      </c>
      <c r="K810" s="35" t="s">
        <v>1230</v>
      </c>
      <c r="L810" s="35" t="s">
        <v>332</v>
      </c>
      <c r="M810" s="53" t="s">
        <v>349</v>
      </c>
      <c r="N810" s="53">
        <v>44291</v>
      </c>
      <c r="O810" s="35" t="s">
        <v>1405</v>
      </c>
      <c r="P810" s="35" t="s">
        <v>1395</v>
      </c>
      <c r="Q810" s="35"/>
      <c r="R810" s="35"/>
      <c r="S810" s="33"/>
      <c r="T810" s="33"/>
      <c r="U810" s="21"/>
    </row>
    <row r="811" spans="2:21">
      <c r="B811" s="232"/>
      <c r="C811" s="232"/>
      <c r="D811" s="255"/>
      <c r="E811" s="255"/>
      <c r="F811" s="262"/>
      <c r="G811" s="262"/>
      <c r="H811" s="21"/>
      <c r="I811" s="21"/>
      <c r="J811" s="33"/>
      <c r="K811" s="35"/>
      <c r="L811" s="35"/>
      <c r="M811" s="53"/>
      <c r="N811" s="53"/>
      <c r="O811" s="35"/>
      <c r="P811" s="35"/>
      <c r="Q811" s="35"/>
      <c r="R811" s="35"/>
      <c r="S811" s="33"/>
      <c r="T811" s="33"/>
      <c r="U811" s="21"/>
    </row>
    <row r="812" spans="2:21">
      <c r="B812" s="232"/>
      <c r="C812" s="232"/>
      <c r="D812" s="255"/>
      <c r="E812" s="255"/>
      <c r="F812" s="262"/>
      <c r="G812" s="262"/>
      <c r="H812" s="21" t="s">
        <v>183</v>
      </c>
      <c r="I812" s="21"/>
      <c r="J812" s="33" t="s">
        <v>549</v>
      </c>
      <c r="K812" s="35"/>
      <c r="L812" s="35" t="s">
        <v>332</v>
      </c>
      <c r="M812" s="53" t="s">
        <v>349</v>
      </c>
      <c r="N812" s="53">
        <v>44123</v>
      </c>
      <c r="O812" s="35" t="s">
        <v>550</v>
      </c>
      <c r="P812" s="35" t="s">
        <v>546</v>
      </c>
      <c r="Q812" s="35"/>
      <c r="R812" s="35"/>
      <c r="S812" s="33"/>
      <c r="T812" s="33"/>
      <c r="U812" s="21"/>
    </row>
    <row r="813" spans="2:21">
      <c r="B813" s="232"/>
      <c r="C813" s="232"/>
      <c r="D813" s="255"/>
      <c r="E813" s="255"/>
      <c r="F813" s="264"/>
      <c r="G813" s="264"/>
      <c r="H813" s="21"/>
      <c r="I813" s="21"/>
      <c r="J813" s="33"/>
      <c r="K813" s="35"/>
      <c r="L813" s="35"/>
      <c r="M813" s="53"/>
      <c r="N813" s="53"/>
      <c r="O813" s="35"/>
      <c r="P813" s="35"/>
      <c r="Q813" s="35"/>
      <c r="R813" s="35"/>
      <c r="S813" s="33"/>
      <c r="T813" s="33"/>
      <c r="U813" s="21"/>
    </row>
    <row r="814" spans="2:21" ht="12" customHeight="1">
      <c r="B814" s="232"/>
      <c r="C814" s="232"/>
      <c r="D814" s="255"/>
      <c r="E814" s="255"/>
      <c r="F814" s="21" t="s">
        <v>36</v>
      </c>
      <c r="G814" s="256" t="s">
        <v>258</v>
      </c>
      <c r="H814" s="257"/>
      <c r="I814" s="257"/>
      <c r="J814" s="257"/>
      <c r="K814" s="257"/>
      <c r="L814" s="257"/>
      <c r="M814" s="257"/>
      <c r="N814" s="257"/>
      <c r="O814" s="257"/>
      <c r="P814" s="257"/>
      <c r="Q814" s="258"/>
      <c r="R814" s="39"/>
      <c r="S814" s="21"/>
      <c r="T814" s="21"/>
      <c r="U814" s="21"/>
    </row>
    <row r="815" spans="2:21">
      <c r="B815" s="232"/>
      <c r="C815" s="232"/>
      <c r="D815" s="255"/>
      <c r="E815" s="255"/>
      <c r="F815" s="263"/>
      <c r="G815" s="263"/>
      <c r="H815" s="21" t="s">
        <v>176</v>
      </c>
      <c r="I815" s="21"/>
      <c r="J815" s="33" t="s">
        <v>1397</v>
      </c>
      <c r="K815" s="35"/>
      <c r="L815" s="35"/>
      <c r="M815" s="53"/>
      <c r="N815" s="35"/>
      <c r="O815" s="35"/>
      <c r="P815" s="35"/>
      <c r="Q815" s="35"/>
      <c r="R815" s="35"/>
      <c r="S815" s="33"/>
      <c r="T815" s="33"/>
      <c r="U815" s="21"/>
    </row>
    <row r="816" spans="2:21">
      <c r="B816" s="232"/>
      <c r="C816" s="232"/>
      <c r="D816" s="255"/>
      <c r="E816" s="255"/>
      <c r="F816" s="262"/>
      <c r="G816" s="262"/>
      <c r="H816" s="21"/>
      <c r="I816" s="108" t="s">
        <v>807</v>
      </c>
      <c r="J816" s="109" t="s">
        <v>1399</v>
      </c>
      <c r="K816" s="35" t="s">
        <v>349</v>
      </c>
      <c r="L816" s="35" t="s">
        <v>332</v>
      </c>
      <c r="M816" s="53">
        <v>44104</v>
      </c>
      <c r="N816" s="53">
        <v>44291</v>
      </c>
      <c r="O816" s="35" t="s">
        <v>1401</v>
      </c>
      <c r="P816" s="35" t="s">
        <v>1395</v>
      </c>
      <c r="Q816" s="35"/>
      <c r="R816" s="35"/>
      <c r="S816" s="33"/>
      <c r="T816" s="33"/>
      <c r="U816" s="21"/>
    </row>
    <row r="817" spans="2:21">
      <c r="B817" s="232"/>
      <c r="C817" s="232"/>
      <c r="D817" s="255"/>
      <c r="E817" s="255"/>
      <c r="F817" s="262"/>
      <c r="G817" s="262"/>
      <c r="H817" s="21"/>
      <c r="I817" s="108" t="s">
        <v>808</v>
      </c>
      <c r="J817" s="109" t="s">
        <v>1400</v>
      </c>
      <c r="K817" s="35" t="s">
        <v>349</v>
      </c>
      <c r="L817" s="35" t="s">
        <v>332</v>
      </c>
      <c r="M817" s="53">
        <v>44104</v>
      </c>
      <c r="N817" s="53">
        <v>44291</v>
      </c>
      <c r="O817" s="35" t="s">
        <v>1402</v>
      </c>
      <c r="P817" s="35" t="s">
        <v>1395</v>
      </c>
      <c r="Q817" s="35"/>
      <c r="R817" s="35"/>
      <c r="S817" s="33"/>
      <c r="T817" s="33"/>
      <c r="U817" s="21"/>
    </row>
    <row r="818" spans="2:21">
      <c r="B818" s="232"/>
      <c r="C818" s="232"/>
      <c r="D818" s="255"/>
      <c r="E818" s="255"/>
      <c r="F818" s="262"/>
      <c r="G818" s="262"/>
      <c r="H818" s="21"/>
      <c r="I818" s="21"/>
      <c r="J818" s="33"/>
      <c r="K818" s="35"/>
      <c r="L818" s="35"/>
      <c r="M818" s="53"/>
      <c r="N818" s="35"/>
      <c r="O818" s="35"/>
      <c r="P818" s="35"/>
      <c r="Q818" s="35"/>
      <c r="R818" s="35"/>
      <c r="S818" s="33"/>
      <c r="T818" s="33"/>
      <c r="U818" s="21"/>
    </row>
    <row r="819" spans="2:21">
      <c r="B819" s="232"/>
      <c r="C819" s="232"/>
      <c r="D819" s="255"/>
      <c r="E819" s="255"/>
      <c r="F819" s="262"/>
      <c r="G819" s="262"/>
      <c r="H819" s="21" t="s">
        <v>177</v>
      </c>
      <c r="I819" s="21"/>
      <c r="J819" s="33" t="s">
        <v>1398</v>
      </c>
      <c r="K819" s="35"/>
      <c r="L819" s="35"/>
      <c r="M819" s="53"/>
      <c r="N819" s="35"/>
      <c r="O819" s="35"/>
      <c r="P819" s="35"/>
      <c r="Q819" s="35"/>
      <c r="R819" s="35"/>
      <c r="S819" s="33"/>
      <c r="T819" s="33"/>
      <c r="U819" s="21"/>
    </row>
    <row r="820" spans="2:21">
      <c r="B820" s="232"/>
      <c r="C820" s="232"/>
      <c r="D820" s="255"/>
      <c r="E820" s="255"/>
      <c r="F820" s="262"/>
      <c r="G820" s="262"/>
      <c r="H820" s="21"/>
      <c r="I820" s="108" t="s">
        <v>807</v>
      </c>
      <c r="J820" s="109" t="s">
        <v>1399</v>
      </c>
      <c r="K820" s="35" t="s">
        <v>349</v>
      </c>
      <c r="L820" s="35" t="s">
        <v>332</v>
      </c>
      <c r="M820" s="53">
        <v>44104</v>
      </c>
      <c r="N820" s="53">
        <v>44291</v>
      </c>
      <c r="O820" s="35" t="s">
        <v>1403</v>
      </c>
      <c r="P820" s="35" t="s">
        <v>1395</v>
      </c>
      <c r="Q820" s="35"/>
      <c r="R820" s="35"/>
      <c r="S820" s="33"/>
      <c r="T820" s="33"/>
      <c r="U820" s="21"/>
    </row>
    <row r="821" spans="2:21">
      <c r="B821" s="232"/>
      <c r="C821" s="232"/>
      <c r="D821" s="255"/>
      <c r="E821" s="255"/>
      <c r="F821" s="262"/>
      <c r="G821" s="262"/>
      <c r="H821" s="21"/>
      <c r="I821" s="108" t="s">
        <v>808</v>
      </c>
      <c r="J821" s="109" t="s">
        <v>1400</v>
      </c>
      <c r="K821" s="35" t="s">
        <v>349</v>
      </c>
      <c r="L821" s="35" t="s">
        <v>332</v>
      </c>
      <c r="M821" s="53">
        <v>44104</v>
      </c>
      <c r="N821" s="53">
        <v>44291</v>
      </c>
      <c r="O821" s="35" t="s">
        <v>1404</v>
      </c>
      <c r="P821" s="35" t="s">
        <v>1395</v>
      </c>
      <c r="Q821" s="35"/>
      <c r="R821" s="35"/>
      <c r="S821" s="33"/>
      <c r="T821" s="33"/>
      <c r="U821" s="21"/>
    </row>
    <row r="822" spans="2:21">
      <c r="B822" s="232"/>
      <c r="C822" s="232"/>
      <c r="D822" s="255"/>
      <c r="E822" s="255"/>
      <c r="F822" s="264"/>
      <c r="G822" s="264"/>
      <c r="H822" s="21"/>
      <c r="I822" s="21"/>
      <c r="J822" s="33"/>
      <c r="K822" s="35"/>
      <c r="L822" s="35"/>
      <c r="M822" s="53"/>
      <c r="N822" s="35"/>
      <c r="O822" s="35"/>
      <c r="P822" s="35"/>
      <c r="Q822" s="35"/>
      <c r="R822" s="35"/>
      <c r="S822" s="33"/>
      <c r="T822" s="33"/>
      <c r="U822" s="21"/>
    </row>
    <row r="823" spans="2:21" ht="12" customHeight="1">
      <c r="B823" s="232"/>
      <c r="C823" s="232"/>
      <c r="D823" s="255"/>
      <c r="E823" s="255"/>
      <c r="F823" s="21" t="s">
        <v>38</v>
      </c>
      <c r="G823" s="256" t="s">
        <v>966</v>
      </c>
      <c r="H823" s="257"/>
      <c r="I823" s="257"/>
      <c r="J823" s="257"/>
      <c r="K823" s="257"/>
      <c r="L823" s="257"/>
      <c r="M823" s="257"/>
      <c r="N823" s="257"/>
      <c r="O823" s="257"/>
      <c r="P823" s="257"/>
      <c r="Q823" s="258"/>
      <c r="R823" s="39"/>
      <c r="S823" s="21"/>
      <c r="T823" s="21"/>
      <c r="U823" s="21"/>
    </row>
    <row r="824" spans="2:21">
      <c r="B824" s="232"/>
      <c r="C824" s="232"/>
      <c r="D824" s="255"/>
      <c r="E824" s="255"/>
      <c r="F824" s="262"/>
      <c r="G824" s="262"/>
      <c r="H824" s="21"/>
      <c r="I824" s="21"/>
      <c r="J824" s="33" t="s">
        <v>2647</v>
      </c>
      <c r="K824" s="35" t="s">
        <v>349</v>
      </c>
      <c r="L824" s="35" t="s">
        <v>333</v>
      </c>
      <c r="M824" s="53" t="s">
        <v>349</v>
      </c>
      <c r="N824" s="53">
        <v>44229</v>
      </c>
      <c r="O824" s="35" t="s">
        <v>2648</v>
      </c>
      <c r="P824" s="35" t="s">
        <v>967</v>
      </c>
      <c r="Q824" s="35"/>
      <c r="R824" s="35"/>
      <c r="S824" s="33"/>
      <c r="T824" s="33"/>
      <c r="U824" s="21"/>
    </row>
    <row r="825" spans="2:21">
      <c r="B825" s="232"/>
      <c r="C825" s="232"/>
      <c r="D825" s="255"/>
      <c r="E825" s="255"/>
      <c r="F825" s="262"/>
      <c r="G825" s="262"/>
      <c r="H825" s="21"/>
      <c r="I825" s="21"/>
      <c r="J825" s="33" t="s">
        <v>2647</v>
      </c>
      <c r="K825" s="35" t="s">
        <v>1230</v>
      </c>
      <c r="L825" s="35" t="s">
        <v>333</v>
      </c>
      <c r="M825" s="53" t="s">
        <v>349</v>
      </c>
      <c r="N825" s="53">
        <v>44595</v>
      </c>
      <c r="O825" s="35" t="s">
        <v>2648</v>
      </c>
      <c r="P825" s="35" t="s">
        <v>2646</v>
      </c>
      <c r="Q825" s="35"/>
      <c r="R825" s="35"/>
      <c r="S825" s="33"/>
      <c r="T825" s="33"/>
      <c r="U825" s="21"/>
    </row>
    <row r="826" spans="2:21">
      <c r="B826" s="232"/>
      <c r="C826" s="232"/>
      <c r="D826" s="255"/>
      <c r="E826" s="255"/>
      <c r="F826" s="262"/>
      <c r="G826" s="262"/>
      <c r="H826" s="21"/>
      <c r="I826" s="21"/>
      <c r="J826" s="33"/>
      <c r="K826" s="35"/>
      <c r="L826" s="35"/>
      <c r="M826" s="53"/>
      <c r="N826" s="35"/>
      <c r="O826" s="35"/>
      <c r="P826" s="35"/>
      <c r="Q826" s="35"/>
      <c r="R826" s="35"/>
      <c r="S826" s="33"/>
      <c r="T826" s="33"/>
      <c r="U826" s="21"/>
    </row>
    <row r="827" spans="2:21">
      <c r="B827" s="232"/>
      <c r="C827" s="232"/>
      <c r="D827" s="39" t="s">
        <v>150</v>
      </c>
      <c r="E827" s="256" t="s">
        <v>320</v>
      </c>
      <c r="F827" s="257"/>
      <c r="G827" s="257"/>
      <c r="H827" s="257"/>
      <c r="I827" s="257"/>
      <c r="J827" s="257"/>
      <c r="K827" s="257"/>
      <c r="L827" s="257"/>
      <c r="M827" s="257"/>
      <c r="N827" s="257"/>
      <c r="O827" s="257"/>
      <c r="P827" s="257"/>
      <c r="Q827" s="257"/>
      <c r="R827" s="257"/>
      <c r="S827" s="257"/>
      <c r="T827" s="258"/>
      <c r="U827" s="21"/>
    </row>
    <row r="828" spans="2:21">
      <c r="B828" s="232"/>
      <c r="C828" s="232"/>
      <c r="D828" s="255"/>
      <c r="E828" s="255"/>
      <c r="F828" s="21" t="s">
        <v>27</v>
      </c>
      <c r="G828" s="256" t="s">
        <v>175</v>
      </c>
      <c r="H828" s="257"/>
      <c r="I828" s="257"/>
      <c r="J828" s="257"/>
      <c r="K828" s="257"/>
      <c r="L828" s="257"/>
      <c r="M828" s="257"/>
      <c r="N828" s="257"/>
      <c r="O828" s="257"/>
      <c r="P828" s="257"/>
      <c r="Q828" s="258"/>
      <c r="R828" s="39" t="s">
        <v>26</v>
      </c>
      <c r="S828" s="21"/>
      <c r="T828" s="21"/>
      <c r="U828" s="21"/>
    </row>
    <row r="829" spans="2:21">
      <c r="B829" s="232"/>
      <c r="C829" s="232"/>
      <c r="D829" s="255"/>
      <c r="E829" s="255"/>
      <c r="F829" s="263"/>
      <c r="G829" s="255"/>
      <c r="H829" s="21" t="s">
        <v>176</v>
      </c>
      <c r="I829" s="21"/>
      <c r="J829" s="33" t="s">
        <v>578</v>
      </c>
      <c r="K829" s="56" t="s">
        <v>512</v>
      </c>
      <c r="L829" s="35" t="s">
        <v>332</v>
      </c>
      <c r="M829" s="53">
        <v>44134</v>
      </c>
      <c r="N829" s="53">
        <v>44138</v>
      </c>
      <c r="O829" s="35" t="s">
        <v>581</v>
      </c>
      <c r="P829" s="35" t="s">
        <v>567</v>
      </c>
      <c r="Q829" s="35"/>
      <c r="R829" s="35"/>
      <c r="S829" s="33"/>
      <c r="T829" s="33"/>
      <c r="U829" s="21"/>
    </row>
    <row r="830" spans="2:21">
      <c r="B830" s="232"/>
      <c r="C830" s="232"/>
      <c r="D830" s="255"/>
      <c r="E830" s="255"/>
      <c r="F830" s="262"/>
      <c r="G830" s="255"/>
      <c r="H830" s="21"/>
      <c r="I830" s="21"/>
      <c r="J830" s="33" t="s">
        <v>578</v>
      </c>
      <c r="K830" s="56" t="s">
        <v>512</v>
      </c>
      <c r="L830" s="35" t="s">
        <v>332</v>
      </c>
      <c r="M830" s="53" t="s">
        <v>349</v>
      </c>
      <c r="N830" s="53">
        <v>44315</v>
      </c>
      <c r="O830" s="35" t="s">
        <v>581</v>
      </c>
      <c r="P830" s="35" t="s">
        <v>1570</v>
      </c>
      <c r="Q830" s="35"/>
      <c r="R830" s="35"/>
      <c r="S830" s="33"/>
      <c r="T830" s="33"/>
      <c r="U830" s="21"/>
    </row>
    <row r="831" spans="2:21">
      <c r="B831" s="232"/>
      <c r="C831" s="232"/>
      <c r="D831" s="255"/>
      <c r="E831" s="255"/>
      <c r="F831" s="262"/>
      <c r="G831" s="255"/>
      <c r="H831" s="21"/>
      <c r="I831" s="21"/>
      <c r="J831" s="33" t="s">
        <v>578</v>
      </c>
      <c r="K831" s="56" t="s">
        <v>654</v>
      </c>
      <c r="L831" s="35" t="s">
        <v>332</v>
      </c>
      <c r="M831" s="53" t="s">
        <v>349</v>
      </c>
      <c r="N831" s="53">
        <v>45216</v>
      </c>
      <c r="O831" s="35" t="s">
        <v>581</v>
      </c>
      <c r="P831" s="35" t="s">
        <v>3976</v>
      </c>
      <c r="Q831" s="35"/>
      <c r="R831" s="35"/>
      <c r="S831" s="33"/>
      <c r="T831" s="33"/>
      <c r="U831" s="21"/>
    </row>
    <row r="832" spans="2:21">
      <c r="B832" s="232"/>
      <c r="C832" s="232"/>
      <c r="D832" s="255"/>
      <c r="E832" s="255"/>
      <c r="F832" s="262"/>
      <c r="G832" s="255"/>
      <c r="H832" s="21"/>
      <c r="I832" s="21"/>
      <c r="J832" s="33" t="s">
        <v>578</v>
      </c>
      <c r="K832" s="56" t="s">
        <v>729</v>
      </c>
      <c r="L832" s="35" t="s">
        <v>332</v>
      </c>
      <c r="M832" s="53" t="s">
        <v>349</v>
      </c>
      <c r="N832" s="53">
        <v>45231</v>
      </c>
      <c r="O832" s="35" t="s">
        <v>581</v>
      </c>
      <c r="P832" s="35" t="s">
        <v>4078</v>
      </c>
      <c r="Q832" s="35"/>
      <c r="R832" s="35"/>
      <c r="S832" s="33"/>
      <c r="T832" s="33"/>
      <c r="U832" s="21"/>
    </row>
    <row r="833" spans="2:21">
      <c r="B833" s="232"/>
      <c r="C833" s="232"/>
      <c r="D833" s="255"/>
      <c r="E833" s="255"/>
      <c r="F833" s="262"/>
      <c r="G833" s="255"/>
      <c r="H833" s="21"/>
      <c r="I833" s="21"/>
      <c r="J833" s="33"/>
      <c r="K833" s="56"/>
      <c r="L833" s="35"/>
      <c r="M833" s="53"/>
      <c r="N833" s="53"/>
      <c r="O833" s="35"/>
      <c r="P833" s="35"/>
      <c r="Q833" s="35"/>
      <c r="R833" s="35"/>
      <c r="S833" s="33"/>
      <c r="T833" s="33"/>
      <c r="U833" s="21"/>
    </row>
    <row r="834" spans="2:21">
      <c r="B834" s="232"/>
      <c r="C834" s="232"/>
      <c r="D834" s="255"/>
      <c r="E834" s="255"/>
      <c r="F834" s="262"/>
      <c r="G834" s="255"/>
      <c r="H834" s="21" t="s">
        <v>177</v>
      </c>
      <c r="I834" s="21"/>
      <c r="J834" s="33" t="s">
        <v>577</v>
      </c>
      <c r="K834" s="56" t="s">
        <v>3</v>
      </c>
      <c r="L834" s="35" t="s">
        <v>332</v>
      </c>
      <c r="M834" s="53">
        <v>44134</v>
      </c>
      <c r="N834" s="53">
        <v>44138</v>
      </c>
      <c r="O834" s="35" t="s">
        <v>582</v>
      </c>
      <c r="P834" s="35" t="s">
        <v>567</v>
      </c>
      <c r="Q834" s="35"/>
      <c r="R834" s="35"/>
      <c r="S834" s="33"/>
      <c r="T834" s="33"/>
      <c r="U834" s="21"/>
    </row>
    <row r="835" spans="2:21">
      <c r="B835" s="232"/>
      <c r="C835" s="232"/>
      <c r="D835" s="255"/>
      <c r="E835" s="255"/>
      <c r="F835" s="262"/>
      <c r="G835" s="255"/>
      <c r="H835" s="21"/>
      <c r="I835" s="21"/>
      <c r="J835" s="33" t="s">
        <v>577</v>
      </c>
      <c r="K835" s="56" t="s">
        <v>512</v>
      </c>
      <c r="L835" s="35" t="s">
        <v>332</v>
      </c>
      <c r="M835" s="53" t="s">
        <v>349</v>
      </c>
      <c r="N835" s="53">
        <v>45216</v>
      </c>
      <c r="O835" s="35" t="s">
        <v>582</v>
      </c>
      <c r="P835" s="35" t="s">
        <v>3976</v>
      </c>
      <c r="Q835" s="35"/>
      <c r="R835" s="35"/>
      <c r="S835" s="33"/>
      <c r="T835" s="33"/>
      <c r="U835" s="21"/>
    </row>
    <row r="836" spans="2:21">
      <c r="B836" s="232"/>
      <c r="C836" s="232"/>
      <c r="D836" s="255"/>
      <c r="E836" s="255"/>
      <c r="F836" s="264"/>
      <c r="G836" s="255"/>
      <c r="H836" s="21"/>
      <c r="I836" s="21"/>
      <c r="J836" s="33"/>
      <c r="K836" s="56"/>
      <c r="L836" s="35"/>
      <c r="M836" s="53"/>
      <c r="N836" s="53"/>
      <c r="O836" s="35"/>
      <c r="P836" s="35"/>
      <c r="Q836" s="35"/>
      <c r="R836" s="35"/>
      <c r="S836" s="33"/>
      <c r="T836" s="33"/>
      <c r="U836" s="21"/>
    </row>
    <row r="837" spans="2:21">
      <c r="B837" s="232"/>
      <c r="C837" s="232"/>
      <c r="D837" s="255"/>
      <c r="E837" s="255"/>
      <c r="F837" s="21" t="s">
        <v>29</v>
      </c>
      <c r="G837" s="265" t="s">
        <v>226</v>
      </c>
      <c r="H837" s="265"/>
      <c r="I837" s="265"/>
      <c r="J837" s="265"/>
      <c r="K837" s="265"/>
      <c r="L837" s="265"/>
      <c r="M837" s="265"/>
      <c r="N837" s="265"/>
      <c r="O837" s="265"/>
      <c r="P837" s="265"/>
      <c r="Q837" s="265"/>
      <c r="R837" s="39"/>
      <c r="S837" s="21"/>
      <c r="T837" s="21"/>
      <c r="U837" s="21"/>
    </row>
    <row r="838" spans="2:21">
      <c r="B838" s="232"/>
      <c r="C838" s="232"/>
      <c r="D838" s="255"/>
      <c r="E838" s="255"/>
      <c r="F838" s="263"/>
      <c r="G838" s="255"/>
      <c r="H838" s="21" t="s">
        <v>176</v>
      </c>
      <c r="I838" s="21"/>
      <c r="J838" s="33" t="s">
        <v>578</v>
      </c>
      <c r="K838" s="56" t="s">
        <v>3</v>
      </c>
      <c r="L838" s="35" t="s">
        <v>333</v>
      </c>
      <c r="M838" s="53">
        <v>44134</v>
      </c>
      <c r="N838" s="53">
        <v>44105</v>
      </c>
      <c r="O838" s="35" t="s">
        <v>1588</v>
      </c>
      <c r="P838" s="35" t="s">
        <v>525</v>
      </c>
      <c r="Q838" s="35"/>
      <c r="R838" s="35"/>
      <c r="S838" s="33"/>
      <c r="T838" s="33"/>
      <c r="U838" s="21"/>
    </row>
    <row r="839" spans="2:21">
      <c r="B839" s="232"/>
      <c r="C839" s="232"/>
      <c r="D839" s="255"/>
      <c r="E839" s="255"/>
      <c r="F839" s="262"/>
      <c r="G839" s="255"/>
      <c r="H839" s="21"/>
      <c r="I839" s="21"/>
      <c r="J839" s="33" t="s">
        <v>578</v>
      </c>
      <c r="K839" s="56" t="s">
        <v>512</v>
      </c>
      <c r="L839" s="35" t="s">
        <v>332</v>
      </c>
      <c r="M839" s="53" t="s">
        <v>349</v>
      </c>
      <c r="N839" s="53">
        <v>44138</v>
      </c>
      <c r="O839" s="35" t="s">
        <v>1588</v>
      </c>
      <c r="P839" s="35" t="s">
        <v>567</v>
      </c>
      <c r="Q839" s="35"/>
      <c r="R839" s="35"/>
      <c r="S839" s="33"/>
      <c r="T839" s="33"/>
      <c r="U839" s="21"/>
    </row>
    <row r="840" spans="2:21">
      <c r="B840" s="232"/>
      <c r="C840" s="232"/>
      <c r="D840" s="255"/>
      <c r="E840" s="255"/>
      <c r="F840" s="262"/>
      <c r="G840" s="255"/>
      <c r="H840" s="21"/>
      <c r="I840" s="21"/>
      <c r="J840" s="33" t="s">
        <v>578</v>
      </c>
      <c r="K840" s="56" t="s">
        <v>730</v>
      </c>
      <c r="L840" s="35" t="s">
        <v>332</v>
      </c>
      <c r="M840" s="53" t="s">
        <v>349</v>
      </c>
      <c r="N840" s="53">
        <v>44315</v>
      </c>
      <c r="O840" s="35" t="s">
        <v>1588</v>
      </c>
      <c r="P840" s="35" t="s">
        <v>1570</v>
      </c>
      <c r="Q840" s="35"/>
      <c r="R840" s="35"/>
      <c r="S840" s="33"/>
      <c r="T840" s="33"/>
      <c r="U840" s="21"/>
    </row>
    <row r="841" spans="2:21">
      <c r="B841" s="232"/>
      <c r="C841" s="232"/>
      <c r="D841" s="255"/>
      <c r="E841" s="255"/>
      <c r="F841" s="262"/>
      <c r="G841" s="255"/>
      <c r="H841" s="21"/>
      <c r="I841" s="21"/>
      <c r="J841" s="33" t="s">
        <v>578</v>
      </c>
      <c r="K841" s="56" t="s">
        <v>917</v>
      </c>
      <c r="L841" s="35" t="s">
        <v>332</v>
      </c>
      <c r="M841" s="53" t="s">
        <v>349</v>
      </c>
      <c r="N841" s="53">
        <v>44972</v>
      </c>
      <c r="O841" s="35" t="s">
        <v>1588</v>
      </c>
      <c r="P841" s="35" t="s">
        <v>3576</v>
      </c>
      <c r="Q841" s="35"/>
      <c r="R841" s="35"/>
      <c r="S841" s="33"/>
      <c r="T841" s="33"/>
      <c r="U841" s="21"/>
    </row>
    <row r="842" spans="2:21">
      <c r="B842" s="232"/>
      <c r="C842" s="232"/>
      <c r="D842" s="255"/>
      <c r="E842" s="255"/>
      <c r="F842" s="262"/>
      <c r="G842" s="255"/>
      <c r="H842" s="21"/>
      <c r="I842" s="21"/>
      <c r="J842" s="33" t="s">
        <v>578</v>
      </c>
      <c r="K842" s="56" t="s">
        <v>1221</v>
      </c>
      <c r="L842" s="35" t="s">
        <v>332</v>
      </c>
      <c r="M842" s="53" t="s">
        <v>349</v>
      </c>
      <c r="N842" s="53">
        <v>45216</v>
      </c>
      <c r="O842" s="35" t="s">
        <v>1588</v>
      </c>
      <c r="P842" s="35" t="s">
        <v>3976</v>
      </c>
      <c r="Q842" s="35"/>
      <c r="R842" s="35"/>
      <c r="S842" s="33"/>
      <c r="T842" s="33"/>
      <c r="U842" s="21"/>
    </row>
    <row r="843" spans="2:21">
      <c r="B843" s="232"/>
      <c r="C843" s="232"/>
      <c r="D843" s="255"/>
      <c r="E843" s="255"/>
      <c r="F843" s="262"/>
      <c r="G843" s="255"/>
      <c r="H843" s="21"/>
      <c r="I843" s="21"/>
      <c r="J843" s="33"/>
      <c r="K843" s="56"/>
      <c r="L843" s="35"/>
      <c r="M843" s="53"/>
      <c r="N843" s="53"/>
      <c r="O843" s="35"/>
      <c r="P843" s="35"/>
      <c r="Q843" s="35"/>
      <c r="R843" s="35"/>
      <c r="S843" s="33"/>
      <c r="T843" s="33"/>
      <c r="U843" s="21"/>
    </row>
    <row r="844" spans="2:21">
      <c r="B844" s="232"/>
      <c r="C844" s="232"/>
      <c r="D844" s="255"/>
      <c r="E844" s="255"/>
      <c r="F844" s="262"/>
      <c r="G844" s="255"/>
      <c r="H844" s="21" t="s">
        <v>177</v>
      </c>
      <c r="I844" s="21"/>
      <c r="J844" s="33" t="s">
        <v>577</v>
      </c>
      <c r="K844" s="56" t="s">
        <v>3</v>
      </c>
      <c r="L844" s="35" t="s">
        <v>333</v>
      </c>
      <c r="M844" s="53">
        <v>44134</v>
      </c>
      <c r="N844" s="53">
        <v>44105</v>
      </c>
      <c r="O844" s="35" t="s">
        <v>1589</v>
      </c>
      <c r="P844" s="35" t="s">
        <v>525</v>
      </c>
      <c r="Q844" s="35"/>
      <c r="R844" s="35"/>
      <c r="S844" s="33"/>
      <c r="T844" s="33"/>
      <c r="U844" s="21"/>
    </row>
    <row r="845" spans="2:21">
      <c r="B845" s="232"/>
      <c r="C845" s="232"/>
      <c r="D845" s="255"/>
      <c r="E845" s="255"/>
      <c r="F845" s="262"/>
      <c r="G845" s="255"/>
      <c r="H845" s="21"/>
      <c r="I845" s="21"/>
      <c r="J845" s="33" t="s">
        <v>577</v>
      </c>
      <c r="K845" s="56" t="s">
        <v>512</v>
      </c>
      <c r="L845" s="35" t="s">
        <v>332</v>
      </c>
      <c r="M845" s="53" t="s">
        <v>349</v>
      </c>
      <c r="N845" s="53">
        <v>44138</v>
      </c>
      <c r="O845" s="35" t="s">
        <v>1589</v>
      </c>
      <c r="P845" s="35" t="s">
        <v>567</v>
      </c>
      <c r="Q845" s="35"/>
      <c r="R845" s="35"/>
      <c r="S845" s="33"/>
      <c r="T845" s="33"/>
      <c r="U845" s="21"/>
    </row>
    <row r="846" spans="2:21">
      <c r="B846" s="232"/>
      <c r="C846" s="232"/>
      <c r="D846" s="255"/>
      <c r="E846" s="255"/>
      <c r="F846" s="262"/>
      <c r="G846" s="255"/>
      <c r="H846" s="21"/>
      <c r="I846" s="21"/>
      <c r="J846" s="33" t="s">
        <v>577</v>
      </c>
      <c r="K846" s="56" t="s">
        <v>730</v>
      </c>
      <c r="L846" s="35" t="s">
        <v>332</v>
      </c>
      <c r="M846" s="53" t="s">
        <v>349</v>
      </c>
      <c r="N846" s="53">
        <v>44315</v>
      </c>
      <c r="O846" s="35" t="s">
        <v>1589</v>
      </c>
      <c r="P846" s="35" t="s">
        <v>1570</v>
      </c>
      <c r="Q846" s="35"/>
      <c r="R846" s="35"/>
      <c r="S846" s="33"/>
      <c r="T846" s="33"/>
      <c r="U846" s="21"/>
    </row>
    <row r="847" spans="2:21">
      <c r="B847" s="232"/>
      <c r="C847" s="232"/>
      <c r="D847" s="255"/>
      <c r="E847" s="255"/>
      <c r="F847" s="262"/>
      <c r="G847" s="255"/>
      <c r="H847" s="21"/>
      <c r="I847" s="21"/>
      <c r="J847" s="33" t="s">
        <v>577</v>
      </c>
      <c r="K847" s="56" t="s">
        <v>917</v>
      </c>
      <c r="L847" s="35" t="s">
        <v>332</v>
      </c>
      <c r="M847" s="53" t="s">
        <v>349</v>
      </c>
      <c r="N847" s="53">
        <v>44972</v>
      </c>
      <c r="O847" s="35" t="s">
        <v>1589</v>
      </c>
      <c r="P847" s="35" t="s">
        <v>3576</v>
      </c>
      <c r="Q847" s="35"/>
      <c r="R847" s="35"/>
      <c r="S847" s="33"/>
      <c r="T847" s="33"/>
      <c r="U847" s="21"/>
    </row>
    <row r="848" spans="2:21">
      <c r="B848" s="232"/>
      <c r="C848" s="232"/>
      <c r="D848" s="255"/>
      <c r="E848" s="255"/>
      <c r="F848" s="262"/>
      <c r="G848" s="255"/>
      <c r="H848" s="21"/>
      <c r="I848" s="21"/>
      <c r="J848" s="33" t="s">
        <v>577</v>
      </c>
      <c r="K848" s="56" t="s">
        <v>1221</v>
      </c>
      <c r="L848" s="35" t="s">
        <v>332</v>
      </c>
      <c r="M848" s="53" t="s">
        <v>349</v>
      </c>
      <c r="N848" s="53">
        <v>45216</v>
      </c>
      <c r="O848" s="35" t="s">
        <v>1589</v>
      </c>
      <c r="P848" s="35" t="s">
        <v>3976</v>
      </c>
      <c r="Q848" s="35"/>
      <c r="R848" s="35"/>
      <c r="S848" s="33"/>
      <c r="T848" s="33"/>
      <c r="U848" s="21"/>
    </row>
    <row r="849" spans="2:21">
      <c r="B849" s="232"/>
      <c r="C849" s="232"/>
      <c r="D849" s="255"/>
      <c r="E849" s="255"/>
      <c r="F849" s="264"/>
      <c r="G849" s="255"/>
      <c r="H849" s="21"/>
      <c r="I849" s="21"/>
      <c r="J849" s="33"/>
      <c r="K849" s="56"/>
      <c r="L849" s="35"/>
      <c r="M849" s="53"/>
      <c r="N849" s="53"/>
      <c r="O849" s="35"/>
      <c r="P849" s="35"/>
      <c r="Q849" s="35"/>
      <c r="R849" s="35"/>
      <c r="S849" s="33"/>
      <c r="T849" s="33"/>
      <c r="U849" s="21"/>
    </row>
    <row r="850" spans="2:21">
      <c r="B850" s="232"/>
      <c r="C850" s="232"/>
      <c r="D850" s="255"/>
      <c r="E850" s="255"/>
      <c r="F850" s="21" t="s">
        <v>35</v>
      </c>
      <c r="G850" s="265"/>
      <c r="H850" s="265"/>
      <c r="I850" s="265"/>
      <c r="J850" s="265"/>
      <c r="K850" s="265"/>
      <c r="L850" s="265"/>
      <c r="M850" s="265"/>
      <c r="N850" s="265"/>
      <c r="O850" s="265"/>
      <c r="P850" s="265"/>
      <c r="Q850" s="265"/>
      <c r="R850" s="39"/>
      <c r="S850" s="21"/>
      <c r="T850" s="21"/>
      <c r="U850" s="21"/>
    </row>
    <row r="851" spans="2:21">
      <c r="B851" s="232"/>
      <c r="C851" s="232"/>
      <c r="D851" s="255"/>
      <c r="E851" s="255"/>
      <c r="F851" s="255"/>
      <c r="G851" s="255"/>
      <c r="H851" s="38"/>
      <c r="I851" s="38"/>
      <c r="J851" s="38"/>
      <c r="K851" s="38"/>
      <c r="L851" s="39"/>
      <c r="M851" s="38"/>
      <c r="N851" s="39"/>
      <c r="O851" s="38"/>
      <c r="P851" s="38"/>
      <c r="Q851" s="38"/>
      <c r="R851" s="35"/>
      <c r="S851" s="33"/>
      <c r="T851" s="33"/>
      <c r="U851" s="21"/>
    </row>
    <row r="852" spans="2:21">
      <c r="B852" s="232"/>
      <c r="C852" s="232"/>
      <c r="D852" s="255"/>
      <c r="E852" s="255"/>
      <c r="F852" s="255"/>
      <c r="G852" s="255"/>
      <c r="H852" s="21"/>
      <c r="I852" s="21"/>
      <c r="J852" s="33"/>
      <c r="K852" s="35"/>
      <c r="L852" s="35"/>
      <c r="M852" s="33"/>
      <c r="N852" s="35"/>
      <c r="O852" s="35"/>
      <c r="P852" s="35"/>
      <c r="Q852" s="35"/>
      <c r="R852" s="35"/>
      <c r="S852" s="33"/>
      <c r="T852" s="33"/>
      <c r="U852" s="21"/>
    </row>
    <row r="853" spans="2:21">
      <c r="B853" s="232"/>
      <c r="C853" s="232"/>
      <c r="D853" s="39" t="s">
        <v>151</v>
      </c>
      <c r="E853" s="256" t="s">
        <v>321</v>
      </c>
      <c r="F853" s="257"/>
      <c r="G853" s="257"/>
      <c r="H853" s="257"/>
      <c r="I853" s="257"/>
      <c r="J853" s="257"/>
      <c r="K853" s="257"/>
      <c r="L853" s="257"/>
      <c r="M853" s="257"/>
      <c r="N853" s="257"/>
      <c r="O853" s="257"/>
      <c r="P853" s="257"/>
      <c r="Q853" s="257"/>
      <c r="R853" s="257"/>
      <c r="S853" s="257"/>
      <c r="T853" s="258"/>
      <c r="U853" s="21"/>
    </row>
    <row r="854" spans="2:21">
      <c r="B854" s="232"/>
      <c r="C854" s="232"/>
      <c r="D854" s="255"/>
      <c r="E854" s="255"/>
      <c r="F854" s="21" t="s">
        <v>27</v>
      </c>
      <c r="G854" s="256" t="s">
        <v>175</v>
      </c>
      <c r="H854" s="257"/>
      <c r="I854" s="257"/>
      <c r="J854" s="257"/>
      <c r="K854" s="257"/>
      <c r="L854" s="257"/>
      <c r="M854" s="257"/>
      <c r="N854" s="257"/>
      <c r="O854" s="257"/>
      <c r="P854" s="257"/>
      <c r="Q854" s="258"/>
      <c r="R854" s="39" t="s">
        <v>26</v>
      </c>
      <c r="S854" s="21"/>
      <c r="T854" s="21"/>
      <c r="U854" s="21"/>
    </row>
    <row r="855" spans="2:21">
      <c r="B855" s="232"/>
      <c r="C855" s="232"/>
      <c r="D855" s="255"/>
      <c r="E855" s="255"/>
      <c r="F855" s="263"/>
      <c r="G855" s="263"/>
      <c r="H855" s="21" t="s">
        <v>176</v>
      </c>
      <c r="I855" s="21"/>
      <c r="J855" s="33" t="s">
        <v>571</v>
      </c>
      <c r="K855" s="56" t="s">
        <v>3</v>
      </c>
      <c r="L855" s="35" t="s">
        <v>332</v>
      </c>
      <c r="M855" s="53">
        <v>44134</v>
      </c>
      <c r="N855" s="53">
        <v>44138</v>
      </c>
      <c r="O855" s="35" t="s">
        <v>575</v>
      </c>
      <c r="P855" s="35" t="s">
        <v>567</v>
      </c>
      <c r="Q855" s="35"/>
      <c r="R855" s="35"/>
      <c r="S855" s="33"/>
      <c r="T855" s="33"/>
      <c r="U855" s="21"/>
    </row>
    <row r="856" spans="2:21">
      <c r="B856" s="232"/>
      <c r="C856" s="232"/>
      <c r="D856" s="255"/>
      <c r="E856" s="255"/>
      <c r="F856" s="262"/>
      <c r="G856" s="262"/>
      <c r="H856" s="21"/>
      <c r="I856" s="21"/>
      <c r="J856" s="33"/>
      <c r="K856" s="56"/>
      <c r="L856" s="35"/>
      <c r="M856" s="53"/>
      <c r="N856" s="53"/>
      <c r="O856" s="35"/>
      <c r="P856" s="35"/>
      <c r="Q856" s="35"/>
      <c r="R856" s="35"/>
      <c r="S856" s="33"/>
      <c r="T856" s="33"/>
      <c r="U856" s="21"/>
    </row>
    <row r="857" spans="2:21">
      <c r="B857" s="232"/>
      <c r="C857" s="232"/>
      <c r="D857" s="255"/>
      <c r="E857" s="255"/>
      <c r="F857" s="262"/>
      <c r="G857" s="262"/>
      <c r="H857" s="21" t="s">
        <v>177</v>
      </c>
      <c r="I857" s="21"/>
      <c r="J857" s="33" t="s">
        <v>572</v>
      </c>
      <c r="K857" s="56" t="s">
        <v>3</v>
      </c>
      <c r="L857" s="35" t="s">
        <v>332</v>
      </c>
      <c r="M857" s="53">
        <v>44134</v>
      </c>
      <c r="N857" s="53">
        <v>44138</v>
      </c>
      <c r="O857" s="35" t="s">
        <v>576</v>
      </c>
      <c r="P857" s="35" t="s">
        <v>567</v>
      </c>
      <c r="Q857" s="35"/>
      <c r="R857" s="35"/>
      <c r="S857" s="33"/>
      <c r="T857" s="33"/>
      <c r="U857" s="21"/>
    </row>
    <row r="858" spans="2:21">
      <c r="B858" s="232"/>
      <c r="C858" s="232"/>
      <c r="D858" s="255"/>
      <c r="E858" s="255"/>
      <c r="F858" s="264"/>
      <c r="G858" s="264"/>
      <c r="H858" s="21"/>
      <c r="I858" s="21"/>
      <c r="J858" s="33"/>
      <c r="K858" s="56"/>
      <c r="L858" s="35"/>
      <c r="M858" s="53"/>
      <c r="N858" s="53"/>
      <c r="O858" s="35"/>
      <c r="P858" s="35"/>
      <c r="Q858" s="35"/>
      <c r="R858" s="35"/>
      <c r="S858" s="33"/>
      <c r="T858" s="33"/>
      <c r="U858" s="21"/>
    </row>
    <row r="859" spans="2:21">
      <c r="B859" s="232"/>
      <c r="C859" s="232"/>
      <c r="D859" s="255"/>
      <c r="E859" s="255"/>
      <c r="F859" s="21" t="s">
        <v>29</v>
      </c>
      <c r="G859" s="256" t="s">
        <v>226</v>
      </c>
      <c r="H859" s="257"/>
      <c r="I859" s="257"/>
      <c r="J859" s="257"/>
      <c r="K859" s="257"/>
      <c r="L859" s="257"/>
      <c r="M859" s="257"/>
      <c r="N859" s="257"/>
      <c r="O859" s="257"/>
      <c r="P859" s="257"/>
      <c r="Q859" s="258"/>
      <c r="R859" s="39"/>
      <c r="S859" s="21"/>
      <c r="T859" s="21"/>
      <c r="U859" s="21"/>
    </row>
    <row r="860" spans="2:21">
      <c r="B860" s="232"/>
      <c r="C860" s="232"/>
      <c r="D860" s="255"/>
      <c r="E860" s="255"/>
      <c r="F860" s="263"/>
      <c r="G860" s="255"/>
      <c r="H860" s="21" t="s">
        <v>176</v>
      </c>
      <c r="I860" s="21"/>
      <c r="J860" s="33" t="s">
        <v>571</v>
      </c>
      <c r="K860" s="56" t="s">
        <v>3</v>
      </c>
      <c r="L860" s="35" t="s">
        <v>332</v>
      </c>
      <c r="M860" s="53">
        <v>44134</v>
      </c>
      <c r="N860" s="53">
        <v>44138</v>
      </c>
      <c r="O860" s="35" t="s">
        <v>573</v>
      </c>
      <c r="P860" s="35" t="s">
        <v>567</v>
      </c>
      <c r="Q860" s="35"/>
      <c r="R860" s="35"/>
      <c r="S860" s="33"/>
      <c r="T860" s="33"/>
      <c r="U860" s="21"/>
    </row>
    <row r="861" spans="2:21">
      <c r="B861" s="232"/>
      <c r="C861" s="232"/>
      <c r="D861" s="255"/>
      <c r="E861" s="255"/>
      <c r="F861" s="262"/>
      <c r="G861" s="255"/>
      <c r="H861" s="21"/>
      <c r="I861" s="21"/>
      <c r="J861" s="33" t="s">
        <v>571</v>
      </c>
      <c r="K861" s="56" t="s">
        <v>512</v>
      </c>
      <c r="L861" s="35" t="s">
        <v>332</v>
      </c>
      <c r="M861" s="53" t="s">
        <v>349</v>
      </c>
      <c r="N861" s="53">
        <v>44315</v>
      </c>
      <c r="O861" s="35" t="s">
        <v>573</v>
      </c>
      <c r="P861" s="35" t="s">
        <v>1570</v>
      </c>
      <c r="Q861" s="35"/>
      <c r="R861" s="35"/>
      <c r="S861" s="33"/>
      <c r="T861" s="33"/>
      <c r="U861" s="21"/>
    </row>
    <row r="862" spans="2:21">
      <c r="B862" s="232"/>
      <c r="C862" s="232"/>
      <c r="D862" s="255"/>
      <c r="E862" s="255"/>
      <c r="F862" s="262"/>
      <c r="G862" s="255"/>
      <c r="H862" s="21"/>
      <c r="I862" s="21"/>
      <c r="J862" s="33" t="s">
        <v>571</v>
      </c>
      <c r="K862" s="56" t="s">
        <v>729</v>
      </c>
      <c r="L862" s="35" t="s">
        <v>332</v>
      </c>
      <c r="M862" s="53" t="s">
        <v>349</v>
      </c>
      <c r="N862" s="53">
        <v>44972</v>
      </c>
      <c r="O862" s="35" t="s">
        <v>573</v>
      </c>
      <c r="P862" s="35" t="s">
        <v>3576</v>
      </c>
      <c r="Q862" s="35"/>
      <c r="R862" s="35"/>
      <c r="S862" s="33"/>
      <c r="T862" s="33"/>
      <c r="U862" s="21"/>
    </row>
    <row r="863" spans="2:21">
      <c r="B863" s="232"/>
      <c r="C863" s="232"/>
      <c r="D863" s="255"/>
      <c r="E863" s="255"/>
      <c r="F863" s="262"/>
      <c r="G863" s="255"/>
      <c r="H863" s="21"/>
      <c r="I863" s="21"/>
      <c r="J863" s="33" t="s">
        <v>571</v>
      </c>
      <c r="K863" s="56" t="s">
        <v>730</v>
      </c>
      <c r="L863" s="35" t="s">
        <v>332</v>
      </c>
      <c r="M863" s="53" t="s">
        <v>349</v>
      </c>
      <c r="N863" s="53">
        <v>45216</v>
      </c>
      <c r="O863" s="35" t="s">
        <v>573</v>
      </c>
      <c r="P863" s="35" t="s">
        <v>3976</v>
      </c>
      <c r="Q863" s="35"/>
      <c r="R863" s="35"/>
      <c r="S863" s="33"/>
      <c r="T863" s="33"/>
      <c r="U863" s="21"/>
    </row>
    <row r="864" spans="2:21">
      <c r="B864" s="232"/>
      <c r="C864" s="232"/>
      <c r="D864" s="255"/>
      <c r="E864" s="255"/>
      <c r="F864" s="262"/>
      <c r="G864" s="255"/>
      <c r="H864" s="21"/>
      <c r="I864" s="21"/>
      <c r="J864" s="33"/>
      <c r="K864" s="56"/>
      <c r="L864" s="35"/>
      <c r="M864" s="53"/>
      <c r="N864" s="53"/>
      <c r="O864" s="35"/>
      <c r="P864" s="35"/>
      <c r="Q864" s="35"/>
      <c r="R864" s="35"/>
      <c r="S864" s="33"/>
      <c r="T864" s="33"/>
      <c r="U864" s="21"/>
    </row>
    <row r="865" spans="2:21">
      <c r="B865" s="232"/>
      <c r="C865" s="232"/>
      <c r="D865" s="255"/>
      <c r="E865" s="255"/>
      <c r="F865" s="262"/>
      <c r="G865" s="255"/>
      <c r="H865" s="21" t="s">
        <v>177</v>
      </c>
      <c r="I865" s="21"/>
      <c r="J865" s="33" t="s">
        <v>572</v>
      </c>
      <c r="K865" s="56" t="s">
        <v>3</v>
      </c>
      <c r="L865" s="35" t="s">
        <v>332</v>
      </c>
      <c r="M865" s="53">
        <v>44134</v>
      </c>
      <c r="N865" s="53">
        <v>44138</v>
      </c>
      <c r="O865" s="35" t="s">
        <v>574</v>
      </c>
      <c r="P865" s="35" t="s">
        <v>567</v>
      </c>
      <c r="Q865" s="35"/>
      <c r="R865" s="35"/>
      <c r="S865" s="33"/>
      <c r="T865" s="33"/>
      <c r="U865" s="21"/>
    </row>
    <row r="866" spans="2:21">
      <c r="B866" s="232"/>
      <c r="C866" s="232"/>
      <c r="D866" s="255"/>
      <c r="E866" s="255"/>
      <c r="F866" s="262"/>
      <c r="G866" s="255"/>
      <c r="H866" s="21"/>
      <c r="I866" s="21"/>
      <c r="J866" s="33" t="s">
        <v>572</v>
      </c>
      <c r="K866" s="56" t="s">
        <v>512</v>
      </c>
      <c r="L866" s="35" t="s">
        <v>332</v>
      </c>
      <c r="M866" s="53" t="s">
        <v>349</v>
      </c>
      <c r="N866" s="53">
        <v>44315</v>
      </c>
      <c r="O866" s="35" t="s">
        <v>574</v>
      </c>
      <c r="P866" s="35" t="s">
        <v>1570</v>
      </c>
      <c r="Q866" s="35"/>
      <c r="R866" s="35"/>
      <c r="S866" s="33"/>
      <c r="T866" s="33"/>
      <c r="U866" s="21"/>
    </row>
    <row r="867" spans="2:21">
      <c r="B867" s="232"/>
      <c r="C867" s="232"/>
      <c r="D867" s="255"/>
      <c r="E867" s="255"/>
      <c r="F867" s="262"/>
      <c r="G867" s="255"/>
      <c r="H867" s="21"/>
      <c r="I867" s="21"/>
      <c r="J867" s="33" t="s">
        <v>572</v>
      </c>
      <c r="K867" s="56" t="s">
        <v>729</v>
      </c>
      <c r="L867" s="35" t="s">
        <v>332</v>
      </c>
      <c r="M867" s="53" t="s">
        <v>349</v>
      </c>
      <c r="N867" s="53">
        <v>44972</v>
      </c>
      <c r="O867" s="35" t="s">
        <v>574</v>
      </c>
      <c r="P867" s="35" t="s">
        <v>3576</v>
      </c>
      <c r="Q867" s="35"/>
      <c r="R867" s="35"/>
      <c r="S867" s="33"/>
      <c r="T867" s="33"/>
      <c r="U867" s="21"/>
    </row>
    <row r="868" spans="2:21">
      <c r="B868" s="232"/>
      <c r="C868" s="232"/>
      <c r="D868" s="255"/>
      <c r="E868" s="255"/>
      <c r="F868" s="262"/>
      <c r="G868" s="255"/>
      <c r="H868" s="21"/>
      <c r="I868" s="21"/>
      <c r="J868" s="33" t="s">
        <v>572</v>
      </c>
      <c r="K868" s="56" t="s">
        <v>730</v>
      </c>
      <c r="L868" s="35" t="s">
        <v>332</v>
      </c>
      <c r="M868" s="53" t="s">
        <v>349</v>
      </c>
      <c r="N868" s="53">
        <v>45216</v>
      </c>
      <c r="O868" s="35" t="s">
        <v>574</v>
      </c>
      <c r="P868" s="35" t="s">
        <v>3976</v>
      </c>
      <c r="Q868" s="35"/>
      <c r="R868" s="35"/>
      <c r="S868" s="33"/>
      <c r="T868" s="33"/>
      <c r="U868" s="21"/>
    </row>
    <row r="869" spans="2:21">
      <c r="B869" s="232"/>
      <c r="C869" s="232"/>
      <c r="D869" s="255"/>
      <c r="E869" s="255"/>
      <c r="F869" s="264"/>
      <c r="G869" s="255"/>
      <c r="H869" s="21"/>
      <c r="I869" s="21"/>
      <c r="J869" s="33"/>
      <c r="K869" s="56"/>
      <c r="L869" s="35"/>
      <c r="M869" s="53"/>
      <c r="N869" s="53"/>
      <c r="O869" s="35"/>
      <c r="P869" s="35"/>
      <c r="Q869" s="35"/>
      <c r="R869" s="35"/>
      <c r="S869" s="33"/>
      <c r="T869" s="33"/>
      <c r="U869" s="21"/>
    </row>
    <row r="870" spans="2:21">
      <c r="B870" s="232"/>
      <c r="C870" s="232"/>
      <c r="D870" s="255"/>
      <c r="E870" s="255"/>
      <c r="F870" s="21" t="s">
        <v>35</v>
      </c>
      <c r="G870" s="265"/>
      <c r="H870" s="265"/>
      <c r="I870" s="265"/>
      <c r="J870" s="265"/>
      <c r="K870" s="265"/>
      <c r="L870" s="265"/>
      <c r="M870" s="265"/>
      <c r="N870" s="265"/>
      <c r="O870" s="265"/>
      <c r="P870" s="265"/>
      <c r="Q870" s="265"/>
      <c r="R870" s="39"/>
      <c r="S870" s="21"/>
      <c r="T870" s="21"/>
      <c r="U870" s="21"/>
    </row>
    <row r="871" spans="2:21">
      <c r="B871" s="232"/>
      <c r="C871" s="232"/>
      <c r="D871" s="255"/>
      <c r="E871" s="255"/>
      <c r="F871" s="255"/>
      <c r="G871" s="255"/>
      <c r="H871" s="38"/>
      <c r="I871" s="38"/>
      <c r="J871" s="38"/>
      <c r="K871" s="38"/>
      <c r="L871" s="39"/>
      <c r="M871" s="38"/>
      <c r="N871" s="39"/>
      <c r="O871" s="38"/>
      <c r="P871" s="38"/>
      <c r="Q871" s="38"/>
      <c r="R871" s="35"/>
      <c r="S871" s="33"/>
      <c r="T871" s="33"/>
      <c r="U871" s="21"/>
    </row>
    <row r="872" spans="2:21">
      <c r="B872" s="232"/>
      <c r="C872" s="232"/>
      <c r="D872" s="255"/>
      <c r="E872" s="255"/>
      <c r="F872" s="255"/>
      <c r="G872" s="255"/>
      <c r="H872" s="21"/>
      <c r="I872" s="21"/>
      <c r="J872" s="33"/>
      <c r="K872" s="35"/>
      <c r="L872" s="35"/>
      <c r="M872" s="33"/>
      <c r="N872" s="35"/>
      <c r="O872" s="35"/>
      <c r="P872" s="35"/>
      <c r="Q872" s="35"/>
      <c r="R872" s="35"/>
      <c r="S872" s="33"/>
      <c r="T872" s="33"/>
      <c r="U872" s="21"/>
    </row>
    <row r="873" spans="2:21">
      <c r="B873" s="232"/>
      <c r="C873" s="232"/>
      <c r="D873" s="39" t="s">
        <v>188</v>
      </c>
      <c r="E873" s="256" t="s">
        <v>322</v>
      </c>
      <c r="F873" s="257"/>
      <c r="G873" s="257"/>
      <c r="H873" s="257"/>
      <c r="I873" s="257"/>
      <c r="J873" s="257"/>
      <c r="K873" s="257"/>
      <c r="L873" s="257"/>
      <c r="M873" s="257"/>
      <c r="N873" s="257"/>
      <c r="O873" s="257"/>
      <c r="P873" s="257"/>
      <c r="Q873" s="257"/>
      <c r="R873" s="257"/>
      <c r="S873" s="257"/>
      <c r="T873" s="258"/>
      <c r="U873" s="21"/>
    </row>
    <row r="874" spans="2:21">
      <c r="B874" s="232"/>
      <c r="C874" s="232"/>
      <c r="D874" s="255"/>
      <c r="E874" s="255"/>
      <c r="F874" s="21" t="s">
        <v>27</v>
      </c>
      <c r="G874" s="256" t="s">
        <v>175</v>
      </c>
      <c r="H874" s="257"/>
      <c r="I874" s="257"/>
      <c r="J874" s="257"/>
      <c r="K874" s="257"/>
      <c r="L874" s="257"/>
      <c r="M874" s="257"/>
      <c r="N874" s="257"/>
      <c r="O874" s="257"/>
      <c r="P874" s="257"/>
      <c r="Q874" s="258"/>
      <c r="R874" s="39" t="s">
        <v>26</v>
      </c>
      <c r="S874" s="21"/>
      <c r="T874" s="21"/>
      <c r="U874" s="21"/>
    </row>
    <row r="875" spans="2:21">
      <c r="B875" s="232"/>
      <c r="C875" s="232"/>
      <c r="D875" s="255"/>
      <c r="E875" s="255"/>
      <c r="F875" s="263"/>
      <c r="G875" s="255"/>
      <c r="H875" s="21" t="s">
        <v>176</v>
      </c>
      <c r="I875" s="21"/>
      <c r="J875" s="33" t="s">
        <v>564</v>
      </c>
      <c r="K875" s="56" t="s">
        <v>3</v>
      </c>
      <c r="L875" s="35" t="s">
        <v>332</v>
      </c>
      <c r="M875" s="53">
        <v>44134</v>
      </c>
      <c r="N875" s="53">
        <v>44138</v>
      </c>
      <c r="O875" s="35" t="s">
        <v>566</v>
      </c>
      <c r="P875" s="35" t="s">
        <v>567</v>
      </c>
      <c r="Q875" s="35"/>
      <c r="R875" s="35"/>
      <c r="S875" s="33"/>
      <c r="T875" s="33"/>
      <c r="U875" s="21"/>
    </row>
    <row r="876" spans="2:21">
      <c r="B876" s="232"/>
      <c r="C876" s="232"/>
      <c r="D876" s="255"/>
      <c r="E876" s="255"/>
      <c r="F876" s="262"/>
      <c r="G876" s="255"/>
      <c r="H876" s="21"/>
      <c r="I876" s="21"/>
      <c r="J876" s="33"/>
      <c r="K876" s="56"/>
      <c r="L876" s="35"/>
      <c r="M876" s="53"/>
      <c r="N876" s="53"/>
      <c r="O876" s="35"/>
      <c r="P876" s="35"/>
      <c r="Q876" s="35"/>
      <c r="R876" s="35"/>
      <c r="S876" s="33"/>
      <c r="T876" s="33"/>
      <c r="U876" s="21"/>
    </row>
    <row r="877" spans="2:21">
      <c r="B877" s="232"/>
      <c r="C877" s="232"/>
      <c r="D877" s="255"/>
      <c r="E877" s="255"/>
      <c r="F877" s="262"/>
      <c r="G877" s="255"/>
      <c r="H877" s="21" t="s">
        <v>177</v>
      </c>
      <c r="I877" s="21"/>
      <c r="J877" s="33" t="s">
        <v>570</v>
      </c>
      <c r="K877" s="56" t="s">
        <v>3</v>
      </c>
      <c r="L877" s="35" t="s">
        <v>332</v>
      </c>
      <c r="M877" s="53">
        <v>44134</v>
      </c>
      <c r="N877" s="53">
        <v>44138</v>
      </c>
      <c r="O877" s="35" t="s">
        <v>565</v>
      </c>
      <c r="P877" s="35" t="s">
        <v>567</v>
      </c>
      <c r="Q877" s="35"/>
      <c r="R877" s="35"/>
      <c r="S877" s="33"/>
      <c r="T877" s="33"/>
      <c r="U877" s="21"/>
    </row>
    <row r="878" spans="2:21">
      <c r="B878" s="232"/>
      <c r="C878" s="232"/>
      <c r="D878" s="255"/>
      <c r="E878" s="255"/>
      <c r="F878" s="264"/>
      <c r="G878" s="255"/>
      <c r="H878" s="21"/>
      <c r="I878" s="21"/>
      <c r="J878" s="33"/>
      <c r="K878" s="56"/>
      <c r="L878" s="35"/>
      <c r="M878" s="53"/>
      <c r="N878" s="53"/>
      <c r="O878" s="35"/>
      <c r="P878" s="35"/>
      <c r="Q878" s="35"/>
      <c r="R878" s="35"/>
      <c r="S878" s="33"/>
      <c r="T878" s="33"/>
      <c r="U878" s="21"/>
    </row>
    <row r="879" spans="2:21">
      <c r="B879" s="232"/>
      <c r="C879" s="232"/>
      <c r="D879" s="255"/>
      <c r="E879" s="255"/>
      <c r="F879" s="21" t="s">
        <v>29</v>
      </c>
      <c r="G879" s="265" t="s">
        <v>226</v>
      </c>
      <c r="H879" s="265"/>
      <c r="I879" s="265"/>
      <c r="J879" s="265"/>
      <c r="K879" s="265"/>
      <c r="L879" s="265"/>
      <c r="M879" s="265"/>
      <c r="N879" s="265"/>
      <c r="O879" s="265"/>
      <c r="P879" s="265"/>
      <c r="Q879" s="265"/>
      <c r="R879" s="39"/>
      <c r="S879" s="21"/>
      <c r="T879" s="21"/>
      <c r="U879" s="21"/>
    </row>
    <row r="880" spans="2:21">
      <c r="B880" s="232"/>
      <c r="C880" s="232"/>
      <c r="D880" s="255"/>
      <c r="E880" s="255"/>
      <c r="F880" s="263"/>
      <c r="G880" s="255"/>
      <c r="H880" s="21" t="s">
        <v>176</v>
      </c>
      <c r="I880" s="21"/>
      <c r="J880" s="33" t="s">
        <v>564</v>
      </c>
      <c r="K880" s="56" t="s">
        <v>3</v>
      </c>
      <c r="L880" s="35" t="s">
        <v>332</v>
      </c>
      <c r="M880" s="53">
        <v>44134</v>
      </c>
      <c r="N880" s="53">
        <v>44138</v>
      </c>
      <c r="O880" s="35" t="s">
        <v>568</v>
      </c>
      <c r="P880" s="35" t="s">
        <v>567</v>
      </c>
      <c r="Q880" s="35"/>
      <c r="R880" s="35"/>
      <c r="S880" s="33"/>
      <c r="T880" s="33"/>
      <c r="U880" s="21"/>
    </row>
    <row r="881" spans="2:21">
      <c r="B881" s="232"/>
      <c r="C881" s="232"/>
      <c r="D881" s="255"/>
      <c r="E881" s="255"/>
      <c r="F881" s="262"/>
      <c r="G881" s="255"/>
      <c r="H881" s="21"/>
      <c r="I881" s="21"/>
      <c r="J881" s="33" t="s">
        <v>564</v>
      </c>
      <c r="K881" s="56" t="s">
        <v>512</v>
      </c>
      <c r="L881" s="35" t="s">
        <v>332</v>
      </c>
      <c r="M881" s="53" t="s">
        <v>349</v>
      </c>
      <c r="N881" s="53">
        <v>44315</v>
      </c>
      <c r="O881" s="35" t="s">
        <v>568</v>
      </c>
      <c r="P881" s="35" t="s">
        <v>1570</v>
      </c>
      <c r="Q881" s="35"/>
      <c r="R881" s="35"/>
      <c r="S881" s="33"/>
      <c r="T881" s="33"/>
      <c r="U881" s="21"/>
    </row>
    <row r="882" spans="2:21">
      <c r="B882" s="232"/>
      <c r="C882" s="232"/>
      <c r="D882" s="255"/>
      <c r="E882" s="255"/>
      <c r="F882" s="262"/>
      <c r="G882" s="255"/>
      <c r="H882" s="21"/>
      <c r="I882" s="21"/>
      <c r="J882" s="33" t="s">
        <v>564</v>
      </c>
      <c r="K882" s="56" t="s">
        <v>654</v>
      </c>
      <c r="L882" s="35" t="s">
        <v>332</v>
      </c>
      <c r="M882" s="53" t="s">
        <v>349</v>
      </c>
      <c r="N882" s="53">
        <v>45216</v>
      </c>
      <c r="O882" s="35" t="s">
        <v>568</v>
      </c>
      <c r="P882" s="35" t="s">
        <v>3976</v>
      </c>
      <c r="Q882" s="35"/>
      <c r="R882" s="35"/>
      <c r="S882" s="33"/>
      <c r="T882" s="33"/>
      <c r="U882" s="21"/>
    </row>
    <row r="883" spans="2:21">
      <c r="B883" s="232"/>
      <c r="C883" s="232"/>
      <c r="D883" s="255"/>
      <c r="E883" s="255"/>
      <c r="F883" s="262"/>
      <c r="G883" s="255"/>
      <c r="H883" s="21"/>
      <c r="I883" s="21"/>
      <c r="J883" s="33"/>
      <c r="K883" s="56"/>
      <c r="L883" s="35"/>
      <c r="M883" s="53"/>
      <c r="N883" s="53"/>
      <c r="O883" s="35"/>
      <c r="P883" s="35"/>
      <c r="Q883" s="35"/>
      <c r="R883" s="35"/>
      <c r="S883" s="33"/>
      <c r="T883" s="33"/>
      <c r="U883" s="21"/>
    </row>
    <row r="884" spans="2:21">
      <c r="B884" s="232"/>
      <c r="C884" s="232"/>
      <c r="D884" s="255"/>
      <c r="E884" s="255"/>
      <c r="F884" s="262"/>
      <c r="G884" s="255"/>
      <c r="H884" s="21" t="s">
        <v>177</v>
      </c>
      <c r="I884" s="21"/>
      <c r="J884" s="33" t="s">
        <v>570</v>
      </c>
      <c r="K884" s="56" t="s">
        <v>3</v>
      </c>
      <c r="L884" s="35" t="s">
        <v>332</v>
      </c>
      <c r="M884" s="53">
        <v>44134</v>
      </c>
      <c r="N884" s="53">
        <v>44138</v>
      </c>
      <c r="O884" s="35" t="s">
        <v>569</v>
      </c>
      <c r="P884" s="35" t="s">
        <v>567</v>
      </c>
      <c r="Q884" s="35"/>
      <c r="R884" s="35"/>
      <c r="S884" s="33"/>
      <c r="T884" s="33"/>
      <c r="U884" s="21"/>
    </row>
    <row r="885" spans="2:21">
      <c r="B885" s="232"/>
      <c r="C885" s="232"/>
      <c r="D885" s="255"/>
      <c r="E885" s="255"/>
      <c r="F885" s="262"/>
      <c r="G885" s="255"/>
      <c r="H885" s="21"/>
      <c r="I885" s="21"/>
      <c r="J885" s="33" t="s">
        <v>570</v>
      </c>
      <c r="K885" s="56" t="s">
        <v>512</v>
      </c>
      <c r="L885" s="35" t="s">
        <v>332</v>
      </c>
      <c r="M885" s="53" t="s">
        <v>349</v>
      </c>
      <c r="N885" s="53">
        <v>44315</v>
      </c>
      <c r="O885" s="35" t="s">
        <v>569</v>
      </c>
      <c r="P885" s="35" t="s">
        <v>1570</v>
      </c>
      <c r="Q885" s="35"/>
      <c r="R885" s="35"/>
      <c r="S885" s="33"/>
      <c r="T885" s="33"/>
      <c r="U885" s="21"/>
    </row>
    <row r="886" spans="2:21">
      <c r="B886" s="232"/>
      <c r="C886" s="232"/>
      <c r="D886" s="255"/>
      <c r="E886" s="255"/>
      <c r="F886" s="262"/>
      <c r="G886" s="255"/>
      <c r="H886" s="21"/>
      <c r="I886" s="21"/>
      <c r="J886" s="33" t="s">
        <v>570</v>
      </c>
      <c r="K886" s="56" t="s">
        <v>654</v>
      </c>
      <c r="L886" s="35" t="s">
        <v>332</v>
      </c>
      <c r="M886" s="53" t="s">
        <v>349</v>
      </c>
      <c r="N886" s="53">
        <v>45216</v>
      </c>
      <c r="O886" s="35" t="s">
        <v>569</v>
      </c>
      <c r="P886" s="35" t="s">
        <v>3976</v>
      </c>
      <c r="Q886" s="35"/>
      <c r="R886" s="35"/>
      <c r="S886" s="33"/>
      <c r="T886" s="33"/>
      <c r="U886" s="21"/>
    </row>
    <row r="887" spans="2:21">
      <c r="B887" s="232"/>
      <c r="C887" s="232"/>
      <c r="D887" s="255"/>
      <c r="E887" s="255"/>
      <c r="F887" s="264"/>
      <c r="G887" s="255"/>
      <c r="H887" s="21"/>
      <c r="I887" s="21"/>
      <c r="J887" s="33"/>
      <c r="K887" s="56"/>
      <c r="L887" s="35"/>
      <c r="M887" s="53"/>
      <c r="N887" s="53"/>
      <c r="O887" s="35"/>
      <c r="P887" s="35"/>
      <c r="Q887" s="35"/>
      <c r="R887" s="35"/>
      <c r="S887" s="33"/>
      <c r="T887" s="33"/>
      <c r="U887" s="21"/>
    </row>
    <row r="888" spans="2:21">
      <c r="B888" s="232"/>
      <c r="C888" s="232"/>
      <c r="D888" s="255"/>
      <c r="E888" s="255"/>
      <c r="F888" s="21" t="s">
        <v>35</v>
      </c>
      <c r="G888" s="265"/>
      <c r="H888" s="265"/>
      <c r="I888" s="265"/>
      <c r="J888" s="265"/>
      <c r="K888" s="265"/>
      <c r="L888" s="265"/>
      <c r="M888" s="265"/>
      <c r="N888" s="265"/>
      <c r="O888" s="265"/>
      <c r="P888" s="265"/>
      <c r="Q888" s="265"/>
      <c r="R888" s="39"/>
      <c r="S888" s="21"/>
      <c r="T888" s="21"/>
      <c r="U888" s="21"/>
    </row>
    <row r="889" spans="2:21">
      <c r="B889" s="232"/>
      <c r="C889" s="232"/>
      <c r="D889" s="255"/>
      <c r="E889" s="255"/>
      <c r="F889" s="255"/>
      <c r="G889" s="255"/>
      <c r="H889" s="38"/>
      <c r="I889" s="38"/>
      <c r="J889" s="38"/>
      <c r="K889" s="38"/>
      <c r="L889" s="39"/>
      <c r="M889" s="38"/>
      <c r="N889" s="39"/>
      <c r="O889" s="38"/>
      <c r="P889" s="38"/>
      <c r="Q889" s="38"/>
      <c r="R889" s="35"/>
      <c r="S889" s="33"/>
      <c r="T889" s="33"/>
      <c r="U889" s="21"/>
    </row>
    <row r="890" spans="2:21">
      <c r="B890" s="232"/>
      <c r="C890" s="232"/>
      <c r="D890" s="255"/>
      <c r="E890" s="255"/>
      <c r="F890" s="255"/>
      <c r="G890" s="255"/>
      <c r="H890" s="21"/>
      <c r="I890" s="21"/>
      <c r="J890" s="33"/>
      <c r="K890" s="35"/>
      <c r="L890" s="35"/>
      <c r="M890" s="33"/>
      <c r="N890" s="35"/>
      <c r="O890" s="35"/>
      <c r="P890" s="35"/>
      <c r="Q890" s="35"/>
      <c r="R890" s="35"/>
      <c r="S890" s="33"/>
      <c r="T890" s="33"/>
      <c r="U890" s="21"/>
    </row>
    <row r="891" spans="2:21">
      <c r="B891" s="232"/>
      <c r="C891" s="232"/>
      <c r="D891" s="39" t="s">
        <v>262</v>
      </c>
      <c r="E891" s="256" t="s">
        <v>224</v>
      </c>
      <c r="F891" s="257"/>
      <c r="G891" s="257"/>
      <c r="H891" s="257"/>
      <c r="I891" s="257"/>
      <c r="J891" s="257"/>
      <c r="K891" s="257"/>
      <c r="L891" s="257"/>
      <c r="M891" s="257"/>
      <c r="N891" s="257"/>
      <c r="O891" s="257"/>
      <c r="P891" s="257"/>
      <c r="Q891" s="257"/>
      <c r="R891" s="257"/>
      <c r="S891" s="257"/>
      <c r="T891" s="258"/>
      <c r="U891" s="21"/>
    </row>
    <row r="892" spans="2:21">
      <c r="B892" s="232"/>
      <c r="C892" s="232"/>
      <c r="D892" s="255"/>
      <c r="E892" s="255"/>
      <c r="F892" s="21" t="s">
        <v>27</v>
      </c>
      <c r="G892" s="256" t="s">
        <v>175</v>
      </c>
      <c r="H892" s="257"/>
      <c r="I892" s="257"/>
      <c r="J892" s="257"/>
      <c r="K892" s="257"/>
      <c r="L892" s="257"/>
      <c r="M892" s="257"/>
      <c r="N892" s="257"/>
      <c r="O892" s="257"/>
      <c r="P892" s="257"/>
      <c r="Q892" s="258"/>
      <c r="R892" s="39" t="s">
        <v>26</v>
      </c>
      <c r="S892" s="21"/>
      <c r="T892" s="21"/>
      <c r="U892" s="21"/>
    </row>
    <row r="893" spans="2:21">
      <c r="B893" s="232"/>
      <c r="C893" s="232"/>
      <c r="D893" s="255"/>
      <c r="E893" s="255"/>
      <c r="F893" s="263"/>
      <c r="G893" s="263"/>
      <c r="H893" s="21" t="s">
        <v>176</v>
      </c>
      <c r="I893" s="21"/>
      <c r="J893" s="54" t="s">
        <v>752</v>
      </c>
      <c r="K893" s="62" t="s">
        <v>330</v>
      </c>
      <c r="L893" s="62" t="s">
        <v>333</v>
      </c>
      <c r="M893" s="55">
        <v>44007</v>
      </c>
      <c r="N893" s="55">
        <v>44007</v>
      </c>
      <c r="O893" s="62" t="s">
        <v>344</v>
      </c>
      <c r="P893" s="62" t="s">
        <v>335</v>
      </c>
      <c r="Q893" s="35"/>
      <c r="R893" s="35"/>
      <c r="S893" s="33"/>
      <c r="T893" s="51"/>
      <c r="U893" s="21"/>
    </row>
    <row r="894" spans="2:21" ht="28">
      <c r="B894" s="232"/>
      <c r="C894" s="232"/>
      <c r="D894" s="255"/>
      <c r="E894" s="255"/>
      <c r="F894" s="262"/>
      <c r="G894" s="262"/>
      <c r="H894" s="21"/>
      <c r="I894" s="21"/>
      <c r="J894" s="54" t="s">
        <v>752</v>
      </c>
      <c r="K894" s="62" t="s">
        <v>330</v>
      </c>
      <c r="L894" s="62" t="s">
        <v>333</v>
      </c>
      <c r="M894" s="55">
        <v>44104</v>
      </c>
      <c r="N894" s="55">
        <v>44165</v>
      </c>
      <c r="O894" s="12" t="s">
        <v>672</v>
      </c>
      <c r="P894" s="62" t="s">
        <v>679</v>
      </c>
      <c r="Q894" s="35"/>
      <c r="R894" s="35"/>
      <c r="S894" s="33"/>
      <c r="T894" s="51"/>
      <c r="U894" s="21"/>
    </row>
    <row r="895" spans="2:21" ht="28">
      <c r="B895" s="232"/>
      <c r="C895" s="232"/>
      <c r="D895" s="255"/>
      <c r="E895" s="255"/>
      <c r="F895" s="262"/>
      <c r="G895" s="262"/>
      <c r="H895" s="21"/>
      <c r="I895" s="21"/>
      <c r="J895" s="54"/>
      <c r="K895" s="88" t="s">
        <v>3</v>
      </c>
      <c r="L895" s="62" t="s">
        <v>332</v>
      </c>
      <c r="M895" s="55">
        <v>44195</v>
      </c>
      <c r="N895" s="55">
        <v>44188</v>
      </c>
      <c r="O895" s="12" t="s">
        <v>672</v>
      </c>
      <c r="P895" s="62" t="s">
        <v>850</v>
      </c>
      <c r="Q895" s="35"/>
      <c r="R895" s="35"/>
      <c r="S895" s="33"/>
      <c r="T895" s="33"/>
      <c r="U895" s="21"/>
    </row>
    <row r="896" spans="2:21" ht="28">
      <c r="B896" s="232"/>
      <c r="C896" s="232"/>
      <c r="D896" s="255"/>
      <c r="E896" s="255"/>
      <c r="F896" s="262"/>
      <c r="G896" s="262"/>
      <c r="H896" s="21"/>
      <c r="I896" s="21"/>
      <c r="J896" s="54"/>
      <c r="K896" s="88" t="s">
        <v>1216</v>
      </c>
      <c r="L896" s="62" t="s">
        <v>332</v>
      </c>
      <c r="M896" s="55" t="s">
        <v>349</v>
      </c>
      <c r="N896" s="55">
        <v>44263</v>
      </c>
      <c r="O896" s="12" t="s">
        <v>672</v>
      </c>
      <c r="P896" s="62" t="s">
        <v>1217</v>
      </c>
      <c r="Q896" s="35"/>
      <c r="R896" s="35"/>
      <c r="S896" s="33"/>
      <c r="T896" s="33"/>
      <c r="U896" s="21"/>
    </row>
    <row r="897" spans="2:21" ht="28">
      <c r="B897" s="232"/>
      <c r="C897" s="232"/>
      <c r="D897" s="255"/>
      <c r="E897" s="255"/>
      <c r="F897" s="262"/>
      <c r="G897" s="262"/>
      <c r="H897" s="21"/>
      <c r="I897" s="21"/>
      <c r="J897" s="54"/>
      <c r="K897" s="88" t="s">
        <v>1231</v>
      </c>
      <c r="L897" s="62" t="s">
        <v>332</v>
      </c>
      <c r="M897" s="55" t="s">
        <v>349</v>
      </c>
      <c r="N897" s="55">
        <v>44336</v>
      </c>
      <c r="O897" s="12" t="s">
        <v>672</v>
      </c>
      <c r="P897" s="62" t="s">
        <v>1724</v>
      </c>
      <c r="Q897" s="35"/>
      <c r="R897" s="35"/>
      <c r="S897" s="33"/>
      <c r="T897" s="33"/>
      <c r="U897" s="21"/>
    </row>
    <row r="898" spans="2:21" ht="28">
      <c r="B898" s="232"/>
      <c r="C898" s="232"/>
      <c r="D898" s="255"/>
      <c r="E898" s="255"/>
      <c r="F898" s="262"/>
      <c r="G898" s="262"/>
      <c r="H898" s="21"/>
      <c r="I898" s="21"/>
      <c r="J898" s="54"/>
      <c r="K898" s="88" t="s">
        <v>1232</v>
      </c>
      <c r="L898" s="62" t="s">
        <v>332</v>
      </c>
      <c r="M898" s="55" t="s">
        <v>349</v>
      </c>
      <c r="N898" s="55">
        <v>44351</v>
      </c>
      <c r="O898" s="12" t="s">
        <v>672</v>
      </c>
      <c r="P898" s="62" t="s">
        <v>1766</v>
      </c>
      <c r="Q898" s="35"/>
      <c r="R898" s="35"/>
      <c r="S898" s="33"/>
      <c r="T898" s="33"/>
      <c r="U898" s="21"/>
    </row>
    <row r="899" spans="2:21" ht="28">
      <c r="B899" s="232"/>
      <c r="C899" s="232"/>
      <c r="D899" s="255"/>
      <c r="E899" s="255"/>
      <c r="F899" s="262"/>
      <c r="G899" s="262"/>
      <c r="H899" s="21"/>
      <c r="I899" s="21"/>
      <c r="J899" s="54"/>
      <c r="K899" s="88" t="s">
        <v>1396</v>
      </c>
      <c r="L899" s="62" t="s">
        <v>332</v>
      </c>
      <c r="M899" s="55" t="s">
        <v>349</v>
      </c>
      <c r="N899" s="55">
        <v>44371</v>
      </c>
      <c r="O899" s="12" t="s">
        <v>672</v>
      </c>
      <c r="P899" s="62" t="s">
        <v>1863</v>
      </c>
      <c r="Q899" s="35"/>
      <c r="R899" s="35"/>
      <c r="S899" s="33"/>
      <c r="T899" s="33"/>
      <c r="U899" s="21"/>
    </row>
    <row r="900" spans="2:21" ht="28">
      <c r="B900" s="232"/>
      <c r="C900" s="232"/>
      <c r="D900" s="255"/>
      <c r="E900" s="255"/>
      <c r="F900" s="262"/>
      <c r="G900" s="262"/>
      <c r="H900" s="21"/>
      <c r="I900" s="21"/>
      <c r="J900" s="54"/>
      <c r="K900" s="88" t="s">
        <v>1695</v>
      </c>
      <c r="L900" s="62" t="s">
        <v>332</v>
      </c>
      <c r="M900" s="55" t="s">
        <v>349</v>
      </c>
      <c r="N900" s="55">
        <v>44377</v>
      </c>
      <c r="O900" s="12" t="s">
        <v>672</v>
      </c>
      <c r="P900" s="62" t="s">
        <v>1928</v>
      </c>
      <c r="Q900" s="35"/>
      <c r="R900" s="35"/>
      <c r="S900" s="33"/>
      <c r="T900" s="33"/>
      <c r="U900" s="21"/>
    </row>
    <row r="901" spans="2:21" ht="28">
      <c r="B901" s="232"/>
      <c r="C901" s="232"/>
      <c r="D901" s="255"/>
      <c r="E901" s="255"/>
      <c r="F901" s="262"/>
      <c r="G901" s="262"/>
      <c r="H901" s="21"/>
      <c r="I901" s="21"/>
      <c r="J901" s="54"/>
      <c r="K901" s="88" t="s">
        <v>2097</v>
      </c>
      <c r="L901" s="62" t="s">
        <v>332</v>
      </c>
      <c r="M901" s="55" t="s">
        <v>349</v>
      </c>
      <c r="N901" s="55">
        <v>44053</v>
      </c>
      <c r="O901" s="12" t="s">
        <v>672</v>
      </c>
      <c r="P901" s="62" t="s">
        <v>2094</v>
      </c>
      <c r="Q901" s="35"/>
      <c r="R901" s="35"/>
      <c r="S901" s="33"/>
      <c r="T901" s="33"/>
      <c r="U901" s="21"/>
    </row>
    <row r="902" spans="2:21" ht="28">
      <c r="B902" s="232"/>
      <c r="C902" s="232"/>
      <c r="D902" s="255"/>
      <c r="E902" s="255"/>
      <c r="F902" s="262"/>
      <c r="G902" s="262"/>
      <c r="H902" s="21"/>
      <c r="I902" s="21"/>
      <c r="J902" s="54"/>
      <c r="K902" s="88" t="s">
        <v>1767</v>
      </c>
      <c r="L902" s="62" t="s">
        <v>332</v>
      </c>
      <c r="M902" s="55" t="s">
        <v>349</v>
      </c>
      <c r="N902" s="55">
        <v>44474</v>
      </c>
      <c r="O902" s="12" t="s">
        <v>672</v>
      </c>
      <c r="P902" s="62" t="s">
        <v>2332</v>
      </c>
      <c r="Q902" s="35"/>
      <c r="R902" s="35"/>
      <c r="S902" s="33"/>
      <c r="T902" s="33"/>
      <c r="U902" s="21"/>
    </row>
    <row r="903" spans="2:21" ht="28">
      <c r="B903" s="232"/>
      <c r="C903" s="232"/>
      <c r="D903" s="255"/>
      <c r="E903" s="255"/>
      <c r="F903" s="262"/>
      <c r="G903" s="262"/>
      <c r="H903" s="21"/>
      <c r="I903" s="21"/>
      <c r="J903" s="54"/>
      <c r="K903" s="88" t="s">
        <v>2260</v>
      </c>
      <c r="L903" s="62" t="s">
        <v>332</v>
      </c>
      <c r="M903" s="55" t="s">
        <v>349</v>
      </c>
      <c r="N903" s="55">
        <v>44656</v>
      </c>
      <c r="O903" s="12" t="s">
        <v>672</v>
      </c>
      <c r="P903" s="62" t="s">
        <v>2840</v>
      </c>
      <c r="Q903" s="35"/>
      <c r="R903" s="35"/>
      <c r="S903" s="33"/>
      <c r="T903" s="33"/>
      <c r="U903" s="21"/>
    </row>
    <row r="904" spans="2:21" ht="28">
      <c r="B904" s="232"/>
      <c r="C904" s="232"/>
      <c r="D904" s="255"/>
      <c r="E904" s="255"/>
      <c r="F904" s="262"/>
      <c r="G904" s="262"/>
      <c r="H904" s="21"/>
      <c r="I904" s="21"/>
      <c r="J904" s="54"/>
      <c r="K904" s="88" t="s">
        <v>2334</v>
      </c>
      <c r="L904" s="62" t="s">
        <v>332</v>
      </c>
      <c r="M904" s="55" t="s">
        <v>349</v>
      </c>
      <c r="N904" s="55">
        <v>44732</v>
      </c>
      <c r="O904" s="12" t="s">
        <v>672</v>
      </c>
      <c r="P904" s="62" t="s">
        <v>3020</v>
      </c>
      <c r="Q904" s="35"/>
      <c r="R904" s="35"/>
      <c r="S904" s="33"/>
      <c r="T904" s="33"/>
      <c r="U904" s="21"/>
    </row>
    <row r="905" spans="2:21" ht="14">
      <c r="B905" s="232"/>
      <c r="C905" s="232"/>
      <c r="D905" s="255"/>
      <c r="E905" s="255"/>
      <c r="F905" s="262"/>
      <c r="G905" s="262"/>
      <c r="H905" s="21"/>
      <c r="I905" s="21"/>
      <c r="J905" s="54"/>
      <c r="K905" s="88" t="s">
        <v>2370</v>
      </c>
      <c r="L905" s="62" t="s">
        <v>332</v>
      </c>
      <c r="M905" s="55" t="s">
        <v>349</v>
      </c>
      <c r="N905" s="55">
        <v>44733</v>
      </c>
      <c r="O905" s="12" t="s">
        <v>700</v>
      </c>
      <c r="P905" s="62" t="s">
        <v>3105</v>
      </c>
      <c r="Q905" s="35"/>
      <c r="R905" s="35"/>
      <c r="S905" s="33"/>
      <c r="T905" s="33"/>
      <c r="U905" s="21"/>
    </row>
    <row r="906" spans="2:21" ht="28">
      <c r="B906" s="232"/>
      <c r="C906" s="232"/>
      <c r="D906" s="255"/>
      <c r="E906" s="255"/>
      <c r="F906" s="262"/>
      <c r="G906" s="262"/>
      <c r="H906" s="21"/>
      <c r="I906" s="21"/>
      <c r="J906" s="54"/>
      <c r="K906" s="88" t="s">
        <v>2842</v>
      </c>
      <c r="L906" s="62" t="s">
        <v>332</v>
      </c>
      <c r="M906" s="55" t="s">
        <v>349</v>
      </c>
      <c r="N906" s="55">
        <v>44782</v>
      </c>
      <c r="O906" s="12" t="s">
        <v>672</v>
      </c>
      <c r="P906" s="62" t="s">
        <v>3185</v>
      </c>
      <c r="Q906" s="35"/>
      <c r="R906" s="35"/>
      <c r="S906" s="33"/>
      <c r="T906" s="33"/>
      <c r="U906" s="21"/>
    </row>
    <row r="907" spans="2:21" ht="28">
      <c r="B907" s="232"/>
      <c r="C907" s="232"/>
      <c r="D907" s="255"/>
      <c r="E907" s="255"/>
      <c r="F907" s="262"/>
      <c r="G907" s="262"/>
      <c r="H907" s="21"/>
      <c r="I907" s="21"/>
      <c r="J907" s="54"/>
      <c r="K907" s="88" t="s">
        <v>326</v>
      </c>
      <c r="L907" s="62" t="s">
        <v>332</v>
      </c>
      <c r="M907" s="55" t="s">
        <v>349</v>
      </c>
      <c r="N907" s="55">
        <v>44858</v>
      </c>
      <c r="O907" s="12" t="s">
        <v>672</v>
      </c>
      <c r="P907" s="62" t="s">
        <v>3309</v>
      </c>
      <c r="Q907" s="35"/>
      <c r="R907" s="35"/>
      <c r="S907" s="33"/>
      <c r="T907" s="33"/>
      <c r="U907" s="21"/>
    </row>
    <row r="908" spans="2:21" ht="14">
      <c r="B908" s="232"/>
      <c r="C908" s="232"/>
      <c r="D908" s="255"/>
      <c r="E908" s="255"/>
      <c r="F908" s="262"/>
      <c r="G908" s="262"/>
      <c r="H908" s="21"/>
      <c r="I908" s="21"/>
      <c r="J908" s="54"/>
      <c r="K908" s="88" t="s">
        <v>3187</v>
      </c>
      <c r="L908" s="62" t="s">
        <v>332</v>
      </c>
      <c r="M908" s="55" t="s">
        <v>349</v>
      </c>
      <c r="N908" s="55">
        <v>45058</v>
      </c>
      <c r="O908" s="12" t="s">
        <v>700</v>
      </c>
      <c r="P908" s="62" t="s">
        <v>3749</v>
      </c>
      <c r="Q908" s="35"/>
      <c r="R908" s="35"/>
      <c r="S908" s="33"/>
      <c r="T908" s="33"/>
      <c r="U908" s="21"/>
    </row>
    <row r="909" spans="2:21" ht="28">
      <c r="B909" s="232"/>
      <c r="C909" s="232"/>
      <c r="D909" s="255"/>
      <c r="E909" s="255"/>
      <c r="F909" s="262"/>
      <c r="G909" s="262"/>
      <c r="H909" s="21"/>
      <c r="I909" s="21"/>
      <c r="J909" s="54"/>
      <c r="K909" s="31" t="s">
        <v>4053</v>
      </c>
      <c r="L909" s="62" t="s">
        <v>332</v>
      </c>
      <c r="M909" s="55" t="s">
        <v>349</v>
      </c>
      <c r="N909" s="55">
        <v>45219</v>
      </c>
      <c r="O909" s="12" t="s">
        <v>672</v>
      </c>
      <c r="P909" s="62" t="s">
        <v>4051</v>
      </c>
      <c r="Q909" s="35"/>
      <c r="R909" s="35"/>
      <c r="S909" s="33"/>
      <c r="T909" s="33"/>
      <c r="U909" s="21"/>
    </row>
    <row r="910" spans="2:21">
      <c r="B910" s="232"/>
      <c r="C910" s="232"/>
      <c r="D910" s="255"/>
      <c r="E910" s="255"/>
      <c r="F910" s="262"/>
      <c r="G910" s="262"/>
      <c r="H910" s="21"/>
      <c r="I910" s="21"/>
      <c r="J910" s="33"/>
      <c r="K910" s="35"/>
      <c r="L910" s="35"/>
      <c r="M910" s="53"/>
      <c r="N910" s="35"/>
      <c r="O910" s="35"/>
      <c r="P910" s="35"/>
      <c r="Q910" s="35"/>
      <c r="R910" s="35"/>
      <c r="S910" s="33"/>
      <c r="T910" s="51"/>
      <c r="U910" s="21"/>
    </row>
    <row r="911" spans="2:21">
      <c r="B911" s="232"/>
      <c r="C911" s="232"/>
      <c r="D911" s="255"/>
      <c r="E911" s="255"/>
      <c r="F911" s="262"/>
      <c r="G911" s="262"/>
      <c r="H911" s="21" t="s">
        <v>177</v>
      </c>
      <c r="I911" s="21"/>
      <c r="J911" s="54" t="s">
        <v>380</v>
      </c>
      <c r="K911" s="62" t="s">
        <v>330</v>
      </c>
      <c r="L911" s="62" t="s">
        <v>333</v>
      </c>
      <c r="M911" s="55">
        <v>44104</v>
      </c>
      <c r="N911" s="55">
        <v>44165</v>
      </c>
      <c r="O911" s="62" t="s">
        <v>673</v>
      </c>
      <c r="P911" s="62" t="s">
        <v>679</v>
      </c>
      <c r="Q911" s="35"/>
      <c r="R911" s="35"/>
      <c r="S911" s="33"/>
      <c r="T911" s="51"/>
      <c r="U911" s="21"/>
    </row>
    <row r="912" spans="2:21">
      <c r="B912" s="232"/>
      <c r="C912" s="232"/>
      <c r="D912" s="255"/>
      <c r="E912" s="255"/>
      <c r="F912" s="262"/>
      <c r="G912" s="262"/>
      <c r="H912" s="21"/>
      <c r="I912" s="21"/>
      <c r="J912" s="33"/>
      <c r="K912" s="35"/>
      <c r="L912" s="35" t="s">
        <v>332</v>
      </c>
      <c r="M912" s="53">
        <v>44195</v>
      </c>
      <c r="N912" s="53">
        <v>44194</v>
      </c>
      <c r="O912" s="62" t="s">
        <v>673</v>
      </c>
      <c r="P912" s="62" t="s">
        <v>853</v>
      </c>
      <c r="Q912" s="35"/>
      <c r="R912" s="35"/>
      <c r="S912" s="33"/>
      <c r="T912" s="33"/>
      <c r="U912" s="21"/>
    </row>
    <row r="913" spans="2:21">
      <c r="B913" s="232"/>
      <c r="C913" s="232"/>
      <c r="D913" s="255"/>
      <c r="E913" s="255"/>
      <c r="F913" s="262"/>
      <c r="G913" s="262"/>
      <c r="H913" s="21"/>
      <c r="I913" s="21"/>
      <c r="J913" s="33"/>
      <c r="K913" s="35" t="s">
        <v>1216</v>
      </c>
      <c r="L913" s="35" t="s">
        <v>332</v>
      </c>
      <c r="M913" s="53" t="s">
        <v>349</v>
      </c>
      <c r="N913" s="53">
        <v>44263</v>
      </c>
      <c r="O913" s="62" t="s">
        <v>673</v>
      </c>
      <c r="P913" s="62" t="s">
        <v>1217</v>
      </c>
      <c r="Q913" s="35"/>
      <c r="R913" s="35"/>
      <c r="S913" s="33"/>
      <c r="T913" s="33"/>
      <c r="U913" s="21"/>
    </row>
    <row r="914" spans="2:21">
      <c r="B914" s="232"/>
      <c r="C914" s="232"/>
      <c r="D914" s="255"/>
      <c r="E914" s="255"/>
      <c r="F914" s="262"/>
      <c r="G914" s="262"/>
      <c r="H914" s="21"/>
      <c r="I914" s="21"/>
      <c r="J914" s="33"/>
      <c r="K914" s="35" t="s">
        <v>1767</v>
      </c>
      <c r="L914" s="35" t="s">
        <v>332</v>
      </c>
      <c r="M914" s="53" t="s">
        <v>349</v>
      </c>
      <c r="N914" s="53">
        <v>44351</v>
      </c>
      <c r="O914" s="62" t="s">
        <v>673</v>
      </c>
      <c r="P914" s="62" t="s">
        <v>1766</v>
      </c>
      <c r="Q914" s="35"/>
      <c r="R914" s="35"/>
      <c r="S914" s="33"/>
      <c r="T914" s="33"/>
      <c r="U914" s="21"/>
    </row>
    <row r="915" spans="2:21">
      <c r="B915" s="232"/>
      <c r="C915" s="232"/>
      <c r="D915" s="255"/>
      <c r="E915" s="255"/>
      <c r="F915" s="262"/>
      <c r="G915" s="262"/>
      <c r="H915" s="21"/>
      <c r="I915" s="21"/>
      <c r="J915" s="33"/>
      <c r="K915" s="35" t="s">
        <v>1869</v>
      </c>
      <c r="L915" s="35" t="s">
        <v>332</v>
      </c>
      <c r="M915" s="53" t="s">
        <v>349</v>
      </c>
      <c r="N915" s="55">
        <v>44371</v>
      </c>
      <c r="O915" s="62" t="s">
        <v>673</v>
      </c>
      <c r="P915" s="62" t="s">
        <v>1863</v>
      </c>
      <c r="Q915" s="35"/>
      <c r="R915" s="35"/>
      <c r="S915" s="33"/>
      <c r="T915" s="33"/>
      <c r="U915" s="21"/>
    </row>
    <row r="916" spans="2:21">
      <c r="B916" s="232"/>
      <c r="C916" s="232"/>
      <c r="D916" s="255"/>
      <c r="E916" s="255"/>
      <c r="F916" s="262"/>
      <c r="G916" s="262"/>
      <c r="H916" s="21"/>
      <c r="I916" s="21"/>
      <c r="J916" s="33"/>
      <c r="K916" s="35" t="s">
        <v>2260</v>
      </c>
      <c r="L916" s="35" t="s">
        <v>332</v>
      </c>
      <c r="M916" s="53" t="s">
        <v>349</v>
      </c>
      <c r="N916" s="55">
        <v>44418</v>
      </c>
      <c r="O916" s="62" t="s">
        <v>673</v>
      </c>
      <c r="P916" s="62" t="s">
        <v>2094</v>
      </c>
      <c r="Q916" s="35"/>
      <c r="R916" s="35"/>
      <c r="S916" s="33"/>
      <c r="T916" s="33"/>
      <c r="U916" s="21"/>
    </row>
    <row r="917" spans="2:21">
      <c r="B917" s="232"/>
      <c r="C917" s="232"/>
      <c r="D917" s="255"/>
      <c r="E917" s="255"/>
      <c r="F917" s="262"/>
      <c r="G917" s="262"/>
      <c r="H917" s="21"/>
      <c r="I917" s="21"/>
      <c r="J917" s="33"/>
      <c r="K917" s="35" t="s">
        <v>2261</v>
      </c>
      <c r="L917" s="35" t="s">
        <v>332</v>
      </c>
      <c r="M917" s="53" t="s">
        <v>349</v>
      </c>
      <c r="N917" s="55">
        <v>44452</v>
      </c>
      <c r="O917" s="62" t="s">
        <v>673</v>
      </c>
      <c r="P917" s="62" t="s">
        <v>2255</v>
      </c>
      <c r="Q917" s="35"/>
      <c r="R917" s="35"/>
      <c r="S917" s="33"/>
      <c r="T917" s="33"/>
      <c r="U917" s="21"/>
    </row>
    <row r="918" spans="2:21">
      <c r="B918" s="232"/>
      <c r="C918" s="232"/>
      <c r="D918" s="255"/>
      <c r="E918" s="255"/>
      <c r="F918" s="262"/>
      <c r="G918" s="262"/>
      <c r="H918" s="21"/>
      <c r="I918" s="21"/>
      <c r="J918" s="33"/>
      <c r="K918" s="35" t="s">
        <v>2334</v>
      </c>
      <c r="L918" s="35" t="s">
        <v>332</v>
      </c>
      <c r="M918" s="53" t="s">
        <v>349</v>
      </c>
      <c r="N918" s="55">
        <v>44474</v>
      </c>
      <c r="O918" s="62" t="s">
        <v>673</v>
      </c>
      <c r="P918" s="62" t="s">
        <v>2332</v>
      </c>
      <c r="Q918" s="35"/>
      <c r="R918" s="35"/>
      <c r="S918" s="33"/>
      <c r="T918" s="33"/>
      <c r="U918" s="21"/>
    </row>
    <row r="919" spans="2:21">
      <c r="B919" s="232"/>
      <c r="C919" s="232"/>
      <c r="D919" s="255"/>
      <c r="E919" s="255"/>
      <c r="F919" s="262"/>
      <c r="G919" s="262"/>
      <c r="H919" s="21"/>
      <c r="I919" s="21"/>
      <c r="J919" s="33"/>
      <c r="K919" s="35" t="s">
        <v>2370</v>
      </c>
      <c r="L919" s="35" t="s">
        <v>332</v>
      </c>
      <c r="M919" s="53" t="s">
        <v>349</v>
      </c>
      <c r="N919" s="55">
        <v>44484</v>
      </c>
      <c r="O919" s="62" t="s">
        <v>673</v>
      </c>
      <c r="P919" s="62" t="s">
        <v>2371</v>
      </c>
      <c r="Q919" s="35"/>
      <c r="R919" s="35"/>
      <c r="S919" s="33"/>
      <c r="T919" s="33"/>
      <c r="U919" s="21"/>
    </row>
    <row r="920" spans="2:21">
      <c r="B920" s="232"/>
      <c r="C920" s="232"/>
      <c r="D920" s="255"/>
      <c r="E920" s="255"/>
      <c r="F920" s="262"/>
      <c r="G920" s="262"/>
      <c r="H920" s="21"/>
      <c r="I920" s="21"/>
      <c r="J920" s="33"/>
      <c r="K920" s="35" t="s">
        <v>2842</v>
      </c>
      <c r="L920" s="35" t="s">
        <v>332</v>
      </c>
      <c r="M920" s="53" t="s">
        <v>349</v>
      </c>
      <c r="N920" s="55">
        <v>44656</v>
      </c>
      <c r="O920" s="62" t="s">
        <v>673</v>
      </c>
      <c r="P920" s="62" t="s">
        <v>2840</v>
      </c>
      <c r="Q920" s="35"/>
      <c r="R920" s="35"/>
      <c r="S920" s="33"/>
      <c r="T920" s="33"/>
      <c r="U920" s="21"/>
    </row>
    <row r="921" spans="2:21">
      <c r="B921" s="232"/>
      <c r="C921" s="232"/>
      <c r="D921" s="255"/>
      <c r="E921" s="255"/>
      <c r="F921" s="262"/>
      <c r="G921" s="262"/>
      <c r="H921" s="21"/>
      <c r="I921" s="21"/>
      <c r="J921" s="33"/>
      <c r="K921" s="35" t="s">
        <v>3022</v>
      </c>
      <c r="L921" s="35" t="s">
        <v>332</v>
      </c>
      <c r="M921" s="53" t="s">
        <v>349</v>
      </c>
      <c r="N921" s="55">
        <v>44732</v>
      </c>
      <c r="O921" s="62" t="s">
        <v>673</v>
      </c>
      <c r="P921" s="62" t="s">
        <v>3020</v>
      </c>
      <c r="Q921" s="35"/>
      <c r="R921" s="35"/>
      <c r="S921" s="33"/>
      <c r="T921" s="33"/>
      <c r="U921" s="21"/>
    </row>
    <row r="922" spans="2:21">
      <c r="B922" s="232"/>
      <c r="C922" s="232"/>
      <c r="D922" s="255"/>
      <c r="E922" s="255"/>
      <c r="F922" s="262"/>
      <c r="G922" s="262"/>
      <c r="H922" s="21"/>
      <c r="I922" s="21"/>
      <c r="J922" s="33"/>
      <c r="K922" s="35" t="s">
        <v>326</v>
      </c>
      <c r="L922" s="35" t="s">
        <v>332</v>
      </c>
      <c r="M922" s="53" t="s">
        <v>349</v>
      </c>
      <c r="N922" s="55">
        <v>44782</v>
      </c>
      <c r="O922" s="62" t="s">
        <v>673</v>
      </c>
      <c r="P922" s="62" t="s">
        <v>3185</v>
      </c>
      <c r="Q922" s="35"/>
      <c r="R922" s="35"/>
      <c r="S922" s="33"/>
      <c r="T922" s="33"/>
      <c r="U922" s="21"/>
    </row>
    <row r="923" spans="2:21">
      <c r="B923" s="232"/>
      <c r="C923" s="232"/>
      <c r="D923" s="255"/>
      <c r="E923" s="255"/>
      <c r="F923" s="262"/>
      <c r="G923" s="262"/>
      <c r="H923" s="21"/>
      <c r="I923" s="21"/>
      <c r="J923" s="33"/>
      <c r="K923" s="35" t="s">
        <v>3187</v>
      </c>
      <c r="L923" s="35" t="s">
        <v>332</v>
      </c>
      <c r="M923" s="53" t="s">
        <v>349</v>
      </c>
      <c r="N923" s="55">
        <v>45058</v>
      </c>
      <c r="O923" s="62" t="s">
        <v>673</v>
      </c>
      <c r="P923" s="62" t="s">
        <v>3749</v>
      </c>
      <c r="Q923" s="35"/>
      <c r="R923" s="35"/>
      <c r="S923" s="33"/>
      <c r="T923" s="33"/>
      <c r="U923" s="21"/>
    </row>
    <row r="924" spans="2:21">
      <c r="B924" s="232"/>
      <c r="C924" s="232"/>
      <c r="D924" s="255"/>
      <c r="E924" s="255"/>
      <c r="F924" s="262"/>
      <c r="G924" s="262"/>
      <c r="H924" s="21"/>
      <c r="I924" s="21"/>
      <c r="J924" s="33"/>
      <c r="K924" s="35" t="s">
        <v>4054</v>
      </c>
      <c r="L924" s="35" t="s">
        <v>332</v>
      </c>
      <c r="M924" s="53" t="s">
        <v>349</v>
      </c>
      <c r="N924" s="55">
        <v>45219</v>
      </c>
      <c r="O924" s="62" t="s">
        <v>673</v>
      </c>
      <c r="P924" s="62" t="s">
        <v>4051</v>
      </c>
      <c r="Q924" s="35"/>
      <c r="R924" s="35"/>
      <c r="S924" s="33"/>
      <c r="T924" s="33"/>
      <c r="U924" s="21"/>
    </row>
    <row r="925" spans="2:21">
      <c r="B925" s="232"/>
      <c r="C925" s="232"/>
      <c r="D925" s="255"/>
      <c r="E925" s="255"/>
      <c r="F925" s="262"/>
      <c r="G925" s="262"/>
      <c r="H925" s="21"/>
      <c r="I925" s="21"/>
      <c r="J925" s="33"/>
      <c r="K925" s="35" t="s">
        <v>4249</v>
      </c>
      <c r="L925" s="35" t="s">
        <v>332</v>
      </c>
      <c r="M925" s="53" t="s">
        <v>349</v>
      </c>
      <c r="N925" s="55">
        <v>45331</v>
      </c>
      <c r="O925" s="62" t="s">
        <v>673</v>
      </c>
      <c r="P925" s="62" t="s">
        <v>4248</v>
      </c>
      <c r="Q925" s="35"/>
      <c r="R925" s="35"/>
      <c r="S925" s="33"/>
      <c r="T925" s="33"/>
      <c r="U925" s="21"/>
    </row>
    <row r="926" spans="2:21">
      <c r="B926" s="232"/>
      <c r="C926" s="232"/>
      <c r="D926" s="255"/>
      <c r="E926" s="255"/>
      <c r="F926" s="262"/>
      <c r="G926" s="262"/>
      <c r="H926" s="21"/>
      <c r="I926" s="21"/>
      <c r="J926" s="33"/>
      <c r="K926" s="35"/>
      <c r="L926" s="35"/>
      <c r="M926" s="53"/>
      <c r="N926" s="35"/>
      <c r="O926" s="35"/>
      <c r="P926" s="35"/>
      <c r="Q926" s="35"/>
      <c r="R926" s="35"/>
      <c r="S926" s="33"/>
      <c r="T926" s="51"/>
      <c r="U926" s="21"/>
    </row>
    <row r="927" spans="2:21">
      <c r="B927" s="232"/>
      <c r="C927" s="232"/>
      <c r="D927" s="255"/>
      <c r="E927" s="255"/>
      <c r="F927" s="262"/>
      <c r="G927" s="262"/>
      <c r="H927" s="61" t="s">
        <v>181</v>
      </c>
      <c r="I927" s="61"/>
      <c r="J927" s="54" t="s">
        <v>382</v>
      </c>
      <c r="K927" s="62" t="s">
        <v>330</v>
      </c>
      <c r="L927" s="62" t="s">
        <v>333</v>
      </c>
      <c r="M927" s="55">
        <v>44104</v>
      </c>
      <c r="N927" s="55">
        <v>44165</v>
      </c>
      <c r="O927" s="62" t="s">
        <v>674</v>
      </c>
      <c r="P927" s="62" t="s">
        <v>679</v>
      </c>
      <c r="Q927" s="35"/>
      <c r="R927" s="35"/>
      <c r="S927" s="33"/>
      <c r="T927" s="51"/>
      <c r="U927" s="21"/>
    </row>
    <row r="928" spans="2:21">
      <c r="B928" s="232"/>
      <c r="C928" s="232"/>
      <c r="D928" s="255"/>
      <c r="E928" s="255"/>
      <c r="F928" s="262"/>
      <c r="G928" s="262"/>
      <c r="H928" s="21"/>
      <c r="I928" s="21"/>
      <c r="J928" s="33"/>
      <c r="K928" s="35"/>
      <c r="L928" s="35" t="s">
        <v>332</v>
      </c>
      <c r="M928" s="53">
        <v>44195</v>
      </c>
      <c r="N928" s="53">
        <v>44194</v>
      </c>
      <c r="O928" s="62" t="s">
        <v>674</v>
      </c>
      <c r="P928" s="62" t="s">
        <v>853</v>
      </c>
      <c r="Q928" s="35"/>
      <c r="R928" s="35"/>
      <c r="S928" s="33"/>
      <c r="T928" s="33"/>
      <c r="U928" s="21"/>
    </row>
    <row r="929" spans="2:21">
      <c r="B929" s="232"/>
      <c r="C929" s="232"/>
      <c r="D929" s="255"/>
      <c r="E929" s="255"/>
      <c r="F929" s="262"/>
      <c r="G929" s="262"/>
      <c r="H929" s="21"/>
      <c r="I929" s="21"/>
      <c r="J929" s="33"/>
      <c r="K929" s="35" t="s">
        <v>1216</v>
      </c>
      <c r="L929" s="35" t="s">
        <v>332</v>
      </c>
      <c r="M929" s="53" t="s">
        <v>349</v>
      </c>
      <c r="N929" s="53">
        <v>44263</v>
      </c>
      <c r="O929" s="62" t="s">
        <v>674</v>
      </c>
      <c r="P929" s="62" t="s">
        <v>1217</v>
      </c>
      <c r="Q929" s="35"/>
      <c r="R929" s="35"/>
      <c r="S929" s="33"/>
      <c r="T929" s="33"/>
      <c r="U929" s="21"/>
    </row>
    <row r="930" spans="2:21">
      <c r="B930" s="232"/>
      <c r="C930" s="232"/>
      <c r="D930" s="255"/>
      <c r="E930" s="255"/>
      <c r="F930" s="262"/>
      <c r="G930" s="262"/>
      <c r="H930" s="21"/>
      <c r="I930" s="21"/>
      <c r="J930" s="33"/>
      <c r="K930" s="35" t="s">
        <v>1230</v>
      </c>
      <c r="L930" s="35" t="s">
        <v>332</v>
      </c>
      <c r="M930" s="53" t="s">
        <v>349</v>
      </c>
      <c r="N930" s="53">
        <v>44334</v>
      </c>
      <c r="O930" s="62" t="s">
        <v>674</v>
      </c>
      <c r="P930" s="62" t="s">
        <v>1707</v>
      </c>
      <c r="Q930" s="35"/>
      <c r="R930" s="35"/>
      <c r="S930" s="33"/>
      <c r="T930" s="33"/>
      <c r="U930" s="21"/>
    </row>
    <row r="931" spans="2:21">
      <c r="B931" s="232"/>
      <c r="C931" s="232"/>
      <c r="D931" s="255"/>
      <c r="E931" s="255"/>
      <c r="F931" s="262"/>
      <c r="G931" s="262"/>
      <c r="H931" s="21"/>
      <c r="I931" s="21"/>
      <c r="J931" s="33"/>
      <c r="K931" s="35" t="s">
        <v>1231</v>
      </c>
      <c r="L931" s="35" t="s">
        <v>332</v>
      </c>
      <c r="M931" s="53" t="s">
        <v>349</v>
      </c>
      <c r="N931" s="53">
        <v>44351</v>
      </c>
      <c r="O931" s="62" t="s">
        <v>674</v>
      </c>
      <c r="P931" s="62" t="s">
        <v>1766</v>
      </c>
      <c r="Q931" s="35"/>
      <c r="R931" s="35"/>
      <c r="S931" s="33"/>
      <c r="T931" s="33"/>
      <c r="U931" s="21"/>
    </row>
    <row r="932" spans="2:21">
      <c r="B932" s="232"/>
      <c r="C932" s="232"/>
      <c r="D932" s="255"/>
      <c r="E932" s="255"/>
      <c r="F932" s="262"/>
      <c r="G932" s="262"/>
      <c r="H932" s="21"/>
      <c r="I932" s="21"/>
      <c r="J932" s="33"/>
      <c r="K932" s="35" t="s">
        <v>1232</v>
      </c>
      <c r="L932" s="35" t="s">
        <v>332</v>
      </c>
      <c r="M932" s="53" t="s">
        <v>349</v>
      </c>
      <c r="N932" s="55">
        <v>44371</v>
      </c>
      <c r="O932" s="62" t="s">
        <v>674</v>
      </c>
      <c r="P932" s="62" t="s">
        <v>1863</v>
      </c>
      <c r="Q932" s="35"/>
      <c r="R932" s="35"/>
      <c r="S932" s="33"/>
      <c r="T932" s="33"/>
      <c r="U932" s="21"/>
    </row>
    <row r="933" spans="2:21">
      <c r="B933" s="232"/>
      <c r="C933" s="232"/>
      <c r="D933" s="255"/>
      <c r="E933" s="255"/>
      <c r="F933" s="262"/>
      <c r="G933" s="262"/>
      <c r="H933" s="21"/>
      <c r="I933" s="21"/>
      <c r="J933" s="33"/>
      <c r="K933" s="35" t="s">
        <v>1870</v>
      </c>
      <c r="L933" s="35" t="s">
        <v>332</v>
      </c>
      <c r="M933" s="53" t="s">
        <v>349</v>
      </c>
      <c r="N933" s="55">
        <v>44418</v>
      </c>
      <c r="O933" s="62" t="s">
        <v>674</v>
      </c>
      <c r="P933" s="62" t="s">
        <v>2094</v>
      </c>
      <c r="Q933" s="35"/>
      <c r="R933" s="35"/>
      <c r="S933" s="33"/>
      <c r="T933" s="33"/>
      <c r="U933" s="21"/>
    </row>
    <row r="934" spans="2:21">
      <c r="B934" s="232"/>
      <c r="C934" s="232"/>
      <c r="D934" s="255"/>
      <c r="E934" s="255"/>
      <c r="F934" s="262"/>
      <c r="G934" s="262"/>
      <c r="H934" s="21"/>
      <c r="I934" s="21"/>
      <c r="J934" s="33"/>
      <c r="K934" s="35" t="s">
        <v>2335</v>
      </c>
      <c r="L934" s="35" t="s">
        <v>332</v>
      </c>
      <c r="M934" s="53" t="s">
        <v>349</v>
      </c>
      <c r="N934" s="55">
        <v>44474</v>
      </c>
      <c r="O934" s="62" t="s">
        <v>674</v>
      </c>
      <c r="P934" s="62" t="s">
        <v>2332</v>
      </c>
      <c r="Q934" s="35"/>
      <c r="R934" s="35"/>
      <c r="S934" s="33"/>
      <c r="T934" s="33"/>
      <c r="U934" s="21"/>
    </row>
    <row r="935" spans="2:21">
      <c r="B935" s="232"/>
      <c r="C935" s="232"/>
      <c r="D935" s="255"/>
      <c r="E935" s="255"/>
      <c r="F935" s="262"/>
      <c r="G935" s="262"/>
      <c r="H935" s="21"/>
      <c r="I935" s="21"/>
      <c r="J935" s="33"/>
      <c r="K935" s="35" t="s">
        <v>2336</v>
      </c>
      <c r="L935" s="35" t="s">
        <v>332</v>
      </c>
      <c r="M935" s="53" t="s">
        <v>349</v>
      </c>
      <c r="N935" s="55">
        <v>44656</v>
      </c>
      <c r="O935" s="62" t="s">
        <v>674</v>
      </c>
      <c r="P935" s="62" t="s">
        <v>2840</v>
      </c>
      <c r="Q935" s="35"/>
      <c r="R935" s="35"/>
      <c r="S935" s="33"/>
      <c r="T935" s="33"/>
      <c r="U935" s="21"/>
    </row>
    <row r="936" spans="2:21">
      <c r="B936" s="232"/>
      <c r="C936" s="232"/>
      <c r="D936" s="255"/>
      <c r="E936" s="255"/>
      <c r="F936" s="262"/>
      <c r="G936" s="262"/>
      <c r="H936" s="21"/>
      <c r="I936" s="21"/>
      <c r="J936" s="33"/>
      <c r="K936" s="35" t="s">
        <v>2334</v>
      </c>
      <c r="L936" s="35" t="s">
        <v>332</v>
      </c>
      <c r="M936" s="53" t="s">
        <v>349</v>
      </c>
      <c r="N936" s="55">
        <v>44732</v>
      </c>
      <c r="O936" s="62" t="s">
        <v>674</v>
      </c>
      <c r="P936" s="62" t="s">
        <v>3020</v>
      </c>
      <c r="Q936" s="35"/>
      <c r="R936" s="35"/>
      <c r="S936" s="33"/>
      <c r="T936" s="33"/>
      <c r="U936" s="21"/>
    </row>
    <row r="937" spans="2:21">
      <c r="B937" s="232"/>
      <c r="C937" s="232"/>
      <c r="D937" s="255"/>
      <c r="E937" s="255"/>
      <c r="F937" s="262"/>
      <c r="G937" s="262"/>
      <c r="H937" s="21"/>
      <c r="I937" s="21"/>
      <c r="J937" s="33"/>
      <c r="K937" s="35" t="s">
        <v>2842</v>
      </c>
      <c r="L937" s="35" t="s">
        <v>332</v>
      </c>
      <c r="M937" s="53" t="s">
        <v>349</v>
      </c>
      <c r="N937" s="55">
        <v>44782</v>
      </c>
      <c r="O937" s="62" t="s">
        <v>674</v>
      </c>
      <c r="P937" s="62" t="s">
        <v>3185</v>
      </c>
      <c r="Q937" s="35"/>
      <c r="R937" s="35"/>
      <c r="S937" s="33"/>
      <c r="T937" s="33"/>
      <c r="U937" s="21"/>
    </row>
    <row r="938" spans="2:21">
      <c r="B938" s="232"/>
      <c r="C938" s="232"/>
      <c r="D938" s="255"/>
      <c r="E938" s="255"/>
      <c r="F938" s="262"/>
      <c r="G938" s="262"/>
      <c r="H938" s="21"/>
      <c r="I938" s="21"/>
      <c r="J938" s="33"/>
      <c r="K938" s="35" t="s">
        <v>3022</v>
      </c>
      <c r="L938" s="35" t="s">
        <v>332</v>
      </c>
      <c r="M938" s="53" t="s">
        <v>349</v>
      </c>
      <c r="N938" s="55">
        <v>44858</v>
      </c>
      <c r="O938" s="62" t="s">
        <v>674</v>
      </c>
      <c r="P938" s="62" t="s">
        <v>3309</v>
      </c>
      <c r="Q938" s="35"/>
      <c r="R938" s="35"/>
      <c r="S938" s="33"/>
      <c r="T938" s="33"/>
      <c r="U938" s="21"/>
    </row>
    <row r="939" spans="2:21">
      <c r="B939" s="232"/>
      <c r="C939" s="232"/>
      <c r="D939" s="255"/>
      <c r="E939" s="255"/>
      <c r="F939" s="262"/>
      <c r="G939" s="262"/>
      <c r="H939" s="21"/>
      <c r="I939" s="21"/>
      <c r="J939" s="33"/>
      <c r="K939" s="35" t="s">
        <v>326</v>
      </c>
      <c r="L939" s="35" t="s">
        <v>332</v>
      </c>
      <c r="M939" s="53" t="s">
        <v>349</v>
      </c>
      <c r="N939" s="55">
        <v>45058</v>
      </c>
      <c r="O939" s="62" t="s">
        <v>674</v>
      </c>
      <c r="P939" s="62" t="s">
        <v>3749</v>
      </c>
      <c r="Q939" s="35"/>
      <c r="R939" s="35"/>
      <c r="S939" s="33"/>
      <c r="T939" s="33"/>
      <c r="U939" s="21"/>
    </row>
    <row r="940" spans="2:21">
      <c r="B940" s="232"/>
      <c r="C940" s="232"/>
      <c r="D940" s="255"/>
      <c r="E940" s="255"/>
      <c r="F940" s="262"/>
      <c r="G940" s="262"/>
      <c r="H940" s="21"/>
      <c r="I940" s="21"/>
      <c r="J940" s="33"/>
      <c r="K940" s="35" t="s">
        <v>3310</v>
      </c>
      <c r="L940" s="35" t="s">
        <v>332</v>
      </c>
      <c r="M940" s="53" t="s">
        <v>349</v>
      </c>
      <c r="N940" s="55">
        <v>45219</v>
      </c>
      <c r="O940" s="62" t="s">
        <v>674</v>
      </c>
      <c r="P940" s="62" t="s">
        <v>4051</v>
      </c>
      <c r="Q940" s="35"/>
      <c r="R940" s="35"/>
      <c r="S940" s="33"/>
      <c r="T940" s="33"/>
      <c r="U940" s="21"/>
    </row>
    <row r="941" spans="2:21">
      <c r="B941" s="232"/>
      <c r="C941" s="232"/>
      <c r="D941" s="255"/>
      <c r="E941" s="255"/>
      <c r="F941" s="262"/>
      <c r="G941" s="262"/>
      <c r="H941" s="21"/>
      <c r="I941" s="21"/>
      <c r="J941" s="33"/>
      <c r="K941" s="35"/>
      <c r="L941" s="35"/>
      <c r="M941" s="53"/>
      <c r="N941" s="164"/>
      <c r="O941" s="35"/>
      <c r="P941" s="35"/>
      <c r="Q941" s="35"/>
      <c r="R941" s="35"/>
      <c r="S941" s="33"/>
      <c r="T941" s="33"/>
      <c r="U941" s="21"/>
    </row>
    <row r="942" spans="2:21">
      <c r="B942" s="232"/>
      <c r="C942" s="232"/>
      <c r="D942" s="255"/>
      <c r="E942" s="255"/>
      <c r="F942" s="262"/>
      <c r="G942" s="262"/>
      <c r="H942" s="21" t="s">
        <v>183</v>
      </c>
      <c r="I942" s="21"/>
      <c r="J942" s="33" t="s">
        <v>383</v>
      </c>
      <c r="K942" s="35"/>
      <c r="L942" s="35" t="s">
        <v>332</v>
      </c>
      <c r="M942" s="53">
        <v>44071</v>
      </c>
      <c r="N942" s="164">
        <v>44074</v>
      </c>
      <c r="O942" s="35" t="s">
        <v>389</v>
      </c>
      <c r="P942" s="35" t="s">
        <v>381</v>
      </c>
      <c r="Q942" s="35"/>
      <c r="R942" s="35"/>
      <c r="S942" s="33"/>
      <c r="T942" s="51"/>
      <c r="U942" s="21"/>
    </row>
    <row r="943" spans="2:21">
      <c r="B943" s="232"/>
      <c r="C943" s="232"/>
      <c r="D943" s="255"/>
      <c r="E943" s="255"/>
      <c r="F943" s="262"/>
      <c r="G943" s="262"/>
      <c r="H943" s="21"/>
      <c r="I943" s="21"/>
      <c r="J943" s="54"/>
      <c r="K943" s="62" t="s">
        <v>330</v>
      </c>
      <c r="L943" s="62" t="s">
        <v>333</v>
      </c>
      <c r="M943" s="55" t="s">
        <v>349</v>
      </c>
      <c r="N943" s="55">
        <v>44165</v>
      </c>
      <c r="O943" s="62" t="s">
        <v>676</v>
      </c>
      <c r="P943" s="62" t="s">
        <v>679</v>
      </c>
      <c r="Q943" s="35"/>
      <c r="R943" s="35"/>
      <c r="S943" s="33"/>
      <c r="T943" s="33"/>
      <c r="U943" s="21"/>
    </row>
    <row r="944" spans="2:21">
      <c r="B944" s="232"/>
      <c r="C944" s="232"/>
      <c r="D944" s="255"/>
      <c r="E944" s="255"/>
      <c r="F944" s="262"/>
      <c r="G944" s="262"/>
      <c r="H944" s="21"/>
      <c r="I944" s="21"/>
      <c r="J944" s="33"/>
      <c r="K944" s="35"/>
      <c r="L944" s="35" t="s">
        <v>332</v>
      </c>
      <c r="M944" s="53">
        <v>44195</v>
      </c>
      <c r="N944" s="53">
        <v>44187</v>
      </c>
      <c r="O944" s="35" t="s">
        <v>676</v>
      </c>
      <c r="P944" s="35" t="s">
        <v>847</v>
      </c>
      <c r="Q944" s="35"/>
      <c r="R944" s="35"/>
      <c r="S944" s="33"/>
      <c r="T944" s="33"/>
      <c r="U944" s="21"/>
    </row>
    <row r="945" spans="2:21">
      <c r="B945" s="232"/>
      <c r="C945" s="232"/>
      <c r="D945" s="255"/>
      <c r="E945" s="255"/>
      <c r="F945" s="262"/>
      <c r="G945" s="262"/>
      <c r="H945" s="21"/>
      <c r="I945" s="21"/>
      <c r="J945" s="33"/>
      <c r="K945" s="35" t="s">
        <v>1216</v>
      </c>
      <c r="L945" s="35" t="s">
        <v>332</v>
      </c>
      <c r="M945" s="55" t="s">
        <v>349</v>
      </c>
      <c r="N945" s="53">
        <v>44263</v>
      </c>
      <c r="O945" s="35" t="s">
        <v>676</v>
      </c>
      <c r="P945" s="62" t="s">
        <v>1217</v>
      </c>
      <c r="Q945" s="35"/>
      <c r="R945" s="35"/>
      <c r="S945" s="33"/>
      <c r="T945" s="33"/>
      <c r="U945" s="21"/>
    </row>
    <row r="946" spans="2:21">
      <c r="B946" s="232"/>
      <c r="C946" s="232"/>
      <c r="D946" s="255"/>
      <c r="E946" s="255"/>
      <c r="F946" s="262"/>
      <c r="G946" s="262"/>
      <c r="H946" s="21"/>
      <c r="I946" s="21"/>
      <c r="J946" s="33"/>
      <c r="K946" s="35" t="s">
        <v>1230</v>
      </c>
      <c r="L946" s="35" t="s">
        <v>332</v>
      </c>
      <c r="M946" s="55" t="s">
        <v>349</v>
      </c>
      <c r="N946" s="53">
        <v>44333</v>
      </c>
      <c r="O946" s="35" t="s">
        <v>676</v>
      </c>
      <c r="P946" s="62" t="s">
        <v>1692</v>
      </c>
      <c r="Q946" s="35"/>
      <c r="R946" s="35"/>
      <c r="S946" s="33"/>
      <c r="T946" s="33"/>
      <c r="U946" s="21"/>
    </row>
    <row r="947" spans="2:21">
      <c r="B947" s="232"/>
      <c r="C947" s="232"/>
      <c r="D947" s="255"/>
      <c r="E947" s="255"/>
      <c r="F947" s="262"/>
      <c r="G947" s="262"/>
      <c r="H947" s="21"/>
      <c r="I947" s="21"/>
      <c r="J947" s="33"/>
      <c r="K947" s="35" t="s">
        <v>1231</v>
      </c>
      <c r="L947" s="35" t="s">
        <v>332</v>
      </c>
      <c r="M947" s="55" t="s">
        <v>349</v>
      </c>
      <c r="N947" s="53">
        <v>44351</v>
      </c>
      <c r="O947" s="35" t="s">
        <v>676</v>
      </c>
      <c r="P947" s="62" t="s">
        <v>1766</v>
      </c>
      <c r="Q947" s="35"/>
      <c r="R947" s="35"/>
      <c r="S947" s="33"/>
      <c r="T947" s="33"/>
      <c r="U947" s="21"/>
    </row>
    <row r="948" spans="2:21">
      <c r="B948" s="232"/>
      <c r="C948" s="232"/>
      <c r="D948" s="255"/>
      <c r="E948" s="255"/>
      <c r="F948" s="262"/>
      <c r="G948" s="262"/>
      <c r="H948" s="21"/>
      <c r="I948" s="21"/>
      <c r="J948" s="33"/>
      <c r="K948" s="35" t="s">
        <v>1232</v>
      </c>
      <c r="L948" s="35" t="s">
        <v>332</v>
      </c>
      <c r="M948" s="55" t="s">
        <v>349</v>
      </c>
      <c r="N948" s="55">
        <v>44371</v>
      </c>
      <c r="O948" s="35" t="s">
        <v>676</v>
      </c>
      <c r="P948" s="62" t="s">
        <v>1863</v>
      </c>
      <c r="Q948" s="35"/>
      <c r="R948" s="35"/>
      <c r="S948" s="33"/>
      <c r="T948" s="33"/>
      <c r="U948" s="21"/>
    </row>
    <row r="949" spans="2:21">
      <c r="B949" s="232"/>
      <c r="C949" s="232"/>
      <c r="D949" s="255"/>
      <c r="E949" s="255"/>
      <c r="F949" s="262"/>
      <c r="G949" s="262"/>
      <c r="H949" s="21"/>
      <c r="I949" s="21"/>
      <c r="J949" s="33"/>
      <c r="K949" s="35" t="s">
        <v>1396</v>
      </c>
      <c r="L949" s="35" t="s">
        <v>332</v>
      </c>
      <c r="M949" s="55" t="s">
        <v>349</v>
      </c>
      <c r="N949" s="55">
        <v>44438</v>
      </c>
      <c r="O949" s="35" t="s">
        <v>676</v>
      </c>
      <c r="P949" s="62" t="s">
        <v>2207</v>
      </c>
      <c r="Q949" s="35"/>
      <c r="R949" s="35"/>
      <c r="S949" s="33"/>
      <c r="T949" s="33"/>
      <c r="U949" s="21"/>
    </row>
    <row r="950" spans="2:21">
      <c r="B950" s="232"/>
      <c r="C950" s="232"/>
      <c r="D950" s="255"/>
      <c r="E950" s="255"/>
      <c r="F950" s="262"/>
      <c r="G950" s="262"/>
      <c r="H950" s="21"/>
      <c r="I950" s="21"/>
      <c r="J950" s="33"/>
      <c r="K950" s="35" t="s">
        <v>2098</v>
      </c>
      <c r="L950" s="35" t="s">
        <v>332</v>
      </c>
      <c r="M950" s="55" t="s">
        <v>349</v>
      </c>
      <c r="N950" s="55">
        <v>44656</v>
      </c>
      <c r="O950" s="35" t="s">
        <v>676</v>
      </c>
      <c r="P950" s="62" t="s">
        <v>2840</v>
      </c>
      <c r="Q950" s="35"/>
      <c r="R950" s="35"/>
      <c r="S950" s="33"/>
      <c r="T950" s="33"/>
      <c r="U950" s="21"/>
    </row>
    <row r="951" spans="2:21">
      <c r="B951" s="232"/>
      <c r="C951" s="232"/>
      <c r="D951" s="255"/>
      <c r="E951" s="255"/>
      <c r="F951" s="262"/>
      <c r="G951" s="262"/>
      <c r="H951" s="21"/>
      <c r="I951" s="21"/>
      <c r="J951" s="33"/>
      <c r="K951" s="35" t="s">
        <v>1694</v>
      </c>
      <c r="L951" s="35" t="s">
        <v>332</v>
      </c>
      <c r="M951" s="55" t="s">
        <v>349</v>
      </c>
      <c r="N951" s="55">
        <v>44701</v>
      </c>
      <c r="O951" s="35" t="s">
        <v>676</v>
      </c>
      <c r="P951" s="62" t="s">
        <v>2929</v>
      </c>
      <c r="Q951" s="35"/>
      <c r="R951" s="35"/>
      <c r="S951" s="33"/>
      <c r="T951" s="33"/>
      <c r="U951" s="21"/>
    </row>
    <row r="952" spans="2:21">
      <c r="B952" s="232"/>
      <c r="C952" s="232"/>
      <c r="D952" s="255"/>
      <c r="E952" s="255"/>
      <c r="F952" s="262"/>
      <c r="G952" s="262"/>
      <c r="H952" s="21"/>
      <c r="I952" s="21"/>
      <c r="J952" s="33"/>
      <c r="K952" s="35" t="s">
        <v>2097</v>
      </c>
      <c r="L952" s="35" t="s">
        <v>332</v>
      </c>
      <c r="M952" s="55" t="s">
        <v>349</v>
      </c>
      <c r="N952" s="55">
        <v>44732</v>
      </c>
      <c r="O952" s="35" t="s">
        <v>676</v>
      </c>
      <c r="P952" s="62" t="s">
        <v>3020</v>
      </c>
      <c r="Q952" s="35"/>
      <c r="R952" s="35"/>
      <c r="S952" s="33"/>
      <c r="T952" s="33"/>
      <c r="U952" s="21"/>
    </row>
    <row r="953" spans="2:21">
      <c r="B953" s="232"/>
      <c r="C953" s="232"/>
      <c r="D953" s="255"/>
      <c r="E953" s="255"/>
      <c r="F953" s="262"/>
      <c r="G953" s="262"/>
      <c r="H953" s="21"/>
      <c r="I953" s="21"/>
      <c r="J953" s="33"/>
      <c r="K953" s="35" t="s">
        <v>1767</v>
      </c>
      <c r="L953" s="35" t="s">
        <v>332</v>
      </c>
      <c r="M953" s="55" t="s">
        <v>349</v>
      </c>
      <c r="N953" s="55">
        <v>44782</v>
      </c>
      <c r="O953" s="35" t="s">
        <v>676</v>
      </c>
      <c r="P953" s="62" t="s">
        <v>3185</v>
      </c>
      <c r="Q953" s="35"/>
      <c r="R953" s="35"/>
      <c r="S953" s="33"/>
      <c r="T953" s="33"/>
      <c r="U953" s="21"/>
    </row>
    <row r="954" spans="2:21">
      <c r="B954" s="232"/>
      <c r="C954" s="232"/>
      <c r="D954" s="255"/>
      <c r="E954" s="255"/>
      <c r="F954" s="262"/>
      <c r="G954" s="262"/>
      <c r="H954" s="21"/>
      <c r="I954" s="21"/>
      <c r="J954" s="33"/>
      <c r="K954" s="35" t="s">
        <v>2335</v>
      </c>
      <c r="L954" s="35" t="s">
        <v>332</v>
      </c>
      <c r="M954" s="55" t="s">
        <v>349</v>
      </c>
      <c r="N954" s="55">
        <v>44858</v>
      </c>
      <c r="O954" s="35" t="s">
        <v>676</v>
      </c>
      <c r="P954" s="62" t="s">
        <v>3309</v>
      </c>
      <c r="Q954" s="35"/>
      <c r="R954" s="35"/>
      <c r="S954" s="33"/>
      <c r="T954" s="33"/>
      <c r="U954" s="21"/>
    </row>
    <row r="955" spans="2:21">
      <c r="B955" s="232"/>
      <c r="C955" s="232"/>
      <c r="D955" s="255"/>
      <c r="E955" s="255"/>
      <c r="F955" s="262"/>
      <c r="G955" s="262"/>
      <c r="H955" s="21"/>
      <c r="I955" s="21"/>
      <c r="J955" s="33"/>
      <c r="K955" s="35" t="s">
        <v>2336</v>
      </c>
      <c r="L955" s="35" t="s">
        <v>332</v>
      </c>
      <c r="M955" s="55" t="s">
        <v>349</v>
      </c>
      <c r="N955" s="55">
        <v>45219</v>
      </c>
      <c r="O955" s="35" t="s">
        <v>676</v>
      </c>
      <c r="P955" s="62" t="s">
        <v>4051</v>
      </c>
      <c r="Q955" s="35"/>
      <c r="R955" s="35"/>
      <c r="S955" s="33"/>
      <c r="T955" s="33"/>
      <c r="U955" s="21"/>
    </row>
    <row r="956" spans="2:21">
      <c r="B956" s="232"/>
      <c r="C956" s="232"/>
      <c r="D956" s="255"/>
      <c r="E956" s="255"/>
      <c r="F956" s="262"/>
      <c r="G956" s="262"/>
      <c r="H956" s="21"/>
      <c r="I956" s="21"/>
      <c r="J956" s="33"/>
      <c r="K956" s="35"/>
      <c r="L956" s="35"/>
      <c r="M956" s="53"/>
      <c r="N956" s="164"/>
      <c r="O956" s="35"/>
      <c r="P956" s="35"/>
      <c r="Q956" s="35"/>
      <c r="R956" s="35"/>
      <c r="S956" s="33"/>
      <c r="T956" s="33"/>
      <c r="U956" s="21"/>
    </row>
    <row r="957" spans="2:21">
      <c r="B957" s="232"/>
      <c r="C957" s="232"/>
      <c r="D957" s="255"/>
      <c r="E957" s="255"/>
      <c r="F957" s="262"/>
      <c r="G957" s="262"/>
      <c r="H957" s="21" t="s">
        <v>184</v>
      </c>
      <c r="I957" s="21"/>
      <c r="J957" s="33" t="s">
        <v>384</v>
      </c>
      <c r="K957" s="35"/>
      <c r="L957" s="35" t="s">
        <v>332</v>
      </c>
      <c r="M957" s="53">
        <v>44071</v>
      </c>
      <c r="N957" s="164">
        <v>44074</v>
      </c>
      <c r="O957" s="35" t="s">
        <v>388</v>
      </c>
      <c r="P957" s="35" t="s">
        <v>381</v>
      </c>
      <c r="Q957" s="35"/>
      <c r="R957" s="35"/>
      <c r="S957" s="33"/>
      <c r="T957" s="33"/>
      <c r="U957" s="21"/>
    </row>
    <row r="958" spans="2:21">
      <c r="B958" s="232"/>
      <c r="C958" s="232"/>
      <c r="D958" s="255"/>
      <c r="E958" s="255"/>
      <c r="F958" s="262"/>
      <c r="G958" s="262"/>
      <c r="H958" s="21"/>
      <c r="I958" s="21"/>
      <c r="J958" s="33" t="s">
        <v>384</v>
      </c>
      <c r="K958" s="35" t="s">
        <v>330</v>
      </c>
      <c r="L958" s="35" t="s">
        <v>333</v>
      </c>
      <c r="M958" s="53" t="s">
        <v>349</v>
      </c>
      <c r="N958" s="53">
        <v>44165</v>
      </c>
      <c r="O958" s="35" t="s">
        <v>474</v>
      </c>
      <c r="P958" s="35" t="s">
        <v>679</v>
      </c>
      <c r="Q958" s="35"/>
      <c r="R958" s="35"/>
      <c r="S958" s="33"/>
      <c r="T958" s="33"/>
      <c r="U958" s="21"/>
    </row>
    <row r="959" spans="2:21">
      <c r="B959" s="232"/>
      <c r="C959" s="232"/>
      <c r="D959" s="255"/>
      <c r="E959" s="255"/>
      <c r="F959" s="262"/>
      <c r="G959" s="262"/>
      <c r="H959" s="21"/>
      <c r="I959" s="21"/>
      <c r="J959" s="33" t="s">
        <v>384</v>
      </c>
      <c r="K959" s="35"/>
      <c r="L959" s="35" t="s">
        <v>332</v>
      </c>
      <c r="M959" s="53">
        <v>44195</v>
      </c>
      <c r="N959" s="53">
        <v>44194</v>
      </c>
      <c r="O959" s="62" t="s">
        <v>474</v>
      </c>
      <c r="P959" s="62" t="s">
        <v>853</v>
      </c>
      <c r="Q959" s="35"/>
      <c r="R959" s="35"/>
      <c r="S959" s="33"/>
      <c r="T959" s="33"/>
      <c r="U959" s="21"/>
    </row>
    <row r="960" spans="2:21">
      <c r="B960" s="232"/>
      <c r="C960" s="232"/>
      <c r="D960" s="255"/>
      <c r="E960" s="255"/>
      <c r="F960" s="262"/>
      <c r="G960" s="262"/>
      <c r="H960" s="21"/>
      <c r="I960" s="21"/>
      <c r="J960" s="33" t="s">
        <v>1219</v>
      </c>
      <c r="K960" s="35" t="s">
        <v>1216</v>
      </c>
      <c r="L960" s="35" t="s">
        <v>332</v>
      </c>
      <c r="M960" s="53" t="s">
        <v>349</v>
      </c>
      <c r="N960" s="53">
        <v>44263</v>
      </c>
      <c r="O960" s="62" t="s">
        <v>474</v>
      </c>
      <c r="P960" s="62" t="s">
        <v>1217</v>
      </c>
      <c r="Q960" s="35"/>
      <c r="R960" s="35"/>
      <c r="S960" s="33"/>
      <c r="T960" s="33"/>
      <c r="U960" s="21"/>
    </row>
    <row r="961" spans="2:21">
      <c r="B961" s="232"/>
      <c r="C961" s="232"/>
      <c r="D961" s="255"/>
      <c r="E961" s="255"/>
      <c r="F961" s="262"/>
      <c r="G961" s="262"/>
      <c r="H961" s="21"/>
      <c r="I961" s="21"/>
      <c r="J961" s="33"/>
      <c r="K961" s="35" t="s">
        <v>1230</v>
      </c>
      <c r="L961" s="35" t="s">
        <v>332</v>
      </c>
      <c r="M961" s="53" t="s">
        <v>349</v>
      </c>
      <c r="N961" s="53">
        <v>44333</v>
      </c>
      <c r="O961" s="62" t="s">
        <v>474</v>
      </c>
      <c r="P961" s="62" t="s">
        <v>1692</v>
      </c>
      <c r="Q961" s="35"/>
      <c r="R961" s="35"/>
      <c r="S961" s="33"/>
      <c r="T961" s="33"/>
      <c r="U961" s="21"/>
    </row>
    <row r="962" spans="2:21">
      <c r="B962" s="232"/>
      <c r="C962" s="232"/>
      <c r="D962" s="255"/>
      <c r="E962" s="255"/>
      <c r="F962" s="262"/>
      <c r="G962" s="262"/>
      <c r="H962" s="21"/>
      <c r="I962" s="21"/>
      <c r="J962" s="33"/>
      <c r="K962" s="35" t="s">
        <v>1231</v>
      </c>
      <c r="L962" s="35" t="s">
        <v>332</v>
      </c>
      <c r="M962" s="53" t="s">
        <v>349</v>
      </c>
      <c r="N962" s="55">
        <v>44371</v>
      </c>
      <c r="O962" s="62" t="s">
        <v>474</v>
      </c>
      <c r="P962" s="62" t="s">
        <v>1863</v>
      </c>
      <c r="Q962" s="35"/>
      <c r="R962" s="35"/>
      <c r="S962" s="33"/>
      <c r="T962" s="33"/>
      <c r="U962" s="21"/>
    </row>
    <row r="963" spans="2:21">
      <c r="B963" s="232"/>
      <c r="C963" s="232"/>
      <c r="D963" s="255"/>
      <c r="E963" s="255"/>
      <c r="F963" s="262"/>
      <c r="G963" s="262"/>
      <c r="H963" s="21"/>
      <c r="I963" s="21"/>
      <c r="J963" s="33"/>
      <c r="K963" s="35" t="s">
        <v>1232</v>
      </c>
      <c r="L963" s="35" t="s">
        <v>332</v>
      </c>
      <c r="M963" s="53" t="s">
        <v>349</v>
      </c>
      <c r="N963" s="55">
        <v>44438</v>
      </c>
      <c r="O963" s="62" t="s">
        <v>474</v>
      </c>
      <c r="P963" s="62" t="s">
        <v>2207</v>
      </c>
      <c r="Q963" s="35"/>
      <c r="R963" s="35"/>
      <c r="S963" s="33"/>
      <c r="T963" s="33"/>
      <c r="U963" s="21"/>
    </row>
    <row r="964" spans="2:21">
      <c r="B964" s="232"/>
      <c r="C964" s="232"/>
      <c r="D964" s="255"/>
      <c r="E964" s="255"/>
      <c r="F964" s="262"/>
      <c r="G964" s="262"/>
      <c r="H964" s="21"/>
      <c r="I964" s="21"/>
      <c r="J964" s="33"/>
      <c r="K964" s="35" t="s">
        <v>1396</v>
      </c>
      <c r="L964" s="35" t="s">
        <v>332</v>
      </c>
      <c r="M964" s="53" t="s">
        <v>349</v>
      </c>
      <c r="N964" s="55">
        <v>44452</v>
      </c>
      <c r="O964" s="62" t="s">
        <v>474</v>
      </c>
      <c r="P964" s="62" t="s">
        <v>2255</v>
      </c>
      <c r="Q964" s="35"/>
      <c r="R964" s="35"/>
      <c r="S964" s="33"/>
      <c r="T964" s="33"/>
      <c r="U964" s="21"/>
    </row>
    <row r="965" spans="2:21">
      <c r="B965" s="232"/>
      <c r="C965" s="232"/>
      <c r="D965" s="255"/>
      <c r="E965" s="255"/>
      <c r="F965" s="262"/>
      <c r="G965" s="262"/>
      <c r="H965" s="21"/>
      <c r="I965" s="21"/>
      <c r="J965" s="33"/>
      <c r="K965" s="35" t="s">
        <v>2098</v>
      </c>
      <c r="L965" s="35" t="s">
        <v>332</v>
      </c>
      <c r="M965" s="53" t="s">
        <v>349</v>
      </c>
      <c r="N965" s="55">
        <v>44656</v>
      </c>
      <c r="O965" s="62" t="s">
        <v>474</v>
      </c>
      <c r="P965" s="62" t="s">
        <v>2840</v>
      </c>
      <c r="Q965" s="35"/>
      <c r="R965" s="35"/>
      <c r="S965" s="33"/>
      <c r="T965" s="33"/>
      <c r="U965" s="21"/>
    </row>
    <row r="966" spans="2:21">
      <c r="B966" s="232"/>
      <c r="C966" s="232"/>
      <c r="D966" s="255"/>
      <c r="E966" s="255"/>
      <c r="F966" s="262"/>
      <c r="G966" s="262"/>
      <c r="H966" s="21"/>
      <c r="I966" s="21"/>
      <c r="J966" s="33"/>
      <c r="K966" s="35" t="s">
        <v>1694</v>
      </c>
      <c r="L966" s="35" t="s">
        <v>332</v>
      </c>
      <c r="M966" s="53" t="s">
        <v>349</v>
      </c>
      <c r="N966" s="55">
        <v>44732</v>
      </c>
      <c r="O966" s="62" t="s">
        <v>474</v>
      </c>
      <c r="P966" s="62" t="s">
        <v>3020</v>
      </c>
      <c r="Q966" s="35"/>
      <c r="R966" s="35"/>
      <c r="S966" s="33"/>
      <c r="T966" s="33"/>
      <c r="U966" s="21"/>
    </row>
    <row r="967" spans="2:21">
      <c r="B967" s="232"/>
      <c r="C967" s="232"/>
      <c r="D967" s="255"/>
      <c r="E967" s="255"/>
      <c r="F967" s="262"/>
      <c r="G967" s="262"/>
      <c r="H967" s="21"/>
      <c r="I967" s="21"/>
      <c r="J967" s="33"/>
      <c r="K967" s="35" t="s">
        <v>2097</v>
      </c>
      <c r="L967" s="35" t="s">
        <v>332</v>
      </c>
      <c r="M967" s="53" t="s">
        <v>349</v>
      </c>
      <c r="N967" s="55">
        <v>44782</v>
      </c>
      <c r="O967" s="62" t="s">
        <v>474</v>
      </c>
      <c r="P967" s="62" t="s">
        <v>3185</v>
      </c>
      <c r="Q967" s="35"/>
      <c r="R967" s="35"/>
      <c r="S967" s="33"/>
      <c r="T967" s="33"/>
      <c r="U967" s="21"/>
    </row>
    <row r="968" spans="2:21">
      <c r="B968" s="232"/>
      <c r="C968" s="232"/>
      <c r="D968" s="255"/>
      <c r="E968" s="255"/>
      <c r="F968" s="262"/>
      <c r="G968" s="262"/>
      <c r="H968" s="21"/>
      <c r="I968" s="21"/>
      <c r="J968" s="33"/>
      <c r="K968" s="35" t="s">
        <v>1767</v>
      </c>
      <c r="L968" s="35" t="s">
        <v>332</v>
      </c>
      <c r="M968" s="53" t="s">
        <v>349</v>
      </c>
      <c r="N968" s="55">
        <v>44858</v>
      </c>
      <c r="O968" s="62" t="s">
        <v>474</v>
      </c>
      <c r="P968" s="62" t="s">
        <v>3309</v>
      </c>
      <c r="Q968" s="35"/>
      <c r="R968" s="35"/>
      <c r="S968" s="33"/>
      <c r="T968" s="33"/>
      <c r="U968" s="21"/>
    </row>
    <row r="969" spans="2:21">
      <c r="B969" s="232"/>
      <c r="C969" s="232"/>
      <c r="D969" s="255"/>
      <c r="E969" s="255"/>
      <c r="F969" s="262"/>
      <c r="G969" s="262"/>
      <c r="H969" s="21"/>
      <c r="I969" s="21"/>
      <c r="J969" s="33"/>
      <c r="K969" s="35" t="s">
        <v>1870</v>
      </c>
      <c r="L969" s="35" t="s">
        <v>332</v>
      </c>
      <c r="M969" s="53" t="s">
        <v>349</v>
      </c>
      <c r="N969" s="55">
        <v>44574</v>
      </c>
      <c r="O969" s="62" t="s">
        <v>474</v>
      </c>
      <c r="P969" s="62" t="s">
        <v>3389</v>
      </c>
      <c r="Q969" s="35"/>
      <c r="R969" s="35"/>
      <c r="S969" s="33"/>
      <c r="T969" s="33"/>
      <c r="U969" s="21"/>
    </row>
    <row r="970" spans="2:21">
      <c r="B970" s="232"/>
      <c r="C970" s="232"/>
      <c r="D970" s="255"/>
      <c r="E970" s="255"/>
      <c r="F970" s="262"/>
      <c r="G970" s="262"/>
      <c r="H970" s="21"/>
      <c r="I970" s="21"/>
      <c r="J970" s="33"/>
      <c r="K970" s="35" t="s">
        <v>2335</v>
      </c>
      <c r="L970" s="35" t="s">
        <v>332</v>
      </c>
      <c r="M970" s="53" t="s">
        <v>349</v>
      </c>
      <c r="N970" s="55">
        <v>45058</v>
      </c>
      <c r="O970" s="62" t="s">
        <v>474</v>
      </c>
      <c r="P970" s="62" t="s">
        <v>3749</v>
      </c>
      <c r="Q970" s="35"/>
      <c r="R970" s="35"/>
      <c r="S970" s="33"/>
      <c r="T970" s="33"/>
      <c r="U970" s="21"/>
    </row>
    <row r="971" spans="2:21">
      <c r="B971" s="232"/>
      <c r="C971" s="232"/>
      <c r="D971" s="255"/>
      <c r="E971" s="255"/>
      <c r="F971" s="262"/>
      <c r="G971" s="262"/>
      <c r="H971" s="21"/>
      <c r="I971" s="21"/>
      <c r="J971" s="33"/>
      <c r="K971" s="35" t="s">
        <v>1869</v>
      </c>
      <c r="L971" s="35" t="s">
        <v>332</v>
      </c>
      <c r="M971" s="53" t="s">
        <v>349</v>
      </c>
      <c r="N971" s="55">
        <v>45219</v>
      </c>
      <c r="O971" s="62" t="s">
        <v>474</v>
      </c>
      <c r="P971" s="62" t="s">
        <v>4051</v>
      </c>
      <c r="Q971" s="35"/>
      <c r="R971" s="35"/>
      <c r="S971" s="33"/>
      <c r="T971" s="33"/>
      <c r="U971" s="21"/>
    </row>
    <row r="972" spans="2:21">
      <c r="B972" s="232"/>
      <c r="C972" s="232"/>
      <c r="D972" s="255"/>
      <c r="E972" s="255"/>
      <c r="F972" s="262"/>
      <c r="G972" s="262"/>
      <c r="H972" s="21"/>
      <c r="I972" s="21"/>
      <c r="J972" s="33"/>
      <c r="K972" s="35"/>
      <c r="L972" s="35"/>
      <c r="M972" s="53"/>
      <c r="N972" s="53"/>
      <c r="O972" s="35"/>
      <c r="P972" s="35"/>
      <c r="Q972" s="35"/>
      <c r="R972" s="35"/>
      <c r="S972" s="33"/>
      <c r="T972" s="33"/>
      <c r="U972" s="21"/>
    </row>
    <row r="973" spans="2:21">
      <c r="B973" s="232"/>
      <c r="C973" s="232"/>
      <c r="D973" s="255"/>
      <c r="E973" s="255"/>
      <c r="F973" s="262"/>
      <c r="G973" s="262"/>
      <c r="H973" s="21" t="s">
        <v>386</v>
      </c>
      <c r="I973" s="21"/>
      <c r="J973" s="33" t="s">
        <v>385</v>
      </c>
      <c r="K973" s="35"/>
      <c r="L973" s="35" t="s">
        <v>332</v>
      </c>
      <c r="M973" s="53">
        <v>44071</v>
      </c>
      <c r="N973" s="164">
        <v>44074</v>
      </c>
      <c r="O973" s="35" t="s">
        <v>390</v>
      </c>
      <c r="P973" s="35" t="s">
        <v>381</v>
      </c>
      <c r="Q973" s="35"/>
      <c r="R973" s="35"/>
      <c r="S973" s="33"/>
      <c r="T973" s="33"/>
      <c r="U973" s="21"/>
    </row>
    <row r="974" spans="2:21">
      <c r="B974" s="232"/>
      <c r="C974" s="232"/>
      <c r="D974" s="255"/>
      <c r="E974" s="255"/>
      <c r="F974" s="262"/>
      <c r="G974" s="262"/>
      <c r="H974" s="21"/>
      <c r="I974" s="21"/>
      <c r="J974" s="33"/>
      <c r="K974" s="35" t="s">
        <v>330</v>
      </c>
      <c r="L974" s="35" t="s">
        <v>333</v>
      </c>
      <c r="M974" s="53" t="s">
        <v>349</v>
      </c>
      <c r="N974" s="53">
        <v>44165</v>
      </c>
      <c r="O974" s="35" t="s">
        <v>677</v>
      </c>
      <c r="P974" s="35" t="s">
        <v>679</v>
      </c>
      <c r="Q974" s="35"/>
      <c r="R974" s="35"/>
      <c r="S974" s="33"/>
      <c r="T974" s="33"/>
      <c r="U974" s="21"/>
    </row>
    <row r="975" spans="2:21">
      <c r="B975" s="232"/>
      <c r="C975" s="232"/>
      <c r="D975" s="255"/>
      <c r="E975" s="255"/>
      <c r="F975" s="262"/>
      <c r="G975" s="262"/>
      <c r="H975" s="21"/>
      <c r="I975" s="21"/>
      <c r="J975" s="33"/>
      <c r="K975" s="35"/>
      <c r="L975" s="35" t="s">
        <v>332</v>
      </c>
      <c r="M975" s="53">
        <v>44195</v>
      </c>
      <c r="N975" s="53">
        <v>44187</v>
      </c>
      <c r="O975" s="35" t="s">
        <v>677</v>
      </c>
      <c r="P975" s="35" t="s">
        <v>847</v>
      </c>
      <c r="Q975" s="35"/>
      <c r="R975" s="35"/>
      <c r="S975" s="33"/>
      <c r="T975" s="33"/>
      <c r="U975" s="21"/>
    </row>
    <row r="976" spans="2:21">
      <c r="B976" s="232"/>
      <c r="C976" s="232"/>
      <c r="D976" s="255"/>
      <c r="E976" s="255"/>
      <c r="F976" s="262"/>
      <c r="G976" s="262"/>
      <c r="H976" s="21"/>
      <c r="I976" s="21"/>
      <c r="J976" s="33"/>
      <c r="K976" s="35" t="s">
        <v>1216</v>
      </c>
      <c r="L976" s="35" t="s">
        <v>332</v>
      </c>
      <c r="M976" s="53" t="s">
        <v>349</v>
      </c>
      <c r="N976" s="53">
        <v>44263</v>
      </c>
      <c r="O976" s="35" t="s">
        <v>677</v>
      </c>
      <c r="P976" s="35" t="s">
        <v>1217</v>
      </c>
      <c r="Q976" s="35"/>
      <c r="R976" s="35"/>
      <c r="S976" s="33"/>
      <c r="T976" s="33"/>
      <c r="U976" s="21"/>
    </row>
    <row r="977" spans="2:21">
      <c r="B977" s="232"/>
      <c r="C977" s="232"/>
      <c r="D977" s="255"/>
      <c r="E977" s="255"/>
      <c r="F977" s="262"/>
      <c r="G977" s="262"/>
      <c r="H977" s="21"/>
      <c r="I977" s="21"/>
      <c r="J977" s="33"/>
      <c r="K977" s="35" t="s">
        <v>1230</v>
      </c>
      <c r="L977" s="35" t="s">
        <v>332</v>
      </c>
      <c r="M977" s="53" t="s">
        <v>349</v>
      </c>
      <c r="N977" s="53">
        <v>44333</v>
      </c>
      <c r="O977" s="35" t="s">
        <v>677</v>
      </c>
      <c r="P977" s="35" t="s">
        <v>1692</v>
      </c>
      <c r="Q977" s="35"/>
      <c r="R977" s="35"/>
      <c r="S977" s="33"/>
      <c r="T977" s="33"/>
      <c r="U977" s="21"/>
    </row>
    <row r="978" spans="2:21">
      <c r="B978" s="232"/>
      <c r="C978" s="232"/>
      <c r="D978" s="255"/>
      <c r="E978" s="255"/>
      <c r="F978" s="262"/>
      <c r="G978" s="262"/>
      <c r="H978" s="21"/>
      <c r="I978" s="21"/>
      <c r="J978" s="33"/>
      <c r="K978" s="35" t="s">
        <v>1231</v>
      </c>
      <c r="L978" s="35" t="s">
        <v>332</v>
      </c>
      <c r="M978" s="53" t="s">
        <v>349</v>
      </c>
      <c r="N978" s="55">
        <v>44371</v>
      </c>
      <c r="O978" s="35" t="s">
        <v>677</v>
      </c>
      <c r="P978" s="62" t="s">
        <v>1863</v>
      </c>
      <c r="Q978" s="35"/>
      <c r="R978" s="35"/>
      <c r="S978" s="33"/>
      <c r="T978" s="33"/>
      <c r="U978" s="21"/>
    </row>
    <row r="979" spans="2:21">
      <c r="B979" s="232"/>
      <c r="C979" s="232"/>
      <c r="D979" s="255"/>
      <c r="E979" s="255"/>
      <c r="F979" s="262"/>
      <c r="G979" s="262"/>
      <c r="H979" s="21"/>
      <c r="I979" s="21"/>
      <c r="J979" s="33"/>
      <c r="K979" s="35" t="s">
        <v>1232</v>
      </c>
      <c r="L979" s="35" t="s">
        <v>332</v>
      </c>
      <c r="M979" s="53" t="s">
        <v>349</v>
      </c>
      <c r="N979" s="55">
        <v>44418</v>
      </c>
      <c r="O979" s="35" t="s">
        <v>677</v>
      </c>
      <c r="P979" s="62" t="s">
        <v>2094</v>
      </c>
      <c r="Q979" s="35"/>
      <c r="R979" s="35"/>
      <c r="S979" s="33"/>
      <c r="T979" s="33"/>
      <c r="U979" s="21"/>
    </row>
    <row r="980" spans="2:21">
      <c r="B980" s="232"/>
      <c r="C980" s="232"/>
      <c r="D980" s="255"/>
      <c r="E980" s="255"/>
      <c r="F980" s="262"/>
      <c r="G980" s="262"/>
      <c r="H980" s="21"/>
      <c r="I980" s="21"/>
      <c r="J980" s="33"/>
      <c r="K980" s="35" t="s">
        <v>1695</v>
      </c>
      <c r="L980" s="35" t="s">
        <v>332</v>
      </c>
      <c r="M980" s="53" t="s">
        <v>349</v>
      </c>
      <c r="N980" s="55">
        <v>44732</v>
      </c>
      <c r="O980" s="35" t="s">
        <v>677</v>
      </c>
      <c r="P980" s="62" t="s">
        <v>3020</v>
      </c>
      <c r="Q980" s="35"/>
      <c r="R980" s="35"/>
      <c r="S980" s="33"/>
      <c r="T980" s="33"/>
      <c r="U980" s="21"/>
    </row>
    <row r="981" spans="2:21">
      <c r="B981" s="232"/>
      <c r="C981" s="232"/>
      <c r="D981" s="255"/>
      <c r="E981" s="255"/>
      <c r="F981" s="262"/>
      <c r="G981" s="262"/>
      <c r="H981" s="21"/>
      <c r="I981" s="21"/>
      <c r="J981" s="33"/>
      <c r="K981" s="35" t="s">
        <v>2098</v>
      </c>
      <c r="L981" s="35" t="s">
        <v>332</v>
      </c>
      <c r="M981" s="53" t="s">
        <v>349</v>
      </c>
      <c r="N981" s="55">
        <v>44782</v>
      </c>
      <c r="O981" s="35" t="s">
        <v>677</v>
      </c>
      <c r="P981" s="62" t="s">
        <v>3185</v>
      </c>
      <c r="Q981" s="35"/>
      <c r="R981" s="35"/>
      <c r="S981" s="33"/>
      <c r="T981" s="33"/>
      <c r="U981" s="21"/>
    </row>
    <row r="982" spans="2:21">
      <c r="B982" s="232"/>
      <c r="C982" s="232"/>
      <c r="D982" s="255"/>
      <c r="E982" s="255"/>
      <c r="F982" s="262"/>
      <c r="G982" s="262"/>
      <c r="H982" s="21"/>
      <c r="I982" s="21"/>
      <c r="J982" s="33"/>
      <c r="K982" s="35" t="s">
        <v>2097</v>
      </c>
      <c r="L982" s="35" t="s">
        <v>332</v>
      </c>
      <c r="M982" s="53" t="s">
        <v>349</v>
      </c>
      <c r="N982" s="55">
        <v>45219</v>
      </c>
      <c r="O982" s="35" t="s">
        <v>677</v>
      </c>
      <c r="P982" s="62" t="s">
        <v>4051</v>
      </c>
      <c r="Q982" s="35"/>
      <c r="R982" s="35"/>
      <c r="S982" s="33"/>
      <c r="T982" s="33"/>
      <c r="U982" s="21"/>
    </row>
    <row r="983" spans="2:21">
      <c r="B983" s="232"/>
      <c r="C983" s="232"/>
      <c r="D983" s="255"/>
      <c r="E983" s="255"/>
      <c r="F983" s="262"/>
      <c r="G983" s="262"/>
      <c r="H983" s="21"/>
      <c r="I983" s="21"/>
      <c r="J983" s="33"/>
      <c r="K983" s="35"/>
      <c r="L983" s="35"/>
      <c r="M983" s="53"/>
      <c r="N983" s="53"/>
      <c r="O983" s="35"/>
      <c r="P983" s="35"/>
      <c r="Q983" s="35"/>
      <c r="R983" s="35"/>
      <c r="S983" s="33"/>
      <c r="T983" s="33"/>
      <c r="U983" s="21"/>
    </row>
    <row r="984" spans="2:21">
      <c r="B984" s="232"/>
      <c r="C984" s="232"/>
      <c r="D984" s="255"/>
      <c r="E984" s="255"/>
      <c r="F984" s="262"/>
      <c r="G984" s="262"/>
      <c r="H984" s="21" t="s">
        <v>935</v>
      </c>
      <c r="I984" s="21"/>
      <c r="J984" s="33" t="s">
        <v>936</v>
      </c>
      <c r="K984" s="35"/>
      <c r="L984" s="35" t="s">
        <v>332</v>
      </c>
      <c r="M984" s="53" t="s">
        <v>349</v>
      </c>
      <c r="N984" s="53">
        <v>44221</v>
      </c>
      <c r="O984" s="35" t="s">
        <v>938</v>
      </c>
      <c r="P984" s="35" t="s">
        <v>939</v>
      </c>
      <c r="Q984" s="35"/>
      <c r="R984" s="35"/>
      <c r="S984" s="33"/>
      <c r="T984" s="33"/>
      <c r="U984" s="21"/>
    </row>
    <row r="985" spans="2:21">
      <c r="B985" s="232"/>
      <c r="C985" s="232"/>
      <c r="D985" s="255"/>
      <c r="E985" s="255"/>
      <c r="F985" s="262"/>
      <c r="G985" s="262"/>
      <c r="H985" s="21"/>
      <c r="I985" s="21"/>
      <c r="J985" s="33"/>
      <c r="K985" s="35" t="s">
        <v>1216</v>
      </c>
      <c r="L985" s="35" t="s">
        <v>332</v>
      </c>
      <c r="M985" s="53" t="s">
        <v>349</v>
      </c>
      <c r="N985" s="53">
        <v>44263</v>
      </c>
      <c r="O985" s="35" t="s">
        <v>938</v>
      </c>
      <c r="P985" s="35" t="s">
        <v>1217</v>
      </c>
      <c r="Q985" s="35"/>
      <c r="R985" s="35"/>
      <c r="S985" s="33"/>
      <c r="T985" s="33"/>
      <c r="U985" s="21"/>
    </row>
    <row r="986" spans="2:21">
      <c r="B986" s="232"/>
      <c r="C986" s="232"/>
      <c r="D986" s="255"/>
      <c r="E986" s="255"/>
      <c r="F986" s="262"/>
      <c r="G986" s="262"/>
      <c r="H986" s="21"/>
      <c r="I986" s="21"/>
      <c r="J986" s="33"/>
      <c r="K986" s="35" t="s">
        <v>1231</v>
      </c>
      <c r="L986" s="35" t="s">
        <v>332</v>
      </c>
      <c r="M986" s="53" t="s">
        <v>349</v>
      </c>
      <c r="N986" s="53">
        <v>44333</v>
      </c>
      <c r="O986" s="35" t="s">
        <v>938</v>
      </c>
      <c r="P986" s="35" t="s">
        <v>1692</v>
      </c>
      <c r="Q986" s="35"/>
      <c r="R986" s="35"/>
      <c r="S986" s="33"/>
      <c r="T986" s="33"/>
      <c r="U986" s="21"/>
    </row>
    <row r="987" spans="2:21">
      <c r="B987" s="232"/>
      <c r="C987" s="232"/>
      <c r="D987" s="255"/>
      <c r="E987" s="255"/>
      <c r="F987" s="262"/>
      <c r="G987" s="262"/>
      <c r="H987" s="21"/>
      <c r="I987" s="21"/>
      <c r="J987" s="33"/>
      <c r="K987" s="35" t="s">
        <v>1232</v>
      </c>
      <c r="L987" s="35" t="s">
        <v>332</v>
      </c>
      <c r="M987" s="53" t="s">
        <v>349</v>
      </c>
      <c r="N987" s="55">
        <v>44371</v>
      </c>
      <c r="O987" s="35" t="s">
        <v>938</v>
      </c>
      <c r="P987" s="62" t="s">
        <v>1863</v>
      </c>
      <c r="Q987" s="35"/>
      <c r="R987" s="35"/>
      <c r="S987" s="33"/>
      <c r="T987" s="33"/>
      <c r="U987" s="21"/>
    </row>
    <row r="988" spans="2:21">
      <c r="B988" s="232"/>
      <c r="C988" s="232"/>
      <c r="D988" s="255"/>
      <c r="E988" s="255"/>
      <c r="F988" s="262"/>
      <c r="G988" s="262"/>
      <c r="H988" s="21"/>
      <c r="I988" s="21"/>
      <c r="J988" s="33"/>
      <c r="K988" s="35" t="s">
        <v>1396</v>
      </c>
      <c r="L988" s="35" t="s">
        <v>332</v>
      </c>
      <c r="M988" s="53" t="s">
        <v>349</v>
      </c>
      <c r="N988" s="55">
        <v>44656</v>
      </c>
      <c r="O988" s="35" t="s">
        <v>938</v>
      </c>
      <c r="P988" s="62" t="s">
        <v>2840</v>
      </c>
      <c r="Q988" s="35"/>
      <c r="R988" s="35"/>
      <c r="S988" s="33"/>
      <c r="T988" s="33"/>
      <c r="U988" s="21"/>
    </row>
    <row r="989" spans="2:21">
      <c r="B989" s="232"/>
      <c r="C989" s="232"/>
      <c r="D989" s="255"/>
      <c r="E989" s="255"/>
      <c r="F989" s="262"/>
      <c r="G989" s="262"/>
      <c r="H989" s="21"/>
      <c r="I989" s="21"/>
      <c r="J989" s="33"/>
      <c r="K989" s="35" t="s">
        <v>1695</v>
      </c>
      <c r="L989" s="35" t="s">
        <v>332</v>
      </c>
      <c r="M989" s="53" t="s">
        <v>349</v>
      </c>
      <c r="N989" s="55">
        <v>44732</v>
      </c>
      <c r="O989" s="35" t="s">
        <v>938</v>
      </c>
      <c r="P989" s="62" t="s">
        <v>3020</v>
      </c>
      <c r="Q989" s="35"/>
      <c r="R989" s="35"/>
      <c r="S989" s="33"/>
      <c r="T989" s="33"/>
      <c r="U989" s="21"/>
    </row>
    <row r="990" spans="2:21">
      <c r="B990" s="232"/>
      <c r="C990" s="232"/>
      <c r="D990" s="255"/>
      <c r="E990" s="255"/>
      <c r="F990" s="262"/>
      <c r="G990" s="262"/>
      <c r="H990" s="21"/>
      <c r="I990" s="21"/>
      <c r="J990" s="33"/>
      <c r="K990" s="35" t="s">
        <v>2098</v>
      </c>
      <c r="L990" s="35" t="s">
        <v>332</v>
      </c>
      <c r="M990" s="53" t="s">
        <v>349</v>
      </c>
      <c r="N990" s="55">
        <v>44782</v>
      </c>
      <c r="O990" s="35" t="s">
        <v>938</v>
      </c>
      <c r="P990" s="62" t="s">
        <v>3185</v>
      </c>
      <c r="Q990" s="35"/>
      <c r="R990" s="35"/>
      <c r="S990" s="33"/>
      <c r="T990" s="33"/>
      <c r="U990" s="21"/>
    </row>
    <row r="991" spans="2:21">
      <c r="B991" s="232"/>
      <c r="C991" s="232"/>
      <c r="D991" s="255"/>
      <c r="E991" s="255"/>
      <c r="F991" s="262"/>
      <c r="G991" s="262"/>
      <c r="H991" s="21"/>
      <c r="I991" s="21"/>
      <c r="J991" s="33"/>
      <c r="K991" s="35" t="s">
        <v>1694</v>
      </c>
      <c r="L991" s="35" t="s">
        <v>332</v>
      </c>
      <c r="M991" s="53" t="s">
        <v>349</v>
      </c>
      <c r="N991" s="55">
        <v>44858</v>
      </c>
      <c r="O991" s="35" t="s">
        <v>938</v>
      </c>
      <c r="P991" s="62" t="s">
        <v>3309</v>
      </c>
      <c r="Q991" s="35"/>
      <c r="R991" s="35"/>
      <c r="S991" s="33"/>
      <c r="T991" s="33"/>
      <c r="U991" s="21"/>
    </row>
    <row r="992" spans="2:21">
      <c r="B992" s="232"/>
      <c r="C992" s="232"/>
      <c r="D992" s="255"/>
      <c r="E992" s="255"/>
      <c r="F992" s="262"/>
      <c r="G992" s="262"/>
      <c r="H992" s="21"/>
      <c r="I992" s="21"/>
      <c r="J992" s="33"/>
      <c r="K992" s="35" t="s">
        <v>2097</v>
      </c>
      <c r="L992" s="35" t="s">
        <v>332</v>
      </c>
      <c r="M992" s="53" t="s">
        <v>349</v>
      </c>
      <c r="N992" s="55">
        <v>45219</v>
      </c>
      <c r="O992" s="35" t="s">
        <v>938</v>
      </c>
      <c r="P992" s="62" t="s">
        <v>4051</v>
      </c>
      <c r="Q992" s="35"/>
      <c r="R992" s="35"/>
      <c r="S992" s="33"/>
      <c r="T992" s="33"/>
      <c r="U992" s="21"/>
    </row>
    <row r="993" spans="2:21">
      <c r="B993" s="232"/>
      <c r="C993" s="232"/>
      <c r="D993" s="255"/>
      <c r="E993" s="255"/>
      <c r="F993" s="262"/>
      <c r="G993" s="262"/>
      <c r="H993" s="21"/>
      <c r="I993" s="21"/>
      <c r="J993" s="33"/>
      <c r="K993" s="35"/>
      <c r="L993" s="35"/>
      <c r="M993" s="21"/>
      <c r="N993" s="53"/>
      <c r="O993" s="35"/>
      <c r="P993" s="35"/>
      <c r="Q993" s="35"/>
      <c r="R993" s="35"/>
      <c r="S993" s="33"/>
      <c r="T993" s="33"/>
      <c r="U993" s="21"/>
    </row>
    <row r="994" spans="2:21">
      <c r="B994" s="232"/>
      <c r="C994" s="232"/>
      <c r="D994" s="255"/>
      <c r="E994" s="255"/>
      <c r="F994" s="262"/>
      <c r="G994" s="262"/>
      <c r="H994" s="21"/>
      <c r="I994" s="21"/>
      <c r="J994" s="33" t="s">
        <v>937</v>
      </c>
      <c r="K994" s="53" t="s">
        <v>349</v>
      </c>
      <c r="L994" s="35" t="s">
        <v>332</v>
      </c>
      <c r="M994" s="53" t="s">
        <v>349</v>
      </c>
      <c r="N994" s="53">
        <v>44221</v>
      </c>
      <c r="O994" s="35" t="s">
        <v>940</v>
      </c>
      <c r="P994" s="35" t="s">
        <v>939</v>
      </c>
      <c r="Q994" s="35"/>
      <c r="R994" s="35"/>
      <c r="S994" s="33"/>
      <c r="T994" s="33"/>
      <c r="U994" s="21"/>
    </row>
    <row r="995" spans="2:21">
      <c r="B995" s="232"/>
      <c r="C995" s="232"/>
      <c r="D995" s="255"/>
      <c r="E995" s="255"/>
      <c r="F995" s="262"/>
      <c r="G995" s="262"/>
      <c r="H995" s="21"/>
      <c r="I995" s="21"/>
      <c r="J995" s="33"/>
      <c r="K995" s="35"/>
      <c r="L995" s="35"/>
      <c r="M995" s="21"/>
      <c r="N995" s="53"/>
      <c r="O995" s="35"/>
      <c r="P995" s="35"/>
      <c r="Q995" s="35"/>
      <c r="R995" s="35"/>
      <c r="S995" s="33"/>
      <c r="T995" s="33"/>
      <c r="U995" s="21"/>
    </row>
    <row r="996" spans="2:21">
      <c r="B996" s="232"/>
      <c r="C996" s="232"/>
      <c r="D996" s="255"/>
      <c r="E996" s="255"/>
      <c r="F996" s="262"/>
      <c r="G996" s="262"/>
      <c r="H996" s="21" t="s">
        <v>1058</v>
      </c>
      <c r="I996" s="21"/>
      <c r="J996" s="33" t="s">
        <v>1696</v>
      </c>
      <c r="K996" s="35" t="s">
        <v>1216</v>
      </c>
      <c r="L996" s="35" t="s">
        <v>332</v>
      </c>
      <c r="M996" s="53" t="s">
        <v>349</v>
      </c>
      <c r="N996" s="53">
        <v>44333</v>
      </c>
      <c r="O996" s="35" t="s">
        <v>1463</v>
      </c>
      <c r="P996" s="35" t="s">
        <v>1692</v>
      </c>
      <c r="Q996" s="35"/>
      <c r="R996" s="35"/>
      <c r="S996" s="33"/>
      <c r="T996" s="33"/>
      <c r="U996" s="21"/>
    </row>
    <row r="997" spans="2:21">
      <c r="B997" s="232"/>
      <c r="C997" s="232"/>
      <c r="D997" s="255"/>
      <c r="E997" s="255"/>
      <c r="F997" s="262"/>
      <c r="G997" s="262"/>
      <c r="H997" s="21"/>
      <c r="I997" s="21"/>
      <c r="J997" s="33"/>
      <c r="K997" s="35" t="s">
        <v>1230</v>
      </c>
      <c r="L997" s="35" t="s">
        <v>332</v>
      </c>
      <c r="M997" s="53" t="s">
        <v>349</v>
      </c>
      <c r="N997" s="53">
        <v>44351</v>
      </c>
      <c r="O997" s="35" t="s">
        <v>1463</v>
      </c>
      <c r="P997" s="35" t="s">
        <v>1766</v>
      </c>
      <c r="Q997" s="35"/>
      <c r="R997" s="35"/>
      <c r="S997" s="33"/>
      <c r="T997" s="33"/>
      <c r="U997" s="21"/>
    </row>
    <row r="998" spans="2:21">
      <c r="B998" s="232"/>
      <c r="C998" s="232"/>
      <c r="D998" s="255"/>
      <c r="E998" s="255"/>
      <c r="F998" s="262"/>
      <c r="G998" s="262"/>
      <c r="H998" s="21"/>
      <c r="I998" s="21"/>
      <c r="J998" s="33"/>
      <c r="K998" s="35" t="s">
        <v>1231</v>
      </c>
      <c r="L998" s="35" t="s">
        <v>332</v>
      </c>
      <c r="M998" s="53" t="s">
        <v>349</v>
      </c>
      <c r="N998" s="55">
        <v>44371</v>
      </c>
      <c r="O998" s="35" t="s">
        <v>1463</v>
      </c>
      <c r="P998" s="62" t="s">
        <v>1863</v>
      </c>
      <c r="Q998" s="35"/>
      <c r="R998" s="35"/>
      <c r="S998" s="33"/>
      <c r="T998" s="33"/>
      <c r="U998" s="21"/>
    </row>
    <row r="999" spans="2:21">
      <c r="B999" s="232"/>
      <c r="C999" s="232"/>
      <c r="D999" s="255"/>
      <c r="E999" s="255"/>
      <c r="F999" s="264"/>
      <c r="G999" s="264"/>
      <c r="H999" s="21"/>
      <c r="I999" s="21"/>
      <c r="J999" s="33"/>
      <c r="K999" s="35"/>
      <c r="L999" s="35"/>
      <c r="M999" s="21"/>
      <c r="N999" s="53"/>
      <c r="O999" s="35"/>
      <c r="P999" s="35"/>
      <c r="Q999" s="35"/>
      <c r="R999" s="35"/>
      <c r="S999" s="33"/>
      <c r="T999" s="33"/>
      <c r="U999" s="21"/>
    </row>
    <row r="1000" spans="2:21">
      <c r="B1000" s="232"/>
      <c r="C1000" s="232"/>
      <c r="D1000" s="255"/>
      <c r="E1000" s="255"/>
      <c r="F1000" s="21" t="s">
        <v>29</v>
      </c>
      <c r="G1000" s="256" t="s">
        <v>226</v>
      </c>
      <c r="H1000" s="257"/>
      <c r="I1000" s="257"/>
      <c r="J1000" s="257"/>
      <c r="K1000" s="257"/>
      <c r="L1000" s="257"/>
      <c r="M1000" s="257"/>
      <c r="N1000" s="257"/>
      <c r="O1000" s="257"/>
      <c r="P1000" s="257"/>
      <c r="Q1000" s="258"/>
      <c r="R1000" s="39"/>
      <c r="S1000" s="21"/>
      <c r="T1000" s="21"/>
      <c r="U1000" s="21"/>
    </row>
    <row r="1001" spans="2:21" ht="28">
      <c r="B1001" s="232"/>
      <c r="C1001" s="232"/>
      <c r="D1001" s="255"/>
      <c r="E1001" s="255"/>
      <c r="F1001" s="263"/>
      <c r="G1001" s="263"/>
      <c r="H1001" s="61" t="s">
        <v>176</v>
      </c>
      <c r="I1001" s="61"/>
      <c r="J1001" s="54" t="s">
        <v>752</v>
      </c>
      <c r="K1001" s="62" t="s">
        <v>330</v>
      </c>
      <c r="L1001" s="62" t="s">
        <v>333</v>
      </c>
      <c r="M1001" s="55"/>
      <c r="N1001" s="55">
        <v>44165</v>
      </c>
      <c r="O1001" s="12" t="s">
        <v>672</v>
      </c>
      <c r="P1001" s="62" t="s">
        <v>679</v>
      </c>
      <c r="Q1001" s="35"/>
      <c r="R1001" s="35"/>
      <c r="S1001" s="33"/>
      <c r="T1001" s="33"/>
      <c r="U1001" s="21"/>
    </row>
    <row r="1002" spans="2:21" ht="28">
      <c r="B1002" s="232"/>
      <c r="C1002" s="232"/>
      <c r="D1002" s="255"/>
      <c r="E1002" s="255"/>
      <c r="F1002" s="262"/>
      <c r="G1002" s="262"/>
      <c r="H1002" s="61"/>
      <c r="I1002" s="61"/>
      <c r="J1002" s="54"/>
      <c r="K1002" s="88" t="s">
        <v>3</v>
      </c>
      <c r="L1002" s="62" t="s">
        <v>332</v>
      </c>
      <c r="M1002" s="55">
        <v>44195</v>
      </c>
      <c r="N1002" s="55">
        <v>44188</v>
      </c>
      <c r="O1002" s="12" t="s">
        <v>672</v>
      </c>
      <c r="P1002" s="62" t="s">
        <v>850</v>
      </c>
      <c r="Q1002" s="35"/>
      <c r="R1002" s="35"/>
      <c r="S1002" s="33"/>
      <c r="T1002" s="33"/>
      <c r="U1002" s="21"/>
    </row>
    <row r="1003" spans="2:21" ht="28">
      <c r="B1003" s="232"/>
      <c r="C1003" s="232"/>
      <c r="D1003" s="255"/>
      <c r="E1003" s="255"/>
      <c r="F1003" s="262"/>
      <c r="G1003" s="262"/>
      <c r="H1003" s="21"/>
      <c r="I1003" s="21"/>
      <c r="J1003" s="54"/>
      <c r="K1003" s="88" t="s">
        <v>1216</v>
      </c>
      <c r="L1003" s="62" t="s">
        <v>332</v>
      </c>
      <c r="M1003" s="55" t="s">
        <v>349</v>
      </c>
      <c r="N1003" s="55">
        <v>44263</v>
      </c>
      <c r="O1003" s="12" t="s">
        <v>672</v>
      </c>
      <c r="P1003" s="62" t="s">
        <v>1217</v>
      </c>
      <c r="Q1003" s="35"/>
      <c r="R1003" s="35"/>
      <c r="S1003" s="33"/>
      <c r="T1003" s="33"/>
      <c r="U1003" s="21"/>
    </row>
    <row r="1004" spans="2:21" ht="28">
      <c r="B1004" s="232"/>
      <c r="C1004" s="232"/>
      <c r="D1004" s="255"/>
      <c r="E1004" s="255"/>
      <c r="F1004" s="262"/>
      <c r="G1004" s="262"/>
      <c r="H1004" s="21"/>
      <c r="I1004" s="21"/>
      <c r="J1004" s="54"/>
      <c r="K1004" s="88" t="s">
        <v>1231</v>
      </c>
      <c r="L1004" s="62" t="s">
        <v>332</v>
      </c>
      <c r="M1004" s="55" t="s">
        <v>349</v>
      </c>
      <c r="N1004" s="55">
        <v>44336</v>
      </c>
      <c r="O1004" s="12" t="s">
        <v>672</v>
      </c>
      <c r="P1004" s="62" t="s">
        <v>1724</v>
      </c>
      <c r="Q1004" s="35"/>
      <c r="R1004" s="35"/>
      <c r="S1004" s="33"/>
      <c r="T1004" s="33"/>
      <c r="U1004" s="21"/>
    </row>
    <row r="1005" spans="2:21" ht="28">
      <c r="B1005" s="232"/>
      <c r="C1005" s="232"/>
      <c r="D1005" s="255"/>
      <c r="E1005" s="255"/>
      <c r="F1005" s="262"/>
      <c r="G1005" s="262"/>
      <c r="H1005" s="21"/>
      <c r="I1005" s="21"/>
      <c r="J1005" s="54"/>
      <c r="K1005" s="88" t="s">
        <v>1232</v>
      </c>
      <c r="L1005" s="62" t="s">
        <v>332</v>
      </c>
      <c r="M1005" s="55" t="s">
        <v>349</v>
      </c>
      <c r="N1005" s="55">
        <v>44351</v>
      </c>
      <c r="O1005" s="12" t="s">
        <v>672</v>
      </c>
      <c r="P1005" s="62" t="s">
        <v>1766</v>
      </c>
      <c r="Q1005" s="35"/>
      <c r="R1005" s="35"/>
      <c r="S1005" s="33"/>
      <c r="T1005" s="33"/>
      <c r="U1005" s="21"/>
    </row>
    <row r="1006" spans="2:21" ht="28">
      <c r="B1006" s="232"/>
      <c r="C1006" s="232"/>
      <c r="D1006" s="255"/>
      <c r="E1006" s="255"/>
      <c r="F1006" s="262"/>
      <c r="G1006" s="262"/>
      <c r="H1006" s="21"/>
      <c r="I1006" s="21"/>
      <c r="J1006" s="54"/>
      <c r="K1006" s="88" t="s">
        <v>1396</v>
      </c>
      <c r="L1006" s="62" t="s">
        <v>332</v>
      </c>
      <c r="M1006" s="55" t="s">
        <v>349</v>
      </c>
      <c r="N1006" s="55">
        <v>44371</v>
      </c>
      <c r="O1006" s="12" t="s">
        <v>672</v>
      </c>
      <c r="P1006" s="62" t="s">
        <v>1863</v>
      </c>
      <c r="Q1006" s="35"/>
      <c r="R1006" s="35"/>
      <c r="S1006" s="33"/>
      <c r="T1006" s="33"/>
      <c r="U1006" s="21"/>
    </row>
    <row r="1007" spans="2:21" ht="28">
      <c r="B1007" s="232"/>
      <c r="C1007" s="232"/>
      <c r="D1007" s="255"/>
      <c r="E1007" s="255"/>
      <c r="F1007" s="262"/>
      <c r="G1007" s="262"/>
      <c r="H1007" s="21"/>
      <c r="I1007" s="21"/>
      <c r="J1007" s="54"/>
      <c r="K1007" s="88" t="s">
        <v>1695</v>
      </c>
      <c r="L1007" s="62" t="s">
        <v>332</v>
      </c>
      <c r="M1007" s="55" t="s">
        <v>349</v>
      </c>
      <c r="N1007" s="55">
        <v>44377</v>
      </c>
      <c r="O1007" s="12" t="s">
        <v>672</v>
      </c>
      <c r="P1007" s="62" t="s">
        <v>1928</v>
      </c>
      <c r="Q1007" s="35"/>
      <c r="R1007" s="35"/>
      <c r="S1007" s="33"/>
      <c r="T1007" s="33"/>
      <c r="U1007" s="21"/>
    </row>
    <row r="1008" spans="2:21" ht="28">
      <c r="B1008" s="232"/>
      <c r="C1008" s="232"/>
      <c r="D1008" s="255"/>
      <c r="E1008" s="255"/>
      <c r="F1008" s="262"/>
      <c r="G1008" s="262"/>
      <c r="H1008" s="21"/>
      <c r="I1008" s="21"/>
      <c r="J1008" s="54"/>
      <c r="K1008" s="88" t="s">
        <v>2097</v>
      </c>
      <c r="L1008" s="62" t="s">
        <v>332</v>
      </c>
      <c r="M1008" s="55" t="s">
        <v>349</v>
      </c>
      <c r="N1008" s="55">
        <v>44053</v>
      </c>
      <c r="O1008" s="12" t="s">
        <v>672</v>
      </c>
      <c r="P1008" s="62" t="s">
        <v>2094</v>
      </c>
      <c r="Q1008" s="35"/>
      <c r="R1008" s="35"/>
      <c r="S1008" s="33"/>
      <c r="T1008" s="33"/>
      <c r="U1008" s="21"/>
    </row>
    <row r="1009" spans="2:21" ht="28">
      <c r="B1009" s="232"/>
      <c r="C1009" s="232"/>
      <c r="D1009" s="255"/>
      <c r="E1009" s="255"/>
      <c r="F1009" s="262"/>
      <c r="G1009" s="262"/>
      <c r="H1009" s="21"/>
      <c r="I1009" s="21"/>
      <c r="J1009" s="54"/>
      <c r="K1009" s="88" t="s">
        <v>1767</v>
      </c>
      <c r="L1009" s="62" t="s">
        <v>332</v>
      </c>
      <c r="M1009" s="55" t="s">
        <v>349</v>
      </c>
      <c r="N1009" s="55">
        <v>44474</v>
      </c>
      <c r="O1009" s="12" t="s">
        <v>672</v>
      </c>
      <c r="P1009" s="62" t="s">
        <v>2332</v>
      </c>
      <c r="Q1009" s="35"/>
      <c r="R1009" s="35"/>
      <c r="S1009" s="33"/>
      <c r="T1009" s="33"/>
      <c r="U1009" s="21"/>
    </row>
    <row r="1010" spans="2:21" ht="28">
      <c r="B1010" s="232"/>
      <c r="C1010" s="232"/>
      <c r="D1010" s="255"/>
      <c r="E1010" s="255"/>
      <c r="F1010" s="262"/>
      <c r="G1010" s="262"/>
      <c r="H1010" s="21"/>
      <c r="I1010" s="21"/>
      <c r="J1010" s="54"/>
      <c r="K1010" s="88" t="s">
        <v>2260</v>
      </c>
      <c r="L1010" s="62" t="s">
        <v>332</v>
      </c>
      <c r="M1010" s="55" t="s">
        <v>349</v>
      </c>
      <c r="N1010" s="55">
        <v>44656</v>
      </c>
      <c r="O1010" s="12" t="s">
        <v>672</v>
      </c>
      <c r="P1010" s="62" t="s">
        <v>2840</v>
      </c>
      <c r="Q1010" s="35"/>
      <c r="R1010" s="35"/>
      <c r="S1010" s="33"/>
      <c r="T1010" s="33"/>
      <c r="U1010" s="21"/>
    </row>
    <row r="1011" spans="2:21" ht="28">
      <c r="B1011" s="232"/>
      <c r="C1011" s="232"/>
      <c r="D1011" s="255"/>
      <c r="E1011" s="255"/>
      <c r="F1011" s="262"/>
      <c r="G1011" s="262"/>
      <c r="H1011" s="21"/>
      <c r="I1011" s="21"/>
      <c r="J1011" s="54"/>
      <c r="K1011" s="88" t="s">
        <v>2334</v>
      </c>
      <c r="L1011" s="62" t="s">
        <v>332</v>
      </c>
      <c r="M1011" s="55" t="s">
        <v>349</v>
      </c>
      <c r="N1011" s="55">
        <v>44732</v>
      </c>
      <c r="O1011" s="12" t="s">
        <v>672</v>
      </c>
      <c r="P1011" s="62" t="s">
        <v>3020</v>
      </c>
      <c r="Q1011" s="35"/>
      <c r="R1011" s="35"/>
      <c r="S1011" s="33"/>
      <c r="T1011" s="33"/>
      <c r="U1011" s="21"/>
    </row>
    <row r="1012" spans="2:21" ht="14">
      <c r="B1012" s="232"/>
      <c r="C1012" s="232"/>
      <c r="D1012" s="255"/>
      <c r="E1012" s="255"/>
      <c r="F1012" s="262"/>
      <c r="G1012" s="262"/>
      <c r="H1012" s="21"/>
      <c r="I1012" s="21"/>
      <c r="J1012" s="54"/>
      <c r="K1012" s="88" t="s">
        <v>2370</v>
      </c>
      <c r="L1012" s="62" t="s">
        <v>332</v>
      </c>
      <c r="M1012" s="55" t="s">
        <v>349</v>
      </c>
      <c r="N1012" s="55">
        <v>44733</v>
      </c>
      <c r="O1012" s="12" t="s">
        <v>700</v>
      </c>
      <c r="P1012" s="62" t="s">
        <v>3105</v>
      </c>
      <c r="Q1012" s="35"/>
      <c r="R1012" s="35"/>
      <c r="S1012" s="33"/>
      <c r="T1012" s="33"/>
      <c r="U1012" s="21"/>
    </row>
    <row r="1013" spans="2:21" ht="28">
      <c r="B1013" s="232"/>
      <c r="C1013" s="232"/>
      <c r="D1013" s="255"/>
      <c r="E1013" s="255"/>
      <c r="F1013" s="262"/>
      <c r="G1013" s="262"/>
      <c r="H1013" s="21"/>
      <c r="I1013" s="21"/>
      <c r="J1013" s="54"/>
      <c r="K1013" s="88" t="s">
        <v>2842</v>
      </c>
      <c r="L1013" s="62" t="s">
        <v>332</v>
      </c>
      <c r="M1013" s="55" t="s">
        <v>349</v>
      </c>
      <c r="N1013" s="55">
        <v>44782</v>
      </c>
      <c r="O1013" s="12" t="s">
        <v>672</v>
      </c>
      <c r="P1013" s="62" t="s">
        <v>3185</v>
      </c>
      <c r="Q1013" s="35"/>
      <c r="R1013" s="35"/>
      <c r="S1013" s="33"/>
      <c r="T1013" s="33"/>
      <c r="U1013" s="21"/>
    </row>
    <row r="1014" spans="2:21" ht="28">
      <c r="B1014" s="232"/>
      <c r="C1014" s="232"/>
      <c r="D1014" s="255"/>
      <c r="E1014" s="255"/>
      <c r="F1014" s="262"/>
      <c r="G1014" s="262"/>
      <c r="H1014" s="21"/>
      <c r="I1014" s="21"/>
      <c r="J1014" s="54"/>
      <c r="K1014" s="88" t="s">
        <v>326</v>
      </c>
      <c r="L1014" s="62" t="s">
        <v>332</v>
      </c>
      <c r="M1014" s="55" t="s">
        <v>349</v>
      </c>
      <c r="N1014" s="55">
        <v>44858</v>
      </c>
      <c r="O1014" s="12" t="s">
        <v>672</v>
      </c>
      <c r="P1014" s="62" t="s">
        <v>3309</v>
      </c>
      <c r="Q1014" s="35"/>
      <c r="R1014" s="35"/>
      <c r="S1014" s="33"/>
      <c r="T1014" s="33"/>
      <c r="U1014" s="21"/>
    </row>
    <row r="1015" spans="2:21" ht="14">
      <c r="B1015" s="232"/>
      <c r="C1015" s="232"/>
      <c r="D1015" s="255"/>
      <c r="E1015" s="255"/>
      <c r="F1015" s="262"/>
      <c r="G1015" s="262"/>
      <c r="H1015" s="21"/>
      <c r="I1015" s="21"/>
      <c r="J1015" s="54"/>
      <c r="K1015" s="88" t="s">
        <v>3187</v>
      </c>
      <c r="L1015" s="62" t="s">
        <v>332</v>
      </c>
      <c r="M1015" s="55" t="s">
        <v>349</v>
      </c>
      <c r="N1015" s="55">
        <v>45058</v>
      </c>
      <c r="O1015" s="12" t="s">
        <v>700</v>
      </c>
      <c r="P1015" s="62" t="s">
        <v>3749</v>
      </c>
      <c r="Q1015" s="35"/>
      <c r="R1015" s="35"/>
      <c r="S1015" s="33"/>
      <c r="T1015" s="33"/>
      <c r="U1015" s="21"/>
    </row>
    <row r="1016" spans="2:21" ht="28">
      <c r="B1016" s="232"/>
      <c r="C1016" s="232"/>
      <c r="D1016" s="255"/>
      <c r="E1016" s="255"/>
      <c r="F1016" s="262"/>
      <c r="G1016" s="262"/>
      <c r="H1016" s="21"/>
      <c r="I1016" s="21"/>
      <c r="J1016" s="54"/>
      <c r="K1016" s="31" t="s">
        <v>4053</v>
      </c>
      <c r="L1016" s="62" t="s">
        <v>332</v>
      </c>
      <c r="M1016" s="55" t="s">
        <v>349</v>
      </c>
      <c r="N1016" s="55">
        <v>45219</v>
      </c>
      <c r="O1016" s="12" t="s">
        <v>672</v>
      </c>
      <c r="P1016" s="62" t="s">
        <v>4051</v>
      </c>
      <c r="Q1016" s="35"/>
      <c r="R1016" s="35"/>
      <c r="S1016" s="33"/>
      <c r="T1016" s="33"/>
      <c r="U1016" s="21"/>
    </row>
    <row r="1017" spans="2:21">
      <c r="B1017" s="232"/>
      <c r="C1017" s="232"/>
      <c r="D1017" s="255"/>
      <c r="E1017" s="255"/>
      <c r="F1017" s="262"/>
      <c r="G1017" s="262"/>
      <c r="H1017" s="21"/>
      <c r="I1017" s="21"/>
      <c r="J1017" s="33"/>
      <c r="K1017" s="35"/>
      <c r="L1017" s="35"/>
      <c r="M1017" s="33"/>
      <c r="N1017" s="35"/>
      <c r="O1017" s="35"/>
      <c r="P1017" s="35"/>
      <c r="Q1017" s="35"/>
      <c r="R1017" s="35"/>
      <c r="S1017" s="33"/>
      <c r="T1017" s="51"/>
      <c r="U1017" s="21"/>
    </row>
    <row r="1018" spans="2:21">
      <c r="B1018" s="232"/>
      <c r="C1018" s="232"/>
      <c r="D1018" s="255"/>
      <c r="E1018" s="255"/>
      <c r="F1018" s="262"/>
      <c r="G1018" s="262"/>
      <c r="H1018" s="61" t="s">
        <v>177</v>
      </c>
      <c r="I1018" s="61"/>
      <c r="J1018" s="54" t="s">
        <v>380</v>
      </c>
      <c r="K1018" s="62" t="s">
        <v>330</v>
      </c>
      <c r="L1018" s="62" t="s">
        <v>333</v>
      </c>
      <c r="M1018" s="55"/>
      <c r="N1018" s="55">
        <v>44165</v>
      </c>
      <c r="O1018" s="62" t="s">
        <v>673</v>
      </c>
      <c r="P1018" s="62" t="s">
        <v>679</v>
      </c>
      <c r="Q1018" s="35"/>
      <c r="R1018" s="35"/>
      <c r="S1018" s="33"/>
      <c r="T1018" s="51"/>
      <c r="U1018" s="21"/>
    </row>
    <row r="1019" spans="2:21">
      <c r="B1019" s="232"/>
      <c r="C1019" s="232"/>
      <c r="D1019" s="255"/>
      <c r="E1019" s="255"/>
      <c r="F1019" s="262"/>
      <c r="G1019" s="262"/>
      <c r="H1019" s="61"/>
      <c r="I1019" s="61"/>
      <c r="J1019" s="54"/>
      <c r="K1019" s="62"/>
      <c r="L1019" s="35" t="s">
        <v>332</v>
      </c>
      <c r="M1019" s="53">
        <v>44195</v>
      </c>
      <c r="N1019" s="53">
        <v>44194</v>
      </c>
      <c r="O1019" s="62" t="s">
        <v>673</v>
      </c>
      <c r="P1019" s="62" t="s">
        <v>853</v>
      </c>
      <c r="Q1019" s="35"/>
      <c r="R1019" s="35"/>
      <c r="S1019" s="33"/>
      <c r="T1019" s="33"/>
      <c r="U1019" s="21"/>
    </row>
    <row r="1020" spans="2:21">
      <c r="B1020" s="232"/>
      <c r="C1020" s="232"/>
      <c r="D1020" s="255"/>
      <c r="E1020" s="255"/>
      <c r="F1020" s="262"/>
      <c r="G1020" s="262"/>
      <c r="H1020" s="21"/>
      <c r="I1020" s="21"/>
      <c r="J1020" s="33"/>
      <c r="K1020" s="35" t="s">
        <v>1216</v>
      </c>
      <c r="L1020" s="35" t="s">
        <v>332</v>
      </c>
      <c r="M1020" s="53" t="s">
        <v>349</v>
      </c>
      <c r="N1020" s="53">
        <v>44263</v>
      </c>
      <c r="O1020" s="62" t="s">
        <v>673</v>
      </c>
      <c r="P1020" s="62" t="s">
        <v>1217</v>
      </c>
      <c r="Q1020" s="35"/>
      <c r="R1020" s="35"/>
      <c r="S1020" s="33"/>
      <c r="T1020" s="33"/>
      <c r="U1020" s="21"/>
    </row>
    <row r="1021" spans="2:21">
      <c r="B1021" s="232"/>
      <c r="C1021" s="232"/>
      <c r="D1021" s="255"/>
      <c r="E1021" s="255"/>
      <c r="F1021" s="262"/>
      <c r="G1021" s="262"/>
      <c r="H1021" s="21"/>
      <c r="I1021" s="21"/>
      <c r="J1021" s="33"/>
      <c r="K1021" s="35" t="s">
        <v>1694</v>
      </c>
      <c r="L1021" s="35" t="s">
        <v>332</v>
      </c>
      <c r="M1021" s="53" t="s">
        <v>349</v>
      </c>
      <c r="N1021" s="53">
        <v>44333</v>
      </c>
      <c r="O1021" s="62" t="s">
        <v>673</v>
      </c>
      <c r="P1021" s="62" t="s">
        <v>1692</v>
      </c>
      <c r="Q1021" s="35"/>
      <c r="R1021" s="35"/>
      <c r="S1021" s="33"/>
      <c r="T1021" s="33"/>
      <c r="U1021" s="21"/>
    </row>
    <row r="1022" spans="2:21">
      <c r="B1022" s="232"/>
      <c r="C1022" s="232"/>
      <c r="D1022" s="255"/>
      <c r="E1022" s="255"/>
      <c r="F1022" s="262"/>
      <c r="G1022" s="262"/>
      <c r="H1022" s="21"/>
      <c r="I1022" s="21"/>
      <c r="J1022" s="33"/>
      <c r="K1022" s="35" t="s">
        <v>1767</v>
      </c>
      <c r="L1022" s="35" t="s">
        <v>332</v>
      </c>
      <c r="M1022" s="53" t="s">
        <v>349</v>
      </c>
      <c r="N1022" s="53">
        <v>44351</v>
      </c>
      <c r="O1022" s="62" t="s">
        <v>673</v>
      </c>
      <c r="P1022" s="62" t="s">
        <v>1766</v>
      </c>
      <c r="Q1022" s="35"/>
      <c r="R1022" s="35"/>
      <c r="S1022" s="33"/>
      <c r="T1022" s="33"/>
      <c r="U1022" s="21"/>
    </row>
    <row r="1023" spans="2:21">
      <c r="B1023" s="232"/>
      <c r="C1023" s="232"/>
      <c r="D1023" s="255"/>
      <c r="E1023" s="255"/>
      <c r="F1023" s="262"/>
      <c r="G1023" s="262"/>
      <c r="H1023" s="21"/>
      <c r="I1023" s="21"/>
      <c r="J1023" s="33"/>
      <c r="K1023" s="35" t="s">
        <v>1869</v>
      </c>
      <c r="L1023" s="35" t="s">
        <v>332</v>
      </c>
      <c r="M1023" s="53" t="s">
        <v>349</v>
      </c>
      <c r="N1023" s="55">
        <v>44371</v>
      </c>
      <c r="O1023" s="62" t="s">
        <v>673</v>
      </c>
      <c r="P1023" s="62" t="s">
        <v>1863</v>
      </c>
      <c r="Q1023" s="35"/>
      <c r="R1023" s="35"/>
      <c r="S1023" s="33"/>
      <c r="T1023" s="33"/>
      <c r="U1023" s="21"/>
    </row>
    <row r="1024" spans="2:21">
      <c r="B1024" s="232"/>
      <c r="C1024" s="232"/>
      <c r="D1024" s="255"/>
      <c r="E1024" s="255"/>
      <c r="F1024" s="262"/>
      <c r="G1024" s="262"/>
      <c r="H1024" s="21"/>
      <c r="I1024" s="21"/>
      <c r="J1024" s="33"/>
      <c r="K1024" s="35" t="s">
        <v>2260</v>
      </c>
      <c r="L1024" s="35" t="s">
        <v>332</v>
      </c>
      <c r="M1024" s="53" t="s">
        <v>349</v>
      </c>
      <c r="N1024" s="55">
        <v>44418</v>
      </c>
      <c r="O1024" s="62" t="s">
        <v>673</v>
      </c>
      <c r="P1024" s="62" t="s">
        <v>2094</v>
      </c>
      <c r="Q1024" s="35"/>
      <c r="R1024" s="35"/>
      <c r="S1024" s="33"/>
      <c r="T1024" s="33"/>
      <c r="U1024" s="21"/>
    </row>
    <row r="1025" spans="2:21">
      <c r="B1025" s="232"/>
      <c r="C1025" s="232"/>
      <c r="D1025" s="255"/>
      <c r="E1025" s="255"/>
      <c r="F1025" s="262"/>
      <c r="G1025" s="262"/>
      <c r="H1025" s="21"/>
      <c r="I1025" s="21"/>
      <c r="J1025" s="33"/>
      <c r="K1025" s="35" t="s">
        <v>2261</v>
      </c>
      <c r="L1025" s="35" t="s">
        <v>332</v>
      </c>
      <c r="M1025" s="53" t="s">
        <v>349</v>
      </c>
      <c r="N1025" s="55">
        <v>44452</v>
      </c>
      <c r="O1025" s="62" t="s">
        <v>673</v>
      </c>
      <c r="P1025" s="62" t="s">
        <v>2255</v>
      </c>
      <c r="Q1025" s="35"/>
      <c r="R1025" s="35"/>
      <c r="S1025" s="33"/>
      <c r="T1025" s="33"/>
      <c r="U1025" s="21"/>
    </row>
    <row r="1026" spans="2:21">
      <c r="B1026" s="232"/>
      <c r="C1026" s="232"/>
      <c r="D1026" s="255"/>
      <c r="E1026" s="255"/>
      <c r="F1026" s="262"/>
      <c r="G1026" s="262"/>
      <c r="H1026" s="21"/>
      <c r="I1026" s="21"/>
      <c r="J1026" s="33"/>
      <c r="K1026" s="35" t="s">
        <v>2334</v>
      </c>
      <c r="L1026" s="35" t="s">
        <v>332</v>
      </c>
      <c r="M1026" s="53" t="s">
        <v>349</v>
      </c>
      <c r="N1026" s="55">
        <v>44474</v>
      </c>
      <c r="O1026" s="62" t="s">
        <v>673</v>
      </c>
      <c r="P1026" s="62" t="s">
        <v>2332</v>
      </c>
      <c r="Q1026" s="35"/>
      <c r="R1026" s="35"/>
      <c r="S1026" s="33"/>
      <c r="T1026" s="33"/>
      <c r="U1026" s="21"/>
    </row>
    <row r="1027" spans="2:21">
      <c r="B1027" s="232"/>
      <c r="C1027" s="232"/>
      <c r="D1027" s="255"/>
      <c r="E1027" s="255"/>
      <c r="F1027" s="262"/>
      <c r="G1027" s="262"/>
      <c r="H1027" s="21"/>
      <c r="I1027" s="21"/>
      <c r="J1027" s="33"/>
      <c r="K1027" s="35" t="s">
        <v>2842</v>
      </c>
      <c r="L1027" s="35" t="s">
        <v>332</v>
      </c>
      <c r="M1027" s="53" t="s">
        <v>349</v>
      </c>
      <c r="N1027" s="55">
        <v>44656</v>
      </c>
      <c r="O1027" s="62" t="s">
        <v>673</v>
      </c>
      <c r="P1027" s="62" t="s">
        <v>2840</v>
      </c>
      <c r="Q1027" s="35"/>
      <c r="R1027" s="35"/>
      <c r="S1027" s="33"/>
      <c r="T1027" s="33"/>
      <c r="U1027" s="21"/>
    </row>
    <row r="1028" spans="2:21">
      <c r="B1028" s="232"/>
      <c r="C1028" s="232"/>
      <c r="D1028" s="255"/>
      <c r="E1028" s="255"/>
      <c r="F1028" s="262"/>
      <c r="G1028" s="262"/>
      <c r="H1028" s="21"/>
      <c r="I1028" s="21"/>
      <c r="J1028" s="33"/>
      <c r="K1028" s="35" t="s">
        <v>3022</v>
      </c>
      <c r="L1028" s="35" t="s">
        <v>332</v>
      </c>
      <c r="M1028" s="53" t="s">
        <v>349</v>
      </c>
      <c r="N1028" s="55">
        <v>44732</v>
      </c>
      <c r="O1028" s="62" t="s">
        <v>673</v>
      </c>
      <c r="P1028" s="62" t="s">
        <v>3020</v>
      </c>
      <c r="Q1028" s="35"/>
      <c r="R1028" s="35"/>
      <c r="S1028" s="33"/>
      <c r="T1028" s="33"/>
      <c r="U1028" s="21"/>
    </row>
    <row r="1029" spans="2:21">
      <c r="B1029" s="232"/>
      <c r="C1029" s="232"/>
      <c r="D1029" s="255"/>
      <c r="E1029" s="255"/>
      <c r="F1029" s="262"/>
      <c r="G1029" s="262"/>
      <c r="H1029" s="21"/>
      <c r="I1029" s="21"/>
      <c r="J1029" s="33"/>
      <c r="K1029" s="35" t="s">
        <v>326</v>
      </c>
      <c r="L1029" s="35" t="s">
        <v>332</v>
      </c>
      <c r="M1029" s="53" t="s">
        <v>349</v>
      </c>
      <c r="N1029" s="55">
        <v>44782</v>
      </c>
      <c r="O1029" s="62" t="s">
        <v>673</v>
      </c>
      <c r="P1029" s="62" t="s">
        <v>3185</v>
      </c>
      <c r="Q1029" s="35"/>
      <c r="R1029" s="35"/>
      <c r="S1029" s="33"/>
      <c r="T1029" s="33"/>
      <c r="U1029" s="21"/>
    </row>
    <row r="1030" spans="2:21">
      <c r="B1030" s="232"/>
      <c r="C1030" s="232"/>
      <c r="D1030" s="255"/>
      <c r="E1030" s="255"/>
      <c r="F1030" s="262"/>
      <c r="G1030" s="262"/>
      <c r="H1030" s="21"/>
      <c r="I1030" s="21"/>
      <c r="J1030" s="33"/>
      <c r="K1030" s="35" t="s">
        <v>3187</v>
      </c>
      <c r="L1030" s="35" t="s">
        <v>332</v>
      </c>
      <c r="M1030" s="53" t="s">
        <v>349</v>
      </c>
      <c r="N1030" s="55">
        <v>45058</v>
      </c>
      <c r="O1030" s="62" t="s">
        <v>673</v>
      </c>
      <c r="P1030" s="62" t="s">
        <v>3749</v>
      </c>
      <c r="Q1030" s="35"/>
      <c r="R1030" s="35"/>
      <c r="S1030" s="33"/>
      <c r="T1030" s="51"/>
      <c r="U1030" s="21"/>
    </row>
    <row r="1031" spans="2:21">
      <c r="B1031" s="232"/>
      <c r="C1031" s="232"/>
      <c r="D1031" s="255"/>
      <c r="E1031" s="255"/>
      <c r="F1031" s="262"/>
      <c r="G1031" s="262"/>
      <c r="H1031" s="21"/>
      <c r="I1031" s="21"/>
      <c r="J1031" s="33"/>
      <c r="K1031" s="35" t="s">
        <v>4054</v>
      </c>
      <c r="L1031" s="35" t="s">
        <v>332</v>
      </c>
      <c r="M1031" s="53" t="s">
        <v>349</v>
      </c>
      <c r="N1031" s="55">
        <v>45219</v>
      </c>
      <c r="O1031" s="62" t="s">
        <v>673</v>
      </c>
      <c r="P1031" s="62" t="s">
        <v>4051</v>
      </c>
      <c r="Q1031" s="35"/>
      <c r="R1031" s="35"/>
      <c r="S1031" s="33"/>
      <c r="T1031" s="51"/>
      <c r="U1031" s="21"/>
    </row>
    <row r="1032" spans="2:21">
      <c r="B1032" s="232"/>
      <c r="C1032" s="232"/>
      <c r="D1032" s="255"/>
      <c r="E1032" s="255"/>
      <c r="F1032" s="262"/>
      <c r="G1032" s="262"/>
      <c r="H1032" s="21"/>
      <c r="I1032" s="21"/>
      <c r="J1032" s="33"/>
      <c r="K1032" s="35" t="s">
        <v>4249</v>
      </c>
      <c r="L1032" s="35" t="s">
        <v>332</v>
      </c>
      <c r="M1032" s="53" t="s">
        <v>349</v>
      </c>
      <c r="N1032" s="55">
        <v>44966</v>
      </c>
      <c r="O1032" s="62" t="s">
        <v>673</v>
      </c>
      <c r="P1032" s="62" t="s">
        <v>4248</v>
      </c>
      <c r="Q1032" s="35"/>
      <c r="R1032" s="35"/>
      <c r="S1032" s="33"/>
      <c r="T1032" s="51"/>
      <c r="U1032" s="21"/>
    </row>
    <row r="1033" spans="2:21">
      <c r="B1033" s="232"/>
      <c r="C1033" s="232"/>
      <c r="D1033" s="255"/>
      <c r="E1033" s="255"/>
      <c r="F1033" s="262"/>
      <c r="G1033" s="262"/>
      <c r="H1033" s="21"/>
      <c r="I1033" s="21"/>
      <c r="J1033" s="33"/>
      <c r="K1033" s="35"/>
      <c r="L1033" s="35"/>
      <c r="M1033" s="53"/>
      <c r="N1033" s="55"/>
      <c r="O1033" s="62"/>
      <c r="P1033" s="62"/>
      <c r="Q1033" s="35"/>
      <c r="R1033" s="35"/>
      <c r="S1033" s="33"/>
      <c r="T1033" s="51"/>
      <c r="U1033" s="21"/>
    </row>
    <row r="1034" spans="2:21">
      <c r="B1034" s="232"/>
      <c r="C1034" s="232"/>
      <c r="D1034" s="255"/>
      <c r="E1034" s="255"/>
      <c r="F1034" s="262"/>
      <c r="G1034" s="262"/>
      <c r="H1034" s="61" t="s">
        <v>181</v>
      </c>
      <c r="I1034" s="61"/>
      <c r="J1034" s="54" t="s">
        <v>382</v>
      </c>
      <c r="K1034" s="62" t="s">
        <v>330</v>
      </c>
      <c r="L1034" s="62" t="s">
        <v>333</v>
      </c>
      <c r="M1034" s="55"/>
      <c r="N1034" s="55">
        <v>44165</v>
      </c>
      <c r="O1034" s="62" t="s">
        <v>674</v>
      </c>
      <c r="P1034" s="62" t="s">
        <v>679</v>
      </c>
      <c r="Q1034" s="35"/>
      <c r="R1034" s="35"/>
      <c r="S1034" s="33"/>
      <c r="T1034" s="51"/>
      <c r="U1034" s="21"/>
    </row>
    <row r="1035" spans="2:21">
      <c r="B1035" s="232"/>
      <c r="C1035" s="232"/>
      <c r="D1035" s="255"/>
      <c r="E1035" s="255"/>
      <c r="F1035" s="262"/>
      <c r="G1035" s="262"/>
      <c r="H1035" s="61"/>
      <c r="I1035" s="61"/>
      <c r="J1035" s="54"/>
      <c r="K1035" s="62"/>
      <c r="L1035" s="35" t="s">
        <v>332</v>
      </c>
      <c r="M1035" s="53">
        <v>44195</v>
      </c>
      <c r="N1035" s="53">
        <v>44194</v>
      </c>
      <c r="O1035" s="62" t="s">
        <v>674</v>
      </c>
      <c r="P1035" s="62" t="s">
        <v>853</v>
      </c>
      <c r="Q1035" s="35"/>
      <c r="R1035" s="35"/>
      <c r="S1035" s="33"/>
      <c r="T1035" s="33"/>
      <c r="U1035" s="21"/>
    </row>
    <row r="1036" spans="2:21">
      <c r="B1036" s="232"/>
      <c r="C1036" s="232"/>
      <c r="D1036" s="255"/>
      <c r="E1036" s="255"/>
      <c r="F1036" s="262"/>
      <c r="G1036" s="262"/>
      <c r="H1036" s="21"/>
      <c r="I1036" s="21"/>
      <c r="J1036" s="33"/>
      <c r="K1036" s="35" t="s">
        <v>1216</v>
      </c>
      <c r="L1036" s="35" t="s">
        <v>332</v>
      </c>
      <c r="M1036" s="53" t="s">
        <v>349</v>
      </c>
      <c r="N1036" s="53">
        <v>44263</v>
      </c>
      <c r="O1036" s="62" t="s">
        <v>674</v>
      </c>
      <c r="P1036" s="62" t="s">
        <v>1217</v>
      </c>
      <c r="Q1036" s="35"/>
      <c r="R1036" s="35"/>
      <c r="S1036" s="33"/>
      <c r="T1036" s="33"/>
      <c r="U1036" s="21"/>
    </row>
    <row r="1037" spans="2:21">
      <c r="B1037" s="232"/>
      <c r="C1037" s="232"/>
      <c r="D1037" s="255"/>
      <c r="E1037" s="255"/>
      <c r="F1037" s="262"/>
      <c r="G1037" s="262"/>
      <c r="H1037" s="21"/>
      <c r="I1037" s="21"/>
      <c r="J1037" s="33"/>
      <c r="K1037" s="35" t="s">
        <v>1230</v>
      </c>
      <c r="L1037" s="35" t="s">
        <v>332</v>
      </c>
      <c r="M1037" s="53" t="s">
        <v>349</v>
      </c>
      <c r="N1037" s="53">
        <v>44334</v>
      </c>
      <c r="O1037" s="62" t="s">
        <v>674</v>
      </c>
      <c r="P1037" s="62" t="s">
        <v>1707</v>
      </c>
      <c r="Q1037" s="35"/>
      <c r="R1037" s="35"/>
      <c r="S1037" s="33"/>
      <c r="T1037" s="33"/>
      <c r="U1037" s="21"/>
    </row>
    <row r="1038" spans="2:21">
      <c r="B1038" s="232"/>
      <c r="C1038" s="232"/>
      <c r="D1038" s="255"/>
      <c r="E1038" s="255"/>
      <c r="F1038" s="262"/>
      <c r="G1038" s="262"/>
      <c r="H1038" s="21"/>
      <c r="I1038" s="21"/>
      <c r="J1038" s="33"/>
      <c r="K1038" s="35" t="s">
        <v>1231</v>
      </c>
      <c r="L1038" s="35" t="s">
        <v>332</v>
      </c>
      <c r="M1038" s="53" t="s">
        <v>349</v>
      </c>
      <c r="N1038" s="53">
        <v>44351</v>
      </c>
      <c r="O1038" s="62" t="s">
        <v>674</v>
      </c>
      <c r="P1038" s="62" t="s">
        <v>1766</v>
      </c>
      <c r="Q1038" s="35"/>
      <c r="R1038" s="35"/>
      <c r="S1038" s="33"/>
      <c r="T1038" s="33"/>
      <c r="U1038" s="21"/>
    </row>
    <row r="1039" spans="2:21">
      <c r="B1039" s="232"/>
      <c r="C1039" s="232"/>
      <c r="D1039" s="255"/>
      <c r="E1039" s="255"/>
      <c r="F1039" s="262"/>
      <c r="G1039" s="262"/>
      <c r="H1039" s="21"/>
      <c r="I1039" s="21"/>
      <c r="J1039" s="33"/>
      <c r="K1039" s="35" t="s">
        <v>1232</v>
      </c>
      <c r="L1039" s="35" t="s">
        <v>332</v>
      </c>
      <c r="M1039" s="53" t="s">
        <v>349</v>
      </c>
      <c r="N1039" s="55">
        <v>44371</v>
      </c>
      <c r="O1039" s="62" t="s">
        <v>674</v>
      </c>
      <c r="P1039" s="62" t="s">
        <v>1863</v>
      </c>
      <c r="Q1039" s="35"/>
      <c r="R1039" s="35"/>
      <c r="S1039" s="33"/>
      <c r="T1039" s="33"/>
      <c r="U1039" s="21"/>
    </row>
    <row r="1040" spans="2:21">
      <c r="B1040" s="232"/>
      <c r="C1040" s="232"/>
      <c r="D1040" s="255"/>
      <c r="E1040" s="255"/>
      <c r="F1040" s="262"/>
      <c r="G1040" s="262"/>
      <c r="H1040" s="21"/>
      <c r="I1040" s="21"/>
      <c r="J1040" s="33"/>
      <c r="K1040" s="35" t="s">
        <v>1870</v>
      </c>
      <c r="L1040" s="35" t="s">
        <v>332</v>
      </c>
      <c r="M1040" s="53" t="s">
        <v>349</v>
      </c>
      <c r="N1040" s="55">
        <v>44418</v>
      </c>
      <c r="O1040" s="62" t="s">
        <v>674</v>
      </c>
      <c r="P1040" s="62" t="s">
        <v>2094</v>
      </c>
      <c r="Q1040" s="35"/>
      <c r="R1040" s="35"/>
      <c r="S1040" s="33"/>
      <c r="T1040" s="33"/>
      <c r="U1040" s="21"/>
    </row>
    <row r="1041" spans="2:21">
      <c r="B1041" s="232"/>
      <c r="C1041" s="232"/>
      <c r="D1041" s="255"/>
      <c r="E1041" s="255"/>
      <c r="F1041" s="262"/>
      <c r="G1041" s="262"/>
      <c r="H1041" s="21"/>
      <c r="I1041" s="21"/>
      <c r="J1041" s="33"/>
      <c r="K1041" s="35" t="s">
        <v>2335</v>
      </c>
      <c r="L1041" s="35" t="s">
        <v>332</v>
      </c>
      <c r="M1041" s="53" t="s">
        <v>349</v>
      </c>
      <c r="N1041" s="55">
        <v>44474</v>
      </c>
      <c r="O1041" s="62" t="s">
        <v>674</v>
      </c>
      <c r="P1041" s="62" t="s">
        <v>2332</v>
      </c>
      <c r="Q1041" s="35"/>
      <c r="R1041" s="35"/>
      <c r="S1041" s="33"/>
      <c r="T1041" s="33"/>
      <c r="U1041" s="21"/>
    </row>
    <row r="1042" spans="2:21">
      <c r="B1042" s="232"/>
      <c r="C1042" s="232"/>
      <c r="D1042" s="255"/>
      <c r="E1042" s="255"/>
      <c r="F1042" s="262"/>
      <c r="G1042" s="262"/>
      <c r="H1042" s="21"/>
      <c r="I1042" s="21"/>
      <c r="J1042" s="33"/>
      <c r="K1042" s="35" t="s">
        <v>2336</v>
      </c>
      <c r="L1042" s="35" t="s">
        <v>332</v>
      </c>
      <c r="M1042" s="53" t="s">
        <v>349</v>
      </c>
      <c r="N1042" s="55">
        <v>44656</v>
      </c>
      <c r="O1042" s="62" t="s">
        <v>674</v>
      </c>
      <c r="P1042" s="62" t="s">
        <v>2840</v>
      </c>
      <c r="Q1042" s="35"/>
      <c r="R1042" s="35"/>
      <c r="S1042" s="33"/>
      <c r="T1042" s="33"/>
      <c r="U1042" s="21"/>
    </row>
    <row r="1043" spans="2:21">
      <c r="B1043" s="232"/>
      <c r="C1043" s="232"/>
      <c r="D1043" s="255"/>
      <c r="E1043" s="255"/>
      <c r="F1043" s="262"/>
      <c r="G1043" s="262"/>
      <c r="H1043" s="21"/>
      <c r="I1043" s="21"/>
      <c r="J1043" s="33"/>
      <c r="K1043" s="35" t="s">
        <v>2334</v>
      </c>
      <c r="L1043" s="35" t="s">
        <v>332</v>
      </c>
      <c r="M1043" s="53" t="s">
        <v>349</v>
      </c>
      <c r="N1043" s="55">
        <v>44732</v>
      </c>
      <c r="O1043" s="62" t="s">
        <v>674</v>
      </c>
      <c r="P1043" s="62" t="s">
        <v>3020</v>
      </c>
      <c r="Q1043" s="35"/>
      <c r="R1043" s="35"/>
      <c r="S1043" s="33"/>
      <c r="T1043" s="33"/>
      <c r="U1043" s="21"/>
    </row>
    <row r="1044" spans="2:21">
      <c r="B1044" s="232"/>
      <c r="C1044" s="232"/>
      <c r="D1044" s="255"/>
      <c r="E1044" s="255"/>
      <c r="F1044" s="262"/>
      <c r="G1044" s="262"/>
      <c r="H1044" s="21"/>
      <c r="I1044" s="21"/>
      <c r="J1044" s="33"/>
      <c r="K1044" s="35" t="s">
        <v>2842</v>
      </c>
      <c r="L1044" s="35" t="s">
        <v>332</v>
      </c>
      <c r="M1044" s="53" t="s">
        <v>349</v>
      </c>
      <c r="N1044" s="55">
        <v>44782</v>
      </c>
      <c r="O1044" s="62" t="s">
        <v>674</v>
      </c>
      <c r="P1044" s="62" t="s">
        <v>3185</v>
      </c>
      <c r="Q1044" s="35"/>
      <c r="R1044" s="35"/>
      <c r="S1044" s="33"/>
      <c r="T1044" s="33"/>
      <c r="U1044" s="21"/>
    </row>
    <row r="1045" spans="2:21">
      <c r="B1045" s="232"/>
      <c r="C1045" s="232"/>
      <c r="D1045" s="255"/>
      <c r="E1045" s="255"/>
      <c r="F1045" s="262"/>
      <c r="G1045" s="262"/>
      <c r="H1045" s="21"/>
      <c r="I1045" s="21"/>
      <c r="J1045" s="33"/>
      <c r="K1045" s="35" t="s">
        <v>3022</v>
      </c>
      <c r="L1045" s="35" t="s">
        <v>332</v>
      </c>
      <c r="M1045" s="53" t="s">
        <v>349</v>
      </c>
      <c r="N1045" s="55">
        <v>44858</v>
      </c>
      <c r="O1045" s="62" t="s">
        <v>674</v>
      </c>
      <c r="P1045" s="62" t="s">
        <v>3309</v>
      </c>
      <c r="Q1045" s="35"/>
      <c r="R1045" s="35"/>
      <c r="S1045" s="33"/>
      <c r="T1045" s="33"/>
      <c r="U1045" s="21"/>
    </row>
    <row r="1046" spans="2:21">
      <c r="B1046" s="232"/>
      <c r="C1046" s="232"/>
      <c r="D1046" s="255"/>
      <c r="E1046" s="255"/>
      <c r="F1046" s="262"/>
      <c r="G1046" s="262"/>
      <c r="H1046" s="21"/>
      <c r="I1046" s="21"/>
      <c r="J1046" s="33"/>
      <c r="K1046" s="35" t="s">
        <v>326</v>
      </c>
      <c r="L1046" s="35" t="s">
        <v>332</v>
      </c>
      <c r="M1046" s="53" t="s">
        <v>349</v>
      </c>
      <c r="N1046" s="55">
        <v>45058</v>
      </c>
      <c r="O1046" s="62" t="s">
        <v>674</v>
      </c>
      <c r="P1046" s="62" t="s">
        <v>3749</v>
      </c>
      <c r="Q1046" s="35"/>
      <c r="R1046" s="35"/>
      <c r="S1046" s="33"/>
      <c r="T1046" s="33"/>
      <c r="U1046" s="21"/>
    </row>
    <row r="1047" spans="2:21">
      <c r="B1047" s="232"/>
      <c r="C1047" s="232"/>
      <c r="D1047" s="255"/>
      <c r="E1047" s="255"/>
      <c r="F1047" s="262"/>
      <c r="G1047" s="262"/>
      <c r="H1047" s="21"/>
      <c r="I1047" s="21"/>
      <c r="J1047" s="33"/>
      <c r="K1047" s="35" t="s">
        <v>3310</v>
      </c>
      <c r="L1047" s="35" t="s">
        <v>332</v>
      </c>
      <c r="M1047" s="53" t="s">
        <v>349</v>
      </c>
      <c r="N1047" s="55">
        <v>45219</v>
      </c>
      <c r="O1047" s="62" t="s">
        <v>674</v>
      </c>
      <c r="P1047" s="62" t="s">
        <v>4051</v>
      </c>
      <c r="Q1047" s="35"/>
      <c r="R1047" s="35"/>
      <c r="S1047" s="33"/>
      <c r="T1047" s="33"/>
      <c r="U1047" s="21"/>
    </row>
    <row r="1048" spans="2:21">
      <c r="B1048" s="232"/>
      <c r="C1048" s="232"/>
      <c r="D1048" s="255"/>
      <c r="E1048" s="255"/>
      <c r="F1048" s="262"/>
      <c r="G1048" s="262"/>
      <c r="H1048" s="21"/>
      <c r="I1048" s="21"/>
      <c r="J1048" s="33"/>
      <c r="K1048" s="35"/>
      <c r="L1048" s="35"/>
      <c r="M1048" s="53"/>
      <c r="N1048" s="53"/>
      <c r="O1048" s="35"/>
      <c r="P1048" s="35"/>
      <c r="Q1048" s="35"/>
      <c r="R1048" s="35"/>
      <c r="S1048" s="33"/>
      <c r="T1048" s="33"/>
      <c r="U1048" s="21"/>
    </row>
    <row r="1049" spans="2:21">
      <c r="B1049" s="232"/>
      <c r="C1049" s="232"/>
      <c r="D1049" s="255"/>
      <c r="E1049" s="255"/>
      <c r="F1049" s="262"/>
      <c r="G1049" s="262"/>
      <c r="H1049" s="21" t="s">
        <v>183</v>
      </c>
      <c r="I1049" s="21"/>
      <c r="J1049" s="33" t="s">
        <v>383</v>
      </c>
      <c r="K1049" s="35"/>
      <c r="L1049" s="35" t="s">
        <v>332</v>
      </c>
      <c r="M1049" s="53"/>
      <c r="N1049" s="53">
        <v>44074</v>
      </c>
      <c r="O1049" s="35" t="s">
        <v>389</v>
      </c>
      <c r="P1049" s="35" t="s">
        <v>381</v>
      </c>
      <c r="Q1049" s="35"/>
      <c r="R1049" s="35"/>
      <c r="S1049" s="33"/>
      <c r="T1049" s="33"/>
      <c r="U1049" s="21"/>
    </row>
    <row r="1050" spans="2:21">
      <c r="B1050" s="232"/>
      <c r="C1050" s="232"/>
      <c r="D1050" s="255"/>
      <c r="E1050" s="255"/>
      <c r="F1050" s="262"/>
      <c r="G1050" s="262"/>
      <c r="H1050" s="21"/>
      <c r="I1050" s="21"/>
      <c r="J1050" s="33"/>
      <c r="K1050" s="35" t="s">
        <v>330</v>
      </c>
      <c r="L1050" s="35" t="s">
        <v>333</v>
      </c>
      <c r="M1050" s="53"/>
      <c r="N1050" s="53">
        <v>44165</v>
      </c>
      <c r="O1050" s="35" t="s">
        <v>676</v>
      </c>
      <c r="P1050" s="35" t="s">
        <v>679</v>
      </c>
      <c r="Q1050" s="35"/>
      <c r="R1050" s="35"/>
      <c r="S1050" s="33"/>
      <c r="T1050" s="33"/>
      <c r="U1050" s="21"/>
    </row>
    <row r="1051" spans="2:21">
      <c r="B1051" s="232"/>
      <c r="C1051" s="232"/>
      <c r="D1051" s="255"/>
      <c r="E1051" s="255"/>
      <c r="F1051" s="262"/>
      <c r="G1051" s="262"/>
      <c r="H1051" s="21"/>
      <c r="I1051" s="21"/>
      <c r="J1051" s="33"/>
      <c r="K1051" s="35" t="s">
        <v>758</v>
      </c>
      <c r="L1051" s="35" t="s">
        <v>332</v>
      </c>
      <c r="M1051" s="53" t="s">
        <v>349</v>
      </c>
      <c r="N1051" s="53">
        <v>44187</v>
      </c>
      <c r="O1051" s="35" t="s">
        <v>676</v>
      </c>
      <c r="P1051" s="35" t="s">
        <v>847</v>
      </c>
      <c r="Q1051" s="35"/>
      <c r="R1051" s="35"/>
      <c r="S1051" s="33"/>
      <c r="T1051" s="33"/>
      <c r="U1051" s="21"/>
    </row>
    <row r="1052" spans="2:21">
      <c r="B1052" s="232"/>
      <c r="C1052" s="232"/>
      <c r="D1052" s="255"/>
      <c r="E1052" s="255"/>
      <c r="F1052" s="262"/>
      <c r="G1052" s="262"/>
      <c r="H1052" s="21"/>
      <c r="I1052" s="21"/>
      <c r="J1052" s="33"/>
      <c r="K1052" s="35" t="s">
        <v>1216</v>
      </c>
      <c r="L1052" s="35" t="s">
        <v>332</v>
      </c>
      <c r="M1052" s="55" t="s">
        <v>349</v>
      </c>
      <c r="N1052" s="53">
        <v>44263</v>
      </c>
      <c r="O1052" s="35" t="s">
        <v>676</v>
      </c>
      <c r="P1052" s="62" t="s">
        <v>1217</v>
      </c>
      <c r="Q1052" s="35"/>
      <c r="R1052" s="35"/>
      <c r="S1052" s="33"/>
      <c r="T1052" s="33"/>
      <c r="U1052" s="21"/>
    </row>
    <row r="1053" spans="2:21">
      <c r="B1053" s="232"/>
      <c r="C1053" s="232"/>
      <c r="D1053" s="255"/>
      <c r="E1053" s="255"/>
      <c r="F1053" s="262"/>
      <c r="G1053" s="262"/>
      <c r="H1053" s="21"/>
      <c r="I1053" s="21"/>
      <c r="J1053" s="33"/>
      <c r="K1053" s="35" t="s">
        <v>1230</v>
      </c>
      <c r="L1053" s="35" t="s">
        <v>332</v>
      </c>
      <c r="M1053" s="55" t="s">
        <v>349</v>
      </c>
      <c r="N1053" s="53">
        <v>44333</v>
      </c>
      <c r="O1053" s="35" t="s">
        <v>676</v>
      </c>
      <c r="P1053" s="62" t="s">
        <v>1692</v>
      </c>
      <c r="Q1053" s="35"/>
      <c r="R1053" s="35"/>
      <c r="S1053" s="33"/>
      <c r="T1053" s="33"/>
      <c r="U1053" s="21"/>
    </row>
    <row r="1054" spans="2:21">
      <c r="B1054" s="232"/>
      <c r="C1054" s="232"/>
      <c r="D1054" s="255"/>
      <c r="E1054" s="255"/>
      <c r="F1054" s="262"/>
      <c r="G1054" s="262"/>
      <c r="H1054" s="21"/>
      <c r="I1054" s="21"/>
      <c r="J1054" s="33"/>
      <c r="K1054" s="35" t="s">
        <v>1231</v>
      </c>
      <c r="L1054" s="35" t="s">
        <v>332</v>
      </c>
      <c r="M1054" s="55" t="s">
        <v>349</v>
      </c>
      <c r="N1054" s="53">
        <v>44351</v>
      </c>
      <c r="O1054" s="35" t="s">
        <v>676</v>
      </c>
      <c r="P1054" s="62" t="s">
        <v>1766</v>
      </c>
      <c r="Q1054" s="35"/>
      <c r="R1054" s="35"/>
      <c r="S1054" s="33"/>
      <c r="T1054" s="33"/>
      <c r="U1054" s="21"/>
    </row>
    <row r="1055" spans="2:21">
      <c r="B1055" s="232"/>
      <c r="C1055" s="232"/>
      <c r="D1055" s="255"/>
      <c r="E1055" s="255"/>
      <c r="F1055" s="262"/>
      <c r="G1055" s="262"/>
      <c r="H1055" s="21"/>
      <c r="I1055" s="21"/>
      <c r="J1055" s="33"/>
      <c r="K1055" s="35" t="s">
        <v>1232</v>
      </c>
      <c r="L1055" s="35" t="s">
        <v>332</v>
      </c>
      <c r="M1055" s="55" t="s">
        <v>349</v>
      </c>
      <c r="N1055" s="55">
        <v>44371</v>
      </c>
      <c r="O1055" s="35" t="s">
        <v>676</v>
      </c>
      <c r="P1055" s="62" t="s">
        <v>1863</v>
      </c>
      <c r="Q1055" s="35"/>
      <c r="R1055" s="35"/>
      <c r="S1055" s="33"/>
      <c r="T1055" s="33"/>
      <c r="U1055" s="21"/>
    </row>
    <row r="1056" spans="2:21">
      <c r="B1056" s="232"/>
      <c r="C1056" s="232"/>
      <c r="D1056" s="255"/>
      <c r="E1056" s="255"/>
      <c r="F1056" s="262"/>
      <c r="G1056" s="262"/>
      <c r="H1056" s="21"/>
      <c r="I1056" s="21"/>
      <c r="J1056" s="33"/>
      <c r="K1056" s="35" t="s">
        <v>1396</v>
      </c>
      <c r="L1056" s="35" t="s">
        <v>332</v>
      </c>
      <c r="M1056" s="55" t="s">
        <v>349</v>
      </c>
      <c r="N1056" s="55">
        <v>44438</v>
      </c>
      <c r="O1056" s="35" t="s">
        <v>676</v>
      </c>
      <c r="P1056" s="62" t="s">
        <v>2207</v>
      </c>
      <c r="Q1056" s="35"/>
      <c r="R1056" s="35"/>
      <c r="S1056" s="33"/>
      <c r="T1056" s="33"/>
      <c r="U1056" s="21"/>
    </row>
    <row r="1057" spans="2:21">
      <c r="B1057" s="232"/>
      <c r="C1057" s="232"/>
      <c r="D1057" s="255"/>
      <c r="E1057" s="255"/>
      <c r="F1057" s="262"/>
      <c r="G1057" s="262"/>
      <c r="H1057" s="21"/>
      <c r="I1057" s="21"/>
      <c r="J1057" s="33"/>
      <c r="K1057" s="35" t="s">
        <v>2098</v>
      </c>
      <c r="L1057" s="35" t="s">
        <v>332</v>
      </c>
      <c r="M1057" s="55" t="s">
        <v>349</v>
      </c>
      <c r="N1057" s="55">
        <v>44656</v>
      </c>
      <c r="O1057" s="35" t="s">
        <v>676</v>
      </c>
      <c r="P1057" s="62" t="s">
        <v>2840</v>
      </c>
      <c r="Q1057" s="35"/>
      <c r="R1057" s="35"/>
      <c r="S1057" s="33"/>
      <c r="T1057" s="33"/>
      <c r="U1057" s="21"/>
    </row>
    <row r="1058" spans="2:21">
      <c r="B1058" s="232"/>
      <c r="C1058" s="232"/>
      <c r="D1058" s="255"/>
      <c r="E1058" s="255"/>
      <c r="F1058" s="262"/>
      <c r="G1058" s="262"/>
      <c r="H1058" s="21"/>
      <c r="I1058" s="21"/>
      <c r="J1058" s="33"/>
      <c r="K1058" s="35" t="s">
        <v>1694</v>
      </c>
      <c r="L1058" s="35" t="s">
        <v>332</v>
      </c>
      <c r="M1058" s="55" t="s">
        <v>349</v>
      </c>
      <c r="N1058" s="55">
        <v>44701</v>
      </c>
      <c r="O1058" s="35" t="s">
        <v>676</v>
      </c>
      <c r="P1058" s="62" t="s">
        <v>2929</v>
      </c>
      <c r="Q1058" s="35"/>
      <c r="R1058" s="35"/>
      <c r="S1058" s="33"/>
      <c r="T1058" s="33"/>
      <c r="U1058" s="21"/>
    </row>
    <row r="1059" spans="2:21">
      <c r="B1059" s="232"/>
      <c r="C1059" s="232"/>
      <c r="D1059" s="255"/>
      <c r="E1059" s="255"/>
      <c r="F1059" s="262"/>
      <c r="G1059" s="262"/>
      <c r="H1059" s="21"/>
      <c r="I1059" s="21"/>
      <c r="J1059" s="33"/>
      <c r="K1059" s="35" t="s">
        <v>2097</v>
      </c>
      <c r="L1059" s="35" t="s">
        <v>332</v>
      </c>
      <c r="M1059" s="55" t="s">
        <v>349</v>
      </c>
      <c r="N1059" s="55">
        <v>44732</v>
      </c>
      <c r="O1059" s="35" t="s">
        <v>676</v>
      </c>
      <c r="P1059" s="62" t="s">
        <v>3020</v>
      </c>
      <c r="Q1059" s="35"/>
      <c r="R1059" s="35"/>
      <c r="S1059" s="33"/>
      <c r="T1059" s="33"/>
      <c r="U1059" s="21"/>
    </row>
    <row r="1060" spans="2:21">
      <c r="B1060" s="232"/>
      <c r="C1060" s="232"/>
      <c r="D1060" s="255"/>
      <c r="E1060" s="255"/>
      <c r="F1060" s="262"/>
      <c r="G1060" s="262"/>
      <c r="H1060" s="21"/>
      <c r="I1060" s="21"/>
      <c r="J1060" s="33"/>
      <c r="K1060" s="35" t="s">
        <v>1767</v>
      </c>
      <c r="L1060" s="35" t="s">
        <v>332</v>
      </c>
      <c r="M1060" s="55" t="s">
        <v>349</v>
      </c>
      <c r="N1060" s="55">
        <v>44782</v>
      </c>
      <c r="O1060" s="35" t="s">
        <v>676</v>
      </c>
      <c r="P1060" s="62" t="s">
        <v>3185</v>
      </c>
      <c r="Q1060" s="35"/>
      <c r="R1060" s="35"/>
      <c r="S1060" s="33"/>
      <c r="T1060" s="33"/>
      <c r="U1060" s="21"/>
    </row>
    <row r="1061" spans="2:21">
      <c r="B1061" s="232"/>
      <c r="C1061" s="232"/>
      <c r="D1061" s="255"/>
      <c r="E1061" s="255"/>
      <c r="F1061" s="262"/>
      <c r="G1061" s="262"/>
      <c r="H1061" s="21"/>
      <c r="I1061" s="21"/>
      <c r="J1061" s="33"/>
      <c r="K1061" s="35" t="s">
        <v>2335</v>
      </c>
      <c r="L1061" s="35" t="s">
        <v>332</v>
      </c>
      <c r="M1061" s="55" t="s">
        <v>349</v>
      </c>
      <c r="N1061" s="55">
        <v>44858</v>
      </c>
      <c r="O1061" s="35" t="s">
        <v>676</v>
      </c>
      <c r="P1061" s="62" t="s">
        <v>3309</v>
      </c>
      <c r="Q1061" s="35"/>
      <c r="R1061" s="35"/>
      <c r="S1061" s="33"/>
      <c r="T1061" s="33"/>
      <c r="U1061" s="21"/>
    </row>
    <row r="1062" spans="2:21">
      <c r="B1062" s="232"/>
      <c r="C1062" s="232"/>
      <c r="D1062" s="255"/>
      <c r="E1062" s="255"/>
      <c r="F1062" s="262"/>
      <c r="G1062" s="262"/>
      <c r="H1062" s="21"/>
      <c r="I1062" s="21"/>
      <c r="J1062" s="33"/>
      <c r="K1062" s="35" t="s">
        <v>2336</v>
      </c>
      <c r="L1062" s="35" t="s">
        <v>332</v>
      </c>
      <c r="M1062" s="55" t="s">
        <v>349</v>
      </c>
      <c r="N1062" s="55">
        <v>45219</v>
      </c>
      <c r="O1062" s="35" t="s">
        <v>676</v>
      </c>
      <c r="P1062" s="62" t="s">
        <v>4051</v>
      </c>
      <c r="Q1062" s="35"/>
      <c r="R1062" s="35"/>
      <c r="S1062" s="33"/>
      <c r="T1062" s="33"/>
      <c r="U1062" s="21"/>
    </row>
    <row r="1063" spans="2:21">
      <c r="B1063" s="232"/>
      <c r="C1063" s="232"/>
      <c r="D1063" s="255"/>
      <c r="E1063" s="255"/>
      <c r="F1063" s="262"/>
      <c r="G1063" s="262"/>
      <c r="H1063" s="21"/>
      <c r="I1063" s="21"/>
      <c r="J1063" s="33"/>
      <c r="K1063" s="35"/>
      <c r="L1063" s="35"/>
      <c r="M1063" s="53"/>
      <c r="N1063" s="164"/>
      <c r="O1063" s="35"/>
      <c r="P1063" s="35"/>
      <c r="Q1063" s="35"/>
      <c r="R1063" s="35"/>
      <c r="S1063" s="33"/>
      <c r="T1063" s="33"/>
      <c r="U1063" s="21"/>
    </row>
    <row r="1064" spans="2:21">
      <c r="B1064" s="232"/>
      <c r="C1064" s="232"/>
      <c r="D1064" s="255"/>
      <c r="E1064" s="255"/>
      <c r="F1064" s="262"/>
      <c r="G1064" s="262"/>
      <c r="H1064" s="21" t="s">
        <v>184</v>
      </c>
      <c r="I1064" s="21"/>
      <c r="J1064" s="33" t="s">
        <v>384</v>
      </c>
      <c r="K1064" s="35"/>
      <c r="L1064" s="35" t="s">
        <v>332</v>
      </c>
      <c r="M1064" s="53"/>
      <c r="N1064" s="164">
        <v>44074</v>
      </c>
      <c r="O1064" s="35" t="s">
        <v>388</v>
      </c>
      <c r="P1064" s="35" t="s">
        <v>381</v>
      </c>
      <c r="Q1064" s="35"/>
      <c r="R1064" s="35"/>
      <c r="S1064" s="33"/>
      <c r="T1064" s="33"/>
      <c r="U1064" s="21"/>
    </row>
    <row r="1065" spans="2:21">
      <c r="B1065" s="232"/>
      <c r="C1065" s="232"/>
      <c r="D1065" s="255"/>
      <c r="E1065" s="255"/>
      <c r="F1065" s="262"/>
      <c r="G1065" s="262"/>
      <c r="H1065" s="21"/>
      <c r="I1065" s="21"/>
      <c r="J1065" s="33" t="s">
        <v>384</v>
      </c>
      <c r="K1065" s="35" t="s">
        <v>330</v>
      </c>
      <c r="L1065" s="35" t="s">
        <v>333</v>
      </c>
      <c r="M1065" s="53"/>
      <c r="N1065" s="53">
        <v>44165</v>
      </c>
      <c r="O1065" s="35" t="s">
        <v>474</v>
      </c>
      <c r="P1065" s="35" t="s">
        <v>679</v>
      </c>
      <c r="Q1065" s="35"/>
      <c r="R1065" s="35"/>
      <c r="S1065" s="33"/>
      <c r="T1065" s="33"/>
      <c r="U1065" s="21"/>
    </row>
    <row r="1066" spans="2:21">
      <c r="B1066" s="232"/>
      <c r="C1066" s="232"/>
      <c r="D1066" s="255"/>
      <c r="E1066" s="255"/>
      <c r="F1066" s="262"/>
      <c r="G1066" s="262"/>
      <c r="H1066" s="21"/>
      <c r="I1066" s="21"/>
      <c r="J1066" s="33" t="s">
        <v>384</v>
      </c>
      <c r="K1066" s="35"/>
      <c r="L1066" s="35" t="s">
        <v>332</v>
      </c>
      <c r="M1066" s="53">
        <v>44195</v>
      </c>
      <c r="N1066" s="53">
        <v>44194</v>
      </c>
      <c r="O1066" s="62" t="s">
        <v>474</v>
      </c>
      <c r="P1066" s="62" t="s">
        <v>853</v>
      </c>
      <c r="Q1066" s="35"/>
      <c r="R1066" s="35"/>
      <c r="S1066" s="33"/>
      <c r="T1066" s="33"/>
      <c r="U1066" s="21"/>
    </row>
    <row r="1067" spans="2:21">
      <c r="B1067" s="232"/>
      <c r="C1067" s="232"/>
      <c r="D1067" s="255"/>
      <c r="E1067" s="255"/>
      <c r="F1067" s="262"/>
      <c r="G1067" s="262"/>
      <c r="H1067" s="21"/>
      <c r="I1067" s="21"/>
      <c r="J1067" s="33" t="s">
        <v>1219</v>
      </c>
      <c r="K1067" s="35" t="s">
        <v>1216</v>
      </c>
      <c r="L1067" s="35" t="s">
        <v>332</v>
      </c>
      <c r="M1067" s="53" t="s">
        <v>349</v>
      </c>
      <c r="N1067" s="53">
        <v>44263</v>
      </c>
      <c r="O1067" s="62" t="s">
        <v>474</v>
      </c>
      <c r="P1067" s="62" t="s">
        <v>1217</v>
      </c>
      <c r="Q1067" s="35"/>
      <c r="R1067" s="35"/>
      <c r="S1067" s="33"/>
      <c r="T1067" s="33"/>
      <c r="U1067" s="21"/>
    </row>
    <row r="1068" spans="2:21">
      <c r="B1068" s="232"/>
      <c r="C1068" s="232"/>
      <c r="D1068" s="255"/>
      <c r="E1068" s="255"/>
      <c r="F1068" s="262"/>
      <c r="G1068" s="262"/>
      <c r="H1068" s="21"/>
      <c r="I1068" s="21"/>
      <c r="J1068" s="33"/>
      <c r="K1068" s="35" t="s">
        <v>1230</v>
      </c>
      <c r="L1068" s="35" t="s">
        <v>332</v>
      </c>
      <c r="M1068" s="53" t="s">
        <v>349</v>
      </c>
      <c r="N1068" s="53">
        <v>44333</v>
      </c>
      <c r="O1068" s="62" t="s">
        <v>474</v>
      </c>
      <c r="P1068" s="62" t="s">
        <v>1692</v>
      </c>
      <c r="Q1068" s="35"/>
      <c r="R1068" s="35"/>
      <c r="S1068" s="33"/>
      <c r="T1068" s="33"/>
      <c r="U1068" s="21"/>
    </row>
    <row r="1069" spans="2:21">
      <c r="B1069" s="232"/>
      <c r="C1069" s="232"/>
      <c r="D1069" s="255"/>
      <c r="E1069" s="255"/>
      <c r="F1069" s="262"/>
      <c r="G1069" s="262"/>
      <c r="H1069" s="21"/>
      <c r="I1069" s="21"/>
      <c r="J1069" s="33"/>
      <c r="K1069" s="35" t="s">
        <v>1231</v>
      </c>
      <c r="L1069" s="35" t="s">
        <v>332</v>
      </c>
      <c r="M1069" s="53" t="s">
        <v>349</v>
      </c>
      <c r="N1069" s="55">
        <v>44371</v>
      </c>
      <c r="O1069" s="62" t="s">
        <v>474</v>
      </c>
      <c r="P1069" s="62" t="s">
        <v>1863</v>
      </c>
      <c r="Q1069" s="35"/>
      <c r="R1069" s="35"/>
      <c r="S1069" s="33"/>
      <c r="T1069" s="33"/>
      <c r="U1069" s="21"/>
    </row>
    <row r="1070" spans="2:21">
      <c r="B1070" s="232"/>
      <c r="C1070" s="232"/>
      <c r="D1070" s="255"/>
      <c r="E1070" s="255"/>
      <c r="F1070" s="262"/>
      <c r="G1070" s="262"/>
      <c r="H1070" s="21"/>
      <c r="I1070" s="21"/>
      <c r="J1070" s="33"/>
      <c r="K1070" s="35" t="s">
        <v>1232</v>
      </c>
      <c r="L1070" s="35" t="s">
        <v>332</v>
      </c>
      <c r="M1070" s="53" t="s">
        <v>349</v>
      </c>
      <c r="N1070" s="55">
        <v>44438</v>
      </c>
      <c r="O1070" s="62" t="s">
        <v>474</v>
      </c>
      <c r="P1070" s="62" t="s">
        <v>2207</v>
      </c>
      <c r="Q1070" s="35"/>
      <c r="R1070" s="35"/>
      <c r="S1070" s="33"/>
      <c r="T1070" s="33"/>
      <c r="U1070" s="21"/>
    </row>
    <row r="1071" spans="2:21">
      <c r="B1071" s="232"/>
      <c r="C1071" s="232"/>
      <c r="D1071" s="255"/>
      <c r="E1071" s="255"/>
      <c r="F1071" s="262"/>
      <c r="G1071" s="262"/>
      <c r="H1071" s="21"/>
      <c r="I1071" s="21"/>
      <c r="J1071" s="33"/>
      <c r="K1071" s="35" t="s">
        <v>1396</v>
      </c>
      <c r="L1071" s="35" t="s">
        <v>332</v>
      </c>
      <c r="M1071" s="53" t="s">
        <v>349</v>
      </c>
      <c r="N1071" s="55">
        <v>44452</v>
      </c>
      <c r="O1071" s="62" t="s">
        <v>474</v>
      </c>
      <c r="P1071" s="62" t="s">
        <v>2255</v>
      </c>
      <c r="Q1071" s="35"/>
      <c r="R1071" s="35"/>
      <c r="S1071" s="33"/>
      <c r="T1071" s="33"/>
      <c r="U1071" s="21"/>
    </row>
    <row r="1072" spans="2:21">
      <c r="B1072" s="232"/>
      <c r="C1072" s="232"/>
      <c r="D1072" s="255"/>
      <c r="E1072" s="255"/>
      <c r="F1072" s="262"/>
      <c r="G1072" s="262"/>
      <c r="H1072" s="21"/>
      <c r="I1072" s="21"/>
      <c r="J1072" s="33"/>
      <c r="K1072" s="35" t="s">
        <v>2098</v>
      </c>
      <c r="L1072" s="35" t="s">
        <v>332</v>
      </c>
      <c r="M1072" s="53" t="s">
        <v>349</v>
      </c>
      <c r="N1072" s="55">
        <v>44656</v>
      </c>
      <c r="O1072" s="62" t="s">
        <v>474</v>
      </c>
      <c r="P1072" s="62" t="s">
        <v>2840</v>
      </c>
      <c r="Q1072" s="35"/>
      <c r="R1072" s="35"/>
      <c r="S1072" s="33"/>
      <c r="T1072" s="33"/>
      <c r="U1072" s="21"/>
    </row>
    <row r="1073" spans="2:21">
      <c r="B1073" s="232"/>
      <c r="C1073" s="232"/>
      <c r="D1073" s="255"/>
      <c r="E1073" s="255"/>
      <c r="F1073" s="262"/>
      <c r="G1073" s="262"/>
      <c r="H1073" s="21"/>
      <c r="I1073" s="21"/>
      <c r="J1073" s="33"/>
      <c r="K1073" s="35" t="s">
        <v>1694</v>
      </c>
      <c r="L1073" s="35" t="s">
        <v>332</v>
      </c>
      <c r="M1073" s="53" t="s">
        <v>349</v>
      </c>
      <c r="N1073" s="55">
        <v>44732</v>
      </c>
      <c r="O1073" s="62" t="s">
        <v>474</v>
      </c>
      <c r="P1073" s="62" t="s">
        <v>3020</v>
      </c>
      <c r="Q1073" s="35"/>
      <c r="R1073" s="35"/>
      <c r="S1073" s="33"/>
      <c r="T1073" s="33"/>
      <c r="U1073" s="21"/>
    </row>
    <row r="1074" spans="2:21">
      <c r="B1074" s="232"/>
      <c r="C1074" s="232"/>
      <c r="D1074" s="255"/>
      <c r="E1074" s="255"/>
      <c r="F1074" s="262"/>
      <c r="G1074" s="262"/>
      <c r="H1074" s="21"/>
      <c r="I1074" s="21"/>
      <c r="J1074" s="33"/>
      <c r="K1074" s="35" t="s">
        <v>2097</v>
      </c>
      <c r="L1074" s="35" t="s">
        <v>332</v>
      </c>
      <c r="M1074" s="53" t="s">
        <v>349</v>
      </c>
      <c r="N1074" s="55">
        <v>44782</v>
      </c>
      <c r="O1074" s="62" t="s">
        <v>474</v>
      </c>
      <c r="P1074" s="62" t="s">
        <v>3185</v>
      </c>
      <c r="Q1074" s="35"/>
      <c r="R1074" s="35"/>
      <c r="S1074" s="33"/>
      <c r="T1074" s="33"/>
      <c r="U1074" s="21"/>
    </row>
    <row r="1075" spans="2:21">
      <c r="B1075" s="232"/>
      <c r="C1075" s="232"/>
      <c r="D1075" s="255"/>
      <c r="E1075" s="255"/>
      <c r="F1075" s="262"/>
      <c r="G1075" s="262"/>
      <c r="H1075" s="21"/>
      <c r="I1075" s="21"/>
      <c r="J1075" s="33"/>
      <c r="K1075" s="35" t="s">
        <v>1767</v>
      </c>
      <c r="L1075" s="35" t="s">
        <v>332</v>
      </c>
      <c r="M1075" s="53" t="s">
        <v>349</v>
      </c>
      <c r="N1075" s="55">
        <v>44858</v>
      </c>
      <c r="O1075" s="62" t="s">
        <v>474</v>
      </c>
      <c r="P1075" s="62" t="s">
        <v>3309</v>
      </c>
      <c r="Q1075" s="35"/>
      <c r="R1075" s="35"/>
      <c r="S1075" s="33"/>
      <c r="T1075" s="33"/>
      <c r="U1075" s="21"/>
    </row>
    <row r="1076" spans="2:21">
      <c r="B1076" s="232"/>
      <c r="C1076" s="232"/>
      <c r="D1076" s="255"/>
      <c r="E1076" s="255"/>
      <c r="F1076" s="262"/>
      <c r="G1076" s="262"/>
      <c r="H1076" s="21"/>
      <c r="I1076" s="21"/>
      <c r="J1076" s="33"/>
      <c r="K1076" s="35" t="s">
        <v>1870</v>
      </c>
      <c r="L1076" s="35" t="s">
        <v>332</v>
      </c>
      <c r="M1076" s="53" t="s">
        <v>349</v>
      </c>
      <c r="N1076" s="55">
        <v>44574</v>
      </c>
      <c r="O1076" s="62" t="s">
        <v>474</v>
      </c>
      <c r="P1076" s="62" t="s">
        <v>3389</v>
      </c>
      <c r="Q1076" s="35"/>
      <c r="R1076" s="35"/>
      <c r="S1076" s="33"/>
      <c r="T1076" s="33"/>
      <c r="U1076" s="21"/>
    </row>
    <row r="1077" spans="2:21">
      <c r="B1077" s="232"/>
      <c r="C1077" s="232"/>
      <c r="D1077" s="255"/>
      <c r="E1077" s="255"/>
      <c r="F1077" s="262"/>
      <c r="G1077" s="262"/>
      <c r="H1077" s="21"/>
      <c r="I1077" s="21"/>
      <c r="J1077" s="33"/>
      <c r="K1077" s="35" t="s">
        <v>2335</v>
      </c>
      <c r="L1077" s="35" t="s">
        <v>332</v>
      </c>
      <c r="M1077" s="53" t="s">
        <v>349</v>
      </c>
      <c r="N1077" s="55">
        <v>45058</v>
      </c>
      <c r="O1077" s="62" t="s">
        <v>474</v>
      </c>
      <c r="P1077" s="62" t="s">
        <v>3749</v>
      </c>
      <c r="Q1077" s="35"/>
      <c r="R1077" s="35"/>
      <c r="S1077" s="33"/>
      <c r="T1077" s="33"/>
      <c r="U1077" s="21"/>
    </row>
    <row r="1078" spans="2:21">
      <c r="B1078" s="232"/>
      <c r="C1078" s="232"/>
      <c r="D1078" s="255"/>
      <c r="E1078" s="255"/>
      <c r="F1078" s="262"/>
      <c r="G1078" s="262"/>
      <c r="H1078" s="21"/>
      <c r="I1078" s="21"/>
      <c r="J1078" s="33"/>
      <c r="K1078" s="35" t="s">
        <v>1869</v>
      </c>
      <c r="L1078" s="35" t="s">
        <v>332</v>
      </c>
      <c r="M1078" s="53" t="s">
        <v>349</v>
      </c>
      <c r="N1078" s="55">
        <v>45219</v>
      </c>
      <c r="O1078" s="62" t="s">
        <v>474</v>
      </c>
      <c r="P1078" s="62" t="s">
        <v>4051</v>
      </c>
      <c r="Q1078" s="35"/>
      <c r="R1078" s="35"/>
      <c r="S1078" s="33"/>
      <c r="T1078" s="33"/>
      <c r="U1078" s="21"/>
    </row>
    <row r="1079" spans="2:21">
      <c r="B1079" s="232"/>
      <c r="C1079" s="232"/>
      <c r="D1079" s="255"/>
      <c r="E1079" s="255"/>
      <c r="F1079" s="262"/>
      <c r="G1079" s="262"/>
      <c r="H1079" s="21"/>
      <c r="I1079" s="21"/>
      <c r="J1079" s="33"/>
      <c r="K1079" s="35" t="s">
        <v>2097</v>
      </c>
      <c r="L1079" s="35" t="s">
        <v>332</v>
      </c>
      <c r="M1079" s="53" t="s">
        <v>349</v>
      </c>
      <c r="N1079" s="55">
        <v>45219</v>
      </c>
      <c r="O1079" s="35" t="s">
        <v>677</v>
      </c>
      <c r="P1079" s="62" t="s">
        <v>4051</v>
      </c>
      <c r="Q1079" s="35"/>
      <c r="R1079" s="35"/>
      <c r="S1079" s="33"/>
      <c r="T1079" s="33"/>
      <c r="U1079" s="21"/>
    </row>
    <row r="1080" spans="2:21">
      <c r="B1080" s="232"/>
      <c r="C1080" s="232"/>
      <c r="D1080" s="255"/>
      <c r="E1080" s="255"/>
      <c r="F1080" s="262"/>
      <c r="G1080" s="262"/>
      <c r="H1080" s="21" t="s">
        <v>386</v>
      </c>
      <c r="I1080" s="21"/>
      <c r="J1080" s="33" t="s">
        <v>385</v>
      </c>
      <c r="K1080" s="35"/>
      <c r="L1080" s="35" t="s">
        <v>332</v>
      </c>
      <c r="M1080" s="53"/>
      <c r="N1080" s="164">
        <v>44074</v>
      </c>
      <c r="O1080" s="35" t="s">
        <v>390</v>
      </c>
      <c r="P1080" s="35" t="s">
        <v>381</v>
      </c>
      <c r="Q1080" s="35"/>
      <c r="R1080" s="35"/>
      <c r="S1080" s="33"/>
      <c r="T1080" s="33"/>
      <c r="U1080" s="21"/>
    </row>
    <row r="1081" spans="2:21">
      <c r="B1081" s="232"/>
      <c r="C1081" s="232"/>
      <c r="D1081" s="255"/>
      <c r="E1081" s="255"/>
      <c r="F1081" s="262"/>
      <c r="G1081" s="262"/>
      <c r="H1081" s="21"/>
      <c r="I1081" s="21"/>
      <c r="J1081" s="33"/>
      <c r="K1081" s="35" t="s">
        <v>330</v>
      </c>
      <c r="L1081" s="35" t="s">
        <v>333</v>
      </c>
      <c r="M1081" s="53"/>
      <c r="N1081" s="53">
        <v>44165</v>
      </c>
      <c r="O1081" s="35" t="s">
        <v>677</v>
      </c>
      <c r="P1081" s="35" t="s">
        <v>679</v>
      </c>
      <c r="Q1081" s="35"/>
      <c r="R1081" s="35"/>
      <c r="S1081" s="33"/>
      <c r="T1081" s="33"/>
      <c r="U1081" s="21"/>
    </row>
    <row r="1082" spans="2:21">
      <c r="B1082" s="232"/>
      <c r="C1082" s="232"/>
      <c r="D1082" s="255"/>
      <c r="E1082" s="255"/>
      <c r="F1082" s="262"/>
      <c r="G1082" s="262"/>
      <c r="H1082" s="21"/>
      <c r="I1082" s="21"/>
      <c r="J1082" s="33"/>
      <c r="K1082" s="35" t="s">
        <v>349</v>
      </c>
      <c r="L1082" s="35" t="s">
        <v>332</v>
      </c>
      <c r="M1082" s="53" t="s">
        <v>349</v>
      </c>
      <c r="N1082" s="53">
        <v>44187</v>
      </c>
      <c r="O1082" s="35" t="s">
        <v>677</v>
      </c>
      <c r="P1082" s="35" t="s">
        <v>847</v>
      </c>
      <c r="Q1082" s="35"/>
      <c r="R1082" s="35"/>
      <c r="S1082" s="33"/>
      <c r="T1082" s="33"/>
      <c r="U1082" s="21"/>
    </row>
    <row r="1083" spans="2:21">
      <c r="B1083" s="232"/>
      <c r="C1083" s="232"/>
      <c r="D1083" s="255"/>
      <c r="E1083" s="255"/>
      <c r="F1083" s="262"/>
      <c r="G1083" s="262"/>
      <c r="H1083" s="21"/>
      <c r="I1083" s="21"/>
      <c r="J1083" s="33"/>
      <c r="K1083" s="35" t="s">
        <v>1216</v>
      </c>
      <c r="L1083" s="35" t="s">
        <v>332</v>
      </c>
      <c r="M1083" s="53" t="s">
        <v>349</v>
      </c>
      <c r="N1083" s="53">
        <v>44263</v>
      </c>
      <c r="O1083" s="35" t="s">
        <v>677</v>
      </c>
      <c r="P1083" s="35" t="s">
        <v>1217</v>
      </c>
      <c r="Q1083" s="35"/>
      <c r="R1083" s="35"/>
      <c r="S1083" s="33"/>
      <c r="T1083" s="33"/>
      <c r="U1083" s="21"/>
    </row>
    <row r="1084" spans="2:21">
      <c r="B1084" s="232"/>
      <c r="C1084" s="232"/>
      <c r="D1084" s="255"/>
      <c r="E1084" s="255"/>
      <c r="F1084" s="262"/>
      <c r="G1084" s="262"/>
      <c r="H1084" s="21"/>
      <c r="I1084" s="21"/>
      <c r="J1084" s="33"/>
      <c r="K1084" s="35" t="s">
        <v>1230</v>
      </c>
      <c r="L1084" s="35" t="s">
        <v>332</v>
      </c>
      <c r="M1084" s="53" t="s">
        <v>349</v>
      </c>
      <c r="N1084" s="53">
        <v>44333</v>
      </c>
      <c r="O1084" s="35" t="s">
        <v>677</v>
      </c>
      <c r="P1084" s="35" t="s">
        <v>1692</v>
      </c>
      <c r="Q1084" s="35"/>
      <c r="R1084" s="35"/>
      <c r="S1084" s="33"/>
      <c r="T1084" s="33"/>
      <c r="U1084" s="21"/>
    </row>
    <row r="1085" spans="2:21">
      <c r="B1085" s="232"/>
      <c r="C1085" s="232"/>
      <c r="D1085" s="255"/>
      <c r="E1085" s="255"/>
      <c r="F1085" s="262"/>
      <c r="G1085" s="262"/>
      <c r="H1085" s="21"/>
      <c r="I1085" s="21"/>
      <c r="J1085" s="33"/>
      <c r="K1085" s="35" t="s">
        <v>1231</v>
      </c>
      <c r="L1085" s="35" t="s">
        <v>332</v>
      </c>
      <c r="M1085" s="53" t="s">
        <v>349</v>
      </c>
      <c r="N1085" s="55">
        <v>44371</v>
      </c>
      <c r="O1085" s="35" t="s">
        <v>677</v>
      </c>
      <c r="P1085" s="62" t="s">
        <v>1863</v>
      </c>
      <c r="Q1085" s="35"/>
      <c r="R1085" s="35"/>
      <c r="S1085" s="33"/>
      <c r="T1085" s="33"/>
      <c r="U1085" s="21"/>
    </row>
    <row r="1086" spans="2:21">
      <c r="B1086" s="232"/>
      <c r="C1086" s="232"/>
      <c r="D1086" s="255"/>
      <c r="E1086" s="255"/>
      <c r="F1086" s="262"/>
      <c r="G1086" s="262"/>
      <c r="H1086" s="21"/>
      <c r="I1086" s="21"/>
      <c r="J1086" s="33"/>
      <c r="K1086" s="35" t="s">
        <v>1232</v>
      </c>
      <c r="L1086" s="35" t="s">
        <v>332</v>
      </c>
      <c r="M1086" s="53" t="s">
        <v>349</v>
      </c>
      <c r="N1086" s="55">
        <v>44418</v>
      </c>
      <c r="O1086" s="35" t="s">
        <v>677</v>
      </c>
      <c r="P1086" s="62" t="s">
        <v>2094</v>
      </c>
      <c r="Q1086" s="35"/>
      <c r="R1086" s="35"/>
      <c r="S1086" s="33"/>
      <c r="T1086" s="33"/>
      <c r="U1086" s="21"/>
    </row>
    <row r="1087" spans="2:21">
      <c r="B1087" s="232"/>
      <c r="C1087" s="232"/>
      <c r="D1087" s="255"/>
      <c r="E1087" s="255"/>
      <c r="F1087" s="262"/>
      <c r="G1087" s="262"/>
      <c r="H1087" s="21"/>
      <c r="I1087" s="21"/>
      <c r="J1087" s="33"/>
      <c r="K1087" s="35" t="s">
        <v>1695</v>
      </c>
      <c r="L1087" s="35" t="s">
        <v>332</v>
      </c>
      <c r="M1087" s="53" t="s">
        <v>349</v>
      </c>
      <c r="N1087" s="55">
        <v>44732</v>
      </c>
      <c r="O1087" s="35" t="s">
        <v>677</v>
      </c>
      <c r="P1087" s="62" t="s">
        <v>3020</v>
      </c>
      <c r="Q1087" s="35"/>
      <c r="R1087" s="35"/>
      <c r="S1087" s="33"/>
      <c r="T1087" s="33"/>
      <c r="U1087" s="21"/>
    </row>
    <row r="1088" spans="2:21">
      <c r="B1088" s="232"/>
      <c r="C1088" s="232"/>
      <c r="D1088" s="255"/>
      <c r="E1088" s="255"/>
      <c r="F1088" s="262"/>
      <c r="G1088" s="262"/>
      <c r="H1088" s="21"/>
      <c r="I1088" s="21"/>
      <c r="J1088" s="33"/>
      <c r="K1088" s="35" t="s">
        <v>2098</v>
      </c>
      <c r="L1088" s="35" t="s">
        <v>332</v>
      </c>
      <c r="M1088" s="53" t="s">
        <v>349</v>
      </c>
      <c r="N1088" s="55">
        <v>44782</v>
      </c>
      <c r="O1088" s="35" t="s">
        <v>677</v>
      </c>
      <c r="P1088" s="62" t="s">
        <v>3185</v>
      </c>
      <c r="Q1088" s="35"/>
      <c r="R1088" s="35"/>
      <c r="S1088" s="33"/>
      <c r="T1088" s="33"/>
      <c r="U1088" s="21"/>
    </row>
    <row r="1089" spans="2:21">
      <c r="B1089" s="232"/>
      <c r="C1089" s="232"/>
      <c r="D1089" s="255"/>
      <c r="E1089" s="255"/>
      <c r="F1089" s="262"/>
      <c r="G1089" s="262"/>
      <c r="H1089" s="21"/>
      <c r="I1089" s="21"/>
      <c r="J1089" s="33"/>
      <c r="K1089" s="35"/>
      <c r="L1089" s="35"/>
      <c r="M1089" s="53"/>
      <c r="N1089" s="55"/>
      <c r="O1089" s="35"/>
      <c r="P1089" s="62"/>
      <c r="Q1089" s="35"/>
      <c r="R1089" s="35"/>
      <c r="S1089" s="33"/>
      <c r="T1089" s="33"/>
      <c r="U1089" s="21"/>
    </row>
    <row r="1090" spans="2:21">
      <c r="B1090" s="232"/>
      <c r="C1090" s="232"/>
      <c r="D1090" s="255"/>
      <c r="E1090" s="255"/>
      <c r="F1090" s="262"/>
      <c r="G1090" s="262"/>
      <c r="H1090" s="21"/>
      <c r="I1090" s="21"/>
      <c r="J1090" s="33"/>
      <c r="K1090" s="35"/>
      <c r="L1090" s="35"/>
      <c r="M1090" s="53"/>
      <c r="N1090" s="53"/>
      <c r="O1090" s="35"/>
      <c r="P1090" s="35"/>
      <c r="Q1090" s="35"/>
      <c r="R1090" s="35"/>
      <c r="S1090" s="33"/>
      <c r="T1090" s="33"/>
      <c r="U1090" s="21"/>
    </row>
    <row r="1091" spans="2:21">
      <c r="B1091" s="232"/>
      <c r="C1091" s="232"/>
      <c r="D1091" s="255"/>
      <c r="E1091" s="255"/>
      <c r="F1091" s="262"/>
      <c r="G1091" s="262"/>
      <c r="H1091" s="21" t="s">
        <v>935</v>
      </c>
      <c r="I1091" s="21"/>
      <c r="J1091" s="33" t="s">
        <v>936</v>
      </c>
      <c r="K1091" s="35" t="s">
        <v>349</v>
      </c>
      <c r="L1091" s="35" t="s">
        <v>332</v>
      </c>
      <c r="M1091" s="35" t="s">
        <v>349</v>
      </c>
      <c r="N1091" s="53">
        <v>44221</v>
      </c>
      <c r="O1091" s="35" t="s">
        <v>938</v>
      </c>
      <c r="P1091" s="35" t="s">
        <v>939</v>
      </c>
      <c r="Q1091" s="35"/>
      <c r="R1091" s="35"/>
      <c r="S1091" s="33"/>
      <c r="T1091" s="33"/>
      <c r="U1091" s="21"/>
    </row>
    <row r="1092" spans="2:21">
      <c r="B1092" s="232"/>
      <c r="C1092" s="232"/>
      <c r="D1092" s="255"/>
      <c r="E1092" s="255"/>
      <c r="F1092" s="262"/>
      <c r="G1092" s="262"/>
      <c r="H1092" s="21"/>
      <c r="I1092" s="21"/>
      <c r="J1092" s="33"/>
      <c r="K1092" s="35" t="s">
        <v>1216</v>
      </c>
      <c r="L1092" s="35" t="s">
        <v>332</v>
      </c>
      <c r="M1092" s="35" t="s">
        <v>349</v>
      </c>
      <c r="N1092" s="53">
        <v>44263</v>
      </c>
      <c r="O1092" s="35" t="s">
        <v>938</v>
      </c>
      <c r="P1092" s="35" t="s">
        <v>1217</v>
      </c>
      <c r="Q1092" s="35"/>
      <c r="R1092" s="35"/>
      <c r="S1092" s="33"/>
      <c r="T1092" s="33"/>
      <c r="U1092" s="21"/>
    </row>
    <row r="1093" spans="2:21">
      <c r="B1093" s="232"/>
      <c r="C1093" s="232"/>
      <c r="D1093" s="255"/>
      <c r="E1093" s="255"/>
      <c r="F1093" s="262"/>
      <c r="G1093" s="262"/>
      <c r="H1093" s="21"/>
      <c r="I1093" s="21"/>
      <c r="J1093" s="33"/>
      <c r="K1093" s="35" t="s">
        <v>1231</v>
      </c>
      <c r="L1093" s="35" t="s">
        <v>332</v>
      </c>
      <c r="M1093" s="35" t="s">
        <v>349</v>
      </c>
      <c r="N1093" s="53">
        <v>44333</v>
      </c>
      <c r="O1093" s="35" t="s">
        <v>938</v>
      </c>
      <c r="P1093" s="35" t="s">
        <v>1692</v>
      </c>
      <c r="Q1093" s="35"/>
      <c r="R1093" s="35"/>
      <c r="S1093" s="33"/>
      <c r="T1093" s="33"/>
      <c r="U1093" s="21"/>
    </row>
    <row r="1094" spans="2:21">
      <c r="B1094" s="232"/>
      <c r="C1094" s="232"/>
      <c r="D1094" s="255"/>
      <c r="E1094" s="255"/>
      <c r="F1094" s="262"/>
      <c r="G1094" s="262"/>
      <c r="H1094" s="21"/>
      <c r="I1094" s="21"/>
      <c r="J1094" s="33"/>
      <c r="K1094" s="35" t="s">
        <v>1232</v>
      </c>
      <c r="L1094" s="35" t="s">
        <v>332</v>
      </c>
      <c r="M1094" s="53" t="s">
        <v>349</v>
      </c>
      <c r="N1094" s="55">
        <v>44371</v>
      </c>
      <c r="O1094" s="35" t="s">
        <v>938</v>
      </c>
      <c r="P1094" s="62" t="s">
        <v>1863</v>
      </c>
      <c r="Q1094" s="35"/>
      <c r="R1094" s="35"/>
      <c r="S1094" s="33"/>
      <c r="T1094" s="33"/>
      <c r="U1094" s="21"/>
    </row>
    <row r="1095" spans="2:21">
      <c r="B1095" s="232"/>
      <c r="C1095" s="232"/>
      <c r="D1095" s="255"/>
      <c r="E1095" s="255"/>
      <c r="F1095" s="262"/>
      <c r="G1095" s="262"/>
      <c r="H1095" s="21"/>
      <c r="I1095" s="21"/>
      <c r="J1095" s="33"/>
      <c r="K1095" s="35" t="s">
        <v>1396</v>
      </c>
      <c r="L1095" s="35" t="s">
        <v>332</v>
      </c>
      <c r="M1095" s="53" t="s">
        <v>349</v>
      </c>
      <c r="N1095" s="55">
        <v>44656</v>
      </c>
      <c r="O1095" s="35" t="s">
        <v>938</v>
      </c>
      <c r="P1095" s="62" t="s">
        <v>2840</v>
      </c>
      <c r="Q1095" s="35"/>
      <c r="R1095" s="35"/>
      <c r="S1095" s="33"/>
      <c r="T1095" s="33"/>
      <c r="U1095" s="21"/>
    </row>
    <row r="1096" spans="2:21">
      <c r="B1096" s="232"/>
      <c r="C1096" s="232"/>
      <c r="D1096" s="255"/>
      <c r="E1096" s="255"/>
      <c r="F1096" s="262"/>
      <c r="G1096" s="262"/>
      <c r="H1096" s="21"/>
      <c r="I1096" s="21"/>
      <c r="J1096" s="33"/>
      <c r="K1096" s="35" t="s">
        <v>1695</v>
      </c>
      <c r="L1096" s="35" t="s">
        <v>332</v>
      </c>
      <c r="M1096" s="53" t="s">
        <v>349</v>
      </c>
      <c r="N1096" s="55">
        <v>44732</v>
      </c>
      <c r="O1096" s="35" t="s">
        <v>938</v>
      </c>
      <c r="P1096" s="62" t="s">
        <v>3020</v>
      </c>
      <c r="Q1096" s="35"/>
      <c r="R1096" s="35"/>
      <c r="S1096" s="33"/>
      <c r="T1096" s="33"/>
      <c r="U1096" s="21"/>
    </row>
    <row r="1097" spans="2:21">
      <c r="B1097" s="232"/>
      <c r="C1097" s="232"/>
      <c r="D1097" s="255"/>
      <c r="E1097" s="255"/>
      <c r="F1097" s="262"/>
      <c r="G1097" s="262"/>
      <c r="H1097" s="21"/>
      <c r="I1097" s="21"/>
      <c r="J1097" s="33"/>
      <c r="K1097" s="35" t="s">
        <v>2098</v>
      </c>
      <c r="L1097" s="35" t="s">
        <v>332</v>
      </c>
      <c r="M1097" s="53" t="s">
        <v>349</v>
      </c>
      <c r="N1097" s="55">
        <v>44782</v>
      </c>
      <c r="O1097" s="35" t="s">
        <v>938</v>
      </c>
      <c r="P1097" s="62" t="s">
        <v>3185</v>
      </c>
      <c r="Q1097" s="35"/>
      <c r="R1097" s="35"/>
      <c r="S1097" s="33"/>
      <c r="T1097" s="33"/>
      <c r="U1097" s="21"/>
    </row>
    <row r="1098" spans="2:21">
      <c r="B1098" s="232"/>
      <c r="C1098" s="232"/>
      <c r="D1098" s="255"/>
      <c r="E1098" s="255"/>
      <c r="F1098" s="262"/>
      <c r="G1098" s="262"/>
      <c r="H1098" s="21"/>
      <c r="I1098" s="21"/>
      <c r="J1098" s="33"/>
      <c r="K1098" s="35" t="s">
        <v>1694</v>
      </c>
      <c r="L1098" s="35" t="s">
        <v>332</v>
      </c>
      <c r="M1098" s="53" t="s">
        <v>349</v>
      </c>
      <c r="N1098" s="55">
        <v>44858</v>
      </c>
      <c r="O1098" s="35" t="s">
        <v>938</v>
      </c>
      <c r="P1098" s="62" t="s">
        <v>3309</v>
      </c>
      <c r="Q1098" s="35"/>
      <c r="R1098" s="35"/>
      <c r="S1098" s="33"/>
      <c r="T1098" s="33"/>
      <c r="U1098" s="21"/>
    </row>
    <row r="1099" spans="2:21">
      <c r="B1099" s="232"/>
      <c r="C1099" s="232"/>
      <c r="D1099" s="255"/>
      <c r="E1099" s="255"/>
      <c r="F1099" s="262"/>
      <c r="G1099" s="262"/>
      <c r="H1099" s="21"/>
      <c r="I1099" s="21"/>
      <c r="J1099" s="33"/>
      <c r="K1099" s="35" t="s">
        <v>2097</v>
      </c>
      <c r="L1099" s="35" t="s">
        <v>332</v>
      </c>
      <c r="M1099" s="53" t="s">
        <v>349</v>
      </c>
      <c r="N1099" s="55">
        <v>45219</v>
      </c>
      <c r="O1099" s="35" t="s">
        <v>938</v>
      </c>
      <c r="P1099" s="62" t="s">
        <v>4051</v>
      </c>
      <c r="Q1099" s="35"/>
      <c r="R1099" s="35"/>
      <c r="S1099" s="33"/>
      <c r="T1099" s="33"/>
      <c r="U1099" s="21"/>
    </row>
    <row r="1100" spans="2:21">
      <c r="B1100" s="232"/>
      <c r="C1100" s="232"/>
      <c r="D1100" s="255"/>
      <c r="E1100" s="255"/>
      <c r="F1100" s="262"/>
      <c r="G1100" s="262"/>
      <c r="H1100" s="21"/>
      <c r="I1100" s="21"/>
      <c r="J1100" s="33"/>
      <c r="K1100" s="35"/>
      <c r="L1100" s="35"/>
      <c r="M1100" s="21"/>
      <c r="N1100" s="53"/>
      <c r="O1100" s="35"/>
      <c r="P1100" s="35"/>
      <c r="Q1100" s="35"/>
      <c r="R1100" s="35"/>
      <c r="S1100" s="33"/>
      <c r="T1100" s="33"/>
      <c r="U1100" s="21"/>
    </row>
    <row r="1101" spans="2:21">
      <c r="B1101" s="232"/>
      <c r="C1101" s="232"/>
      <c r="D1101" s="255"/>
      <c r="E1101" s="255"/>
      <c r="F1101" s="262"/>
      <c r="G1101" s="262"/>
      <c r="H1101" s="143"/>
      <c r="I1101" s="143"/>
      <c r="J1101" s="77" t="s">
        <v>937</v>
      </c>
      <c r="K1101" s="53" t="s">
        <v>349</v>
      </c>
      <c r="L1101" s="145" t="s">
        <v>332</v>
      </c>
      <c r="M1101" s="53" t="s">
        <v>349</v>
      </c>
      <c r="N1101" s="144">
        <v>44221</v>
      </c>
      <c r="O1101" s="145" t="s">
        <v>940</v>
      </c>
      <c r="P1101" s="141" t="s">
        <v>939</v>
      </c>
      <c r="Q1101" s="35"/>
      <c r="R1101" s="35"/>
      <c r="S1101" s="33"/>
      <c r="T1101" s="33"/>
      <c r="U1101" s="21"/>
    </row>
    <row r="1102" spans="2:21">
      <c r="B1102" s="232"/>
      <c r="C1102" s="232"/>
      <c r="D1102" s="255"/>
      <c r="E1102" s="255"/>
      <c r="F1102" s="262"/>
      <c r="G1102" s="262"/>
      <c r="H1102" s="21"/>
      <c r="I1102" s="21"/>
      <c r="J1102" s="57"/>
      <c r="K1102" s="21"/>
      <c r="L1102" s="35"/>
      <c r="M1102" s="21"/>
      <c r="N1102" s="53"/>
      <c r="O1102" s="35"/>
      <c r="P1102" s="142"/>
      <c r="Q1102" s="107"/>
      <c r="R1102" s="35"/>
      <c r="S1102" s="33"/>
      <c r="T1102" s="33"/>
      <c r="U1102" s="21"/>
    </row>
    <row r="1103" spans="2:21">
      <c r="B1103" s="232"/>
      <c r="C1103" s="232"/>
      <c r="D1103" s="255"/>
      <c r="E1103" s="255"/>
      <c r="F1103" s="262"/>
      <c r="G1103" s="262"/>
      <c r="H1103" s="21" t="s">
        <v>1058</v>
      </c>
      <c r="I1103" s="21"/>
      <c r="J1103" s="33" t="s">
        <v>1696</v>
      </c>
      <c r="K1103" s="35" t="s">
        <v>1216</v>
      </c>
      <c r="L1103" s="35" t="s">
        <v>332</v>
      </c>
      <c r="M1103" s="53" t="s">
        <v>349</v>
      </c>
      <c r="N1103" s="53">
        <v>44333</v>
      </c>
      <c r="O1103" s="35" t="s">
        <v>1463</v>
      </c>
      <c r="P1103" s="35" t="s">
        <v>1692</v>
      </c>
      <c r="Q1103" s="107"/>
      <c r="R1103" s="35"/>
      <c r="S1103" s="33"/>
      <c r="T1103" s="33"/>
      <c r="U1103" s="21"/>
    </row>
    <row r="1104" spans="2:21">
      <c r="B1104" s="232"/>
      <c r="C1104" s="232"/>
      <c r="D1104" s="255"/>
      <c r="E1104" s="255"/>
      <c r="F1104" s="262"/>
      <c r="G1104" s="262"/>
      <c r="H1104" s="21"/>
      <c r="I1104" s="21"/>
      <c r="J1104" s="33"/>
      <c r="K1104" s="35" t="s">
        <v>1230</v>
      </c>
      <c r="L1104" s="35" t="s">
        <v>332</v>
      </c>
      <c r="M1104" s="53" t="s">
        <v>349</v>
      </c>
      <c r="N1104" s="53">
        <v>44351</v>
      </c>
      <c r="O1104" s="35" t="s">
        <v>1463</v>
      </c>
      <c r="P1104" s="35" t="s">
        <v>1766</v>
      </c>
      <c r="Q1104" s="107"/>
      <c r="R1104" s="35"/>
      <c r="S1104" s="33"/>
      <c r="T1104" s="33"/>
      <c r="U1104" s="21"/>
    </row>
    <row r="1105" spans="2:21">
      <c r="B1105" s="232"/>
      <c r="C1105" s="232"/>
      <c r="D1105" s="255"/>
      <c r="E1105" s="255"/>
      <c r="F1105" s="262"/>
      <c r="G1105" s="262"/>
      <c r="H1105" s="21"/>
      <c r="I1105" s="21"/>
      <c r="J1105" s="33"/>
      <c r="K1105" s="35" t="s">
        <v>1231</v>
      </c>
      <c r="L1105" s="35" t="s">
        <v>332</v>
      </c>
      <c r="M1105" s="53" t="s">
        <v>349</v>
      </c>
      <c r="N1105" s="55">
        <v>44371</v>
      </c>
      <c r="O1105" s="35" t="s">
        <v>1463</v>
      </c>
      <c r="P1105" s="62" t="s">
        <v>1863</v>
      </c>
      <c r="Q1105" s="107"/>
      <c r="R1105" s="35"/>
      <c r="S1105" s="33"/>
      <c r="T1105" s="33"/>
      <c r="U1105" s="21"/>
    </row>
    <row r="1106" spans="2:21">
      <c r="B1106" s="232"/>
      <c r="C1106" s="232"/>
      <c r="D1106" s="255"/>
      <c r="E1106" s="255"/>
      <c r="F1106" s="264"/>
      <c r="G1106" s="264"/>
      <c r="H1106" s="21"/>
      <c r="I1106" s="21"/>
      <c r="J1106" s="57"/>
      <c r="K1106" s="21"/>
      <c r="L1106" s="35"/>
      <c r="M1106" s="21"/>
      <c r="N1106" s="53"/>
      <c r="O1106" s="35"/>
      <c r="P1106" s="142"/>
      <c r="Q1106" s="107"/>
      <c r="R1106" s="35"/>
      <c r="S1106" s="33"/>
      <c r="T1106" s="33"/>
      <c r="U1106" s="21"/>
    </row>
    <row r="1107" spans="2:21">
      <c r="B1107" s="232"/>
      <c r="C1107" s="232"/>
      <c r="D1107" s="255"/>
      <c r="E1107" s="255"/>
      <c r="F1107" s="21" t="s">
        <v>35</v>
      </c>
      <c r="G1107" s="256" t="s">
        <v>2099</v>
      </c>
      <c r="H1107" s="257"/>
      <c r="I1107" s="257"/>
      <c r="J1107" s="257"/>
      <c r="K1107" s="257"/>
      <c r="L1107" s="257"/>
      <c r="M1107" s="257"/>
      <c r="N1107" s="257"/>
      <c r="O1107" s="257"/>
      <c r="P1107" s="257"/>
      <c r="Q1107" s="258"/>
      <c r="R1107" s="39"/>
      <c r="S1107" s="21"/>
      <c r="T1107" s="21"/>
      <c r="U1107" s="21"/>
    </row>
    <row r="1108" spans="2:21" ht="28">
      <c r="B1108" s="232"/>
      <c r="C1108" s="232"/>
      <c r="D1108" s="255"/>
      <c r="E1108" s="255"/>
      <c r="F1108" s="255"/>
      <c r="G1108" s="255"/>
      <c r="H1108" s="61" t="s">
        <v>176</v>
      </c>
      <c r="I1108" s="61"/>
      <c r="J1108" s="54" t="s">
        <v>752</v>
      </c>
      <c r="K1108" s="55" t="s">
        <v>349</v>
      </c>
      <c r="L1108" s="62" t="s">
        <v>332</v>
      </c>
      <c r="M1108" s="55" t="s">
        <v>349</v>
      </c>
      <c r="N1108" s="55">
        <v>44053</v>
      </c>
      <c r="O1108" s="12" t="s">
        <v>672</v>
      </c>
      <c r="P1108" s="62" t="s">
        <v>2094</v>
      </c>
      <c r="Q1108" s="38"/>
      <c r="R1108" s="35"/>
      <c r="S1108" s="33"/>
      <c r="T1108" s="33"/>
      <c r="U1108" s="21"/>
    </row>
    <row r="1109" spans="2:21" ht="28">
      <c r="B1109" s="232"/>
      <c r="C1109" s="232"/>
      <c r="D1109" s="255"/>
      <c r="E1109" s="255"/>
      <c r="F1109" s="255"/>
      <c r="G1109" s="255"/>
      <c r="H1109" s="61"/>
      <c r="I1109" s="61"/>
      <c r="J1109" s="54"/>
      <c r="K1109" s="55" t="s">
        <v>349</v>
      </c>
      <c r="L1109" s="62" t="s">
        <v>332</v>
      </c>
      <c r="M1109" s="55" t="s">
        <v>349</v>
      </c>
      <c r="N1109" s="55">
        <v>44061</v>
      </c>
      <c r="O1109" s="12" t="s">
        <v>2191</v>
      </c>
      <c r="P1109" s="62" t="s">
        <v>2192</v>
      </c>
      <c r="Q1109" s="38"/>
      <c r="R1109" s="35"/>
      <c r="S1109" s="33"/>
      <c r="T1109" s="33"/>
      <c r="U1109" s="21"/>
    </row>
    <row r="1110" spans="2:21">
      <c r="B1110" s="232"/>
      <c r="C1110" s="232"/>
      <c r="D1110" s="255"/>
      <c r="E1110" s="255"/>
      <c r="F1110" s="255"/>
      <c r="G1110" s="255"/>
      <c r="H1110" s="38"/>
      <c r="I1110" s="38"/>
      <c r="J1110" s="38"/>
      <c r="K1110" s="38"/>
      <c r="L1110" s="39"/>
      <c r="M1110" s="38"/>
      <c r="N1110" s="39"/>
      <c r="O1110" s="38"/>
      <c r="P1110" s="38"/>
      <c r="Q1110" s="38"/>
      <c r="R1110" s="35"/>
      <c r="S1110" s="33"/>
      <c r="T1110" s="33"/>
      <c r="U1110" s="21"/>
    </row>
    <row r="1111" spans="2:21">
      <c r="B1111" s="232"/>
      <c r="C1111" s="232"/>
      <c r="D1111" s="255"/>
      <c r="E1111" s="255"/>
      <c r="F1111" s="255"/>
      <c r="G1111" s="255"/>
      <c r="H1111" s="61" t="s">
        <v>177</v>
      </c>
      <c r="I1111" s="61"/>
      <c r="J1111" s="54" t="s">
        <v>380</v>
      </c>
      <c r="K1111" s="55" t="s">
        <v>349</v>
      </c>
      <c r="L1111" s="35" t="s">
        <v>332</v>
      </c>
      <c r="M1111" s="53" t="s">
        <v>349</v>
      </c>
      <c r="N1111" s="55">
        <v>44418</v>
      </c>
      <c r="O1111" s="62" t="s">
        <v>673</v>
      </c>
      <c r="P1111" s="62" t="s">
        <v>2094</v>
      </c>
      <c r="Q1111" s="38"/>
      <c r="R1111" s="35"/>
      <c r="S1111" s="33"/>
      <c r="T1111" s="33"/>
      <c r="U1111" s="21"/>
    </row>
    <row r="1112" spans="2:21">
      <c r="B1112" s="232"/>
      <c r="C1112" s="232"/>
      <c r="D1112" s="255"/>
      <c r="E1112" s="255"/>
      <c r="F1112" s="255"/>
      <c r="G1112" s="255"/>
      <c r="H1112" s="61"/>
      <c r="I1112" s="61"/>
      <c r="J1112" s="54"/>
      <c r="K1112" s="55" t="s">
        <v>349</v>
      </c>
      <c r="L1112" s="35" t="s">
        <v>332</v>
      </c>
      <c r="M1112" s="53" t="s">
        <v>349</v>
      </c>
      <c r="N1112" s="55">
        <v>44426</v>
      </c>
      <c r="O1112" s="62" t="s">
        <v>2181</v>
      </c>
      <c r="P1112" s="62" t="s">
        <v>2192</v>
      </c>
      <c r="Q1112" s="38"/>
      <c r="R1112" s="35"/>
      <c r="S1112" s="33"/>
      <c r="T1112" s="33"/>
      <c r="U1112" s="21"/>
    </row>
    <row r="1113" spans="2:21">
      <c r="B1113" s="232"/>
      <c r="C1113" s="232"/>
      <c r="D1113" s="255"/>
      <c r="E1113" s="255"/>
      <c r="F1113" s="255"/>
      <c r="G1113" s="255"/>
      <c r="H1113" s="61"/>
      <c r="I1113" s="61"/>
      <c r="J1113" s="54"/>
      <c r="K1113" s="55" t="s">
        <v>1216</v>
      </c>
      <c r="L1113" s="35" t="s">
        <v>332</v>
      </c>
      <c r="M1113" s="53" t="s">
        <v>349</v>
      </c>
      <c r="N1113" s="55">
        <v>44452</v>
      </c>
      <c r="O1113" s="62" t="s">
        <v>2181</v>
      </c>
      <c r="P1113" s="62" t="s">
        <v>2255</v>
      </c>
      <c r="Q1113" s="38"/>
      <c r="R1113" s="35"/>
      <c r="S1113" s="33"/>
      <c r="T1113" s="33"/>
      <c r="U1113" s="21"/>
    </row>
    <row r="1114" spans="2:21">
      <c r="B1114" s="232"/>
      <c r="C1114" s="232"/>
      <c r="D1114" s="255"/>
      <c r="E1114" s="255"/>
      <c r="F1114" s="255"/>
      <c r="G1114" s="255"/>
      <c r="H1114" s="38"/>
      <c r="I1114" s="38"/>
      <c r="J1114" s="38"/>
      <c r="K1114" s="38"/>
      <c r="L1114" s="39"/>
      <c r="M1114" s="38"/>
      <c r="N1114" s="39"/>
      <c r="O1114" s="38"/>
      <c r="P1114" s="38"/>
      <c r="Q1114" s="38"/>
      <c r="R1114" s="35"/>
      <c r="S1114" s="33"/>
      <c r="T1114" s="33"/>
      <c r="U1114" s="21"/>
    </row>
    <row r="1115" spans="2:21">
      <c r="B1115" s="232"/>
      <c r="C1115" s="232"/>
      <c r="D1115" s="255"/>
      <c r="E1115" s="255"/>
      <c r="F1115" s="255"/>
      <c r="G1115" s="255"/>
      <c r="H1115" s="61" t="s">
        <v>181</v>
      </c>
      <c r="I1115" s="61"/>
      <c r="J1115" s="54" t="s">
        <v>382</v>
      </c>
      <c r="K1115" s="55" t="s">
        <v>349</v>
      </c>
      <c r="L1115" s="35" t="s">
        <v>332</v>
      </c>
      <c r="M1115" s="53" t="s">
        <v>349</v>
      </c>
      <c r="N1115" s="55">
        <v>44418</v>
      </c>
      <c r="O1115" s="62" t="s">
        <v>674</v>
      </c>
      <c r="P1115" s="62" t="s">
        <v>2094</v>
      </c>
      <c r="Q1115" s="38"/>
      <c r="R1115" s="35"/>
      <c r="S1115" s="33"/>
      <c r="T1115" s="33"/>
      <c r="U1115" s="21"/>
    </row>
    <row r="1116" spans="2:21">
      <c r="B1116" s="232"/>
      <c r="C1116" s="232"/>
      <c r="D1116" s="255"/>
      <c r="E1116" s="255"/>
      <c r="F1116" s="255"/>
      <c r="G1116" s="255"/>
      <c r="H1116" s="61"/>
      <c r="I1116" s="61"/>
      <c r="J1116" s="54"/>
      <c r="K1116" s="55" t="s">
        <v>349</v>
      </c>
      <c r="L1116" s="35" t="s">
        <v>332</v>
      </c>
      <c r="M1116" s="53" t="s">
        <v>349</v>
      </c>
      <c r="N1116" s="55">
        <v>44426</v>
      </c>
      <c r="O1116" s="62" t="s">
        <v>2179</v>
      </c>
      <c r="P1116" s="62" t="s">
        <v>2192</v>
      </c>
      <c r="Q1116" s="38"/>
      <c r="R1116" s="35"/>
      <c r="S1116" s="33"/>
      <c r="T1116" s="33"/>
      <c r="U1116" s="21"/>
    </row>
    <row r="1117" spans="2:21">
      <c r="B1117" s="232"/>
      <c r="C1117" s="232"/>
      <c r="D1117" s="255"/>
      <c r="E1117" s="255"/>
      <c r="F1117" s="255"/>
      <c r="G1117" s="255"/>
      <c r="H1117" s="38"/>
      <c r="I1117" s="38"/>
      <c r="J1117" s="38"/>
      <c r="K1117" s="38"/>
      <c r="L1117" s="39"/>
      <c r="M1117" s="38"/>
      <c r="N1117" s="39"/>
      <c r="O1117" s="38"/>
      <c r="P1117" s="38"/>
      <c r="Q1117" s="38"/>
      <c r="R1117" s="35"/>
      <c r="S1117" s="33"/>
      <c r="T1117" s="33"/>
      <c r="U1117" s="21"/>
    </row>
    <row r="1118" spans="2:21">
      <c r="B1118" s="232"/>
      <c r="C1118" s="232"/>
      <c r="D1118" s="255"/>
      <c r="E1118" s="255"/>
      <c r="F1118" s="255"/>
      <c r="G1118" s="255"/>
      <c r="H1118" s="21" t="s">
        <v>183</v>
      </c>
      <c r="I1118" s="21"/>
      <c r="J1118" s="33" t="s">
        <v>383</v>
      </c>
      <c r="K1118" s="55" t="s">
        <v>349</v>
      </c>
      <c r="L1118" s="35" t="s">
        <v>332</v>
      </c>
      <c r="M1118" s="55" t="s">
        <v>349</v>
      </c>
      <c r="N1118" s="55">
        <v>44418</v>
      </c>
      <c r="O1118" s="35" t="s">
        <v>676</v>
      </c>
      <c r="P1118" s="62" t="s">
        <v>2094</v>
      </c>
      <c r="Q1118" s="38"/>
      <c r="R1118" s="35"/>
      <c r="S1118" s="33"/>
      <c r="T1118" s="33"/>
      <c r="U1118" s="21"/>
    </row>
    <row r="1119" spans="2:21">
      <c r="B1119" s="232"/>
      <c r="C1119" s="232"/>
      <c r="D1119" s="255"/>
      <c r="E1119" s="255"/>
      <c r="F1119" s="255"/>
      <c r="G1119" s="255"/>
      <c r="H1119" s="38"/>
      <c r="I1119" s="38"/>
      <c r="J1119" s="38"/>
      <c r="K1119" s="55" t="s">
        <v>349</v>
      </c>
      <c r="L1119" s="35" t="s">
        <v>332</v>
      </c>
      <c r="M1119" s="53" t="s">
        <v>349</v>
      </c>
      <c r="N1119" s="55">
        <v>44426</v>
      </c>
      <c r="O1119" s="62" t="s">
        <v>2187</v>
      </c>
      <c r="P1119" s="62" t="s">
        <v>2192</v>
      </c>
      <c r="Q1119" s="38"/>
      <c r="R1119" s="35"/>
      <c r="S1119" s="33"/>
      <c r="T1119" s="33"/>
      <c r="U1119" s="21"/>
    </row>
    <row r="1120" spans="2:21">
      <c r="B1120" s="232"/>
      <c r="C1120" s="232"/>
      <c r="D1120" s="255"/>
      <c r="E1120" s="255"/>
      <c r="F1120" s="255"/>
      <c r="G1120" s="255"/>
      <c r="H1120" s="38"/>
      <c r="I1120" s="38"/>
      <c r="J1120" s="38"/>
      <c r="K1120" s="55" t="s">
        <v>1216</v>
      </c>
      <c r="L1120" s="35" t="s">
        <v>332</v>
      </c>
      <c r="M1120" s="53" t="s">
        <v>349</v>
      </c>
      <c r="N1120" s="55">
        <v>44438</v>
      </c>
      <c r="O1120" s="62" t="s">
        <v>2187</v>
      </c>
      <c r="P1120" s="62" t="s">
        <v>2207</v>
      </c>
      <c r="Q1120" s="38"/>
      <c r="R1120" s="35"/>
      <c r="S1120" s="33"/>
      <c r="T1120" s="33"/>
      <c r="U1120" s="21"/>
    </row>
    <row r="1121" spans="2:21">
      <c r="B1121" s="232"/>
      <c r="C1121" s="232"/>
      <c r="D1121" s="255"/>
      <c r="E1121" s="255"/>
      <c r="F1121" s="255"/>
      <c r="G1121" s="255"/>
      <c r="H1121" s="38"/>
      <c r="I1121" s="38"/>
      <c r="J1121" s="38"/>
      <c r="K1121" s="55" t="s">
        <v>1230</v>
      </c>
      <c r="L1121" s="35" t="s">
        <v>332</v>
      </c>
      <c r="M1121" s="53" t="s">
        <v>349</v>
      </c>
      <c r="N1121" s="55">
        <v>44452</v>
      </c>
      <c r="O1121" s="62" t="s">
        <v>2187</v>
      </c>
      <c r="P1121" s="62" t="s">
        <v>2255</v>
      </c>
      <c r="Q1121" s="38"/>
      <c r="R1121" s="35"/>
      <c r="S1121" s="33"/>
      <c r="T1121" s="33"/>
      <c r="U1121" s="21"/>
    </row>
    <row r="1122" spans="2:21">
      <c r="B1122" s="232"/>
      <c r="C1122" s="232"/>
      <c r="D1122" s="255"/>
      <c r="E1122" s="255"/>
      <c r="F1122" s="255"/>
      <c r="G1122" s="255"/>
      <c r="H1122" s="21"/>
      <c r="I1122" s="21"/>
      <c r="J1122" s="33"/>
      <c r="K1122" s="38"/>
      <c r="L1122" s="39"/>
      <c r="M1122" s="38"/>
      <c r="N1122" s="39"/>
      <c r="O1122" s="38"/>
      <c r="P1122" s="38"/>
      <c r="Q1122" s="38"/>
      <c r="R1122" s="35"/>
      <c r="S1122" s="33"/>
      <c r="T1122" s="33"/>
      <c r="U1122" s="21"/>
    </row>
    <row r="1123" spans="2:21">
      <c r="B1123" s="232"/>
      <c r="C1123" s="232"/>
      <c r="D1123" s="255"/>
      <c r="E1123" s="255"/>
      <c r="F1123" s="255"/>
      <c r="G1123" s="255"/>
      <c r="H1123" s="21" t="s">
        <v>386</v>
      </c>
      <c r="I1123" s="21"/>
      <c r="J1123" s="33" t="s">
        <v>385</v>
      </c>
      <c r="K1123" s="53" t="s">
        <v>349</v>
      </c>
      <c r="L1123" s="35" t="s">
        <v>332</v>
      </c>
      <c r="M1123" s="53" t="s">
        <v>349</v>
      </c>
      <c r="N1123" s="55">
        <v>44418</v>
      </c>
      <c r="O1123" s="62" t="s">
        <v>677</v>
      </c>
      <c r="P1123" s="62" t="s">
        <v>2094</v>
      </c>
      <c r="Q1123" s="38"/>
      <c r="R1123" s="35"/>
      <c r="S1123" s="33"/>
      <c r="T1123" s="33"/>
      <c r="U1123" s="21"/>
    </row>
    <row r="1124" spans="2:21">
      <c r="B1124" s="232"/>
      <c r="C1124" s="232"/>
      <c r="D1124" s="255"/>
      <c r="E1124" s="255"/>
      <c r="F1124" s="255"/>
      <c r="G1124" s="255"/>
      <c r="H1124" s="38"/>
      <c r="I1124" s="38"/>
      <c r="J1124" s="38"/>
      <c r="K1124" s="55" t="s">
        <v>349</v>
      </c>
      <c r="L1124" s="35" t="s">
        <v>332</v>
      </c>
      <c r="M1124" s="53" t="s">
        <v>349</v>
      </c>
      <c r="N1124" s="55">
        <v>44426</v>
      </c>
      <c r="O1124" s="62" t="s">
        <v>2189</v>
      </c>
      <c r="P1124" s="62" t="s">
        <v>2192</v>
      </c>
      <c r="Q1124" s="38"/>
      <c r="R1124" s="35"/>
      <c r="S1124" s="33"/>
      <c r="T1124" s="33"/>
      <c r="U1124" s="21"/>
    </row>
    <row r="1125" spans="2:21">
      <c r="B1125" s="232"/>
      <c r="C1125" s="232"/>
      <c r="D1125" s="255"/>
      <c r="E1125" s="255"/>
      <c r="F1125" s="255"/>
      <c r="G1125" s="255"/>
      <c r="H1125" s="38"/>
      <c r="I1125" s="38"/>
      <c r="J1125" s="38"/>
      <c r="K1125" s="38"/>
      <c r="L1125" s="39"/>
      <c r="M1125" s="38"/>
      <c r="N1125" s="39"/>
      <c r="O1125" s="38"/>
      <c r="P1125" s="38"/>
      <c r="Q1125" s="38"/>
      <c r="R1125" s="35"/>
      <c r="S1125" s="33"/>
      <c r="T1125" s="33"/>
      <c r="U1125" s="21"/>
    </row>
    <row r="1126" spans="2:21">
      <c r="B1126" s="232"/>
      <c r="C1126" s="232"/>
      <c r="D1126" s="39" t="s">
        <v>323</v>
      </c>
      <c r="E1126" s="256" t="s">
        <v>225</v>
      </c>
      <c r="F1126" s="257"/>
      <c r="G1126" s="257"/>
      <c r="H1126" s="257"/>
      <c r="I1126" s="257"/>
      <c r="J1126" s="257"/>
      <c r="K1126" s="257"/>
      <c r="L1126" s="257"/>
      <c r="M1126" s="257"/>
      <c r="N1126" s="257"/>
      <c r="O1126" s="257"/>
      <c r="P1126" s="257"/>
      <c r="Q1126" s="257"/>
      <c r="R1126" s="257"/>
      <c r="S1126" s="257"/>
      <c r="T1126" s="258"/>
      <c r="U1126" s="21"/>
    </row>
    <row r="1127" spans="2:21">
      <c r="B1127" s="232"/>
      <c r="C1127" s="232"/>
      <c r="D1127" s="255"/>
      <c r="E1127" s="255"/>
      <c r="F1127" s="21" t="s">
        <v>27</v>
      </c>
      <c r="G1127" s="256" t="s">
        <v>175</v>
      </c>
      <c r="H1127" s="257"/>
      <c r="I1127" s="257"/>
      <c r="J1127" s="257"/>
      <c r="K1127" s="257"/>
      <c r="L1127" s="257"/>
      <c r="M1127" s="257"/>
      <c r="N1127" s="257"/>
      <c r="O1127" s="257"/>
      <c r="P1127" s="257"/>
      <c r="Q1127" s="258"/>
      <c r="R1127" s="39" t="s">
        <v>26</v>
      </c>
      <c r="S1127" s="21"/>
      <c r="T1127" s="21"/>
      <c r="U1127" s="21"/>
    </row>
    <row r="1128" spans="2:21">
      <c r="B1128" s="232"/>
      <c r="C1128" s="232"/>
      <c r="D1128" s="255"/>
      <c r="E1128" s="255"/>
      <c r="F1128" s="262"/>
      <c r="G1128" s="262"/>
      <c r="H1128" s="21" t="s">
        <v>176</v>
      </c>
      <c r="I1128" s="21"/>
      <c r="J1128" s="33" t="s">
        <v>751</v>
      </c>
      <c r="K1128" s="35" t="s">
        <v>330</v>
      </c>
      <c r="L1128" s="35" t="s">
        <v>333</v>
      </c>
      <c r="M1128" s="53">
        <v>44007</v>
      </c>
      <c r="N1128" s="53">
        <v>44007</v>
      </c>
      <c r="O1128" s="35" t="s">
        <v>344</v>
      </c>
      <c r="P1128" s="35" t="s">
        <v>335</v>
      </c>
      <c r="Q1128" s="35"/>
      <c r="R1128" s="35"/>
      <c r="S1128" s="33"/>
      <c r="T1128" s="33"/>
      <c r="U1128" s="21"/>
    </row>
    <row r="1129" spans="2:21">
      <c r="B1129" s="232"/>
      <c r="C1129" s="232"/>
      <c r="D1129" s="255"/>
      <c r="E1129" s="255"/>
      <c r="F1129" s="262"/>
      <c r="G1129" s="262"/>
      <c r="H1129" s="21"/>
      <c r="I1129" s="21"/>
      <c r="J1129" s="33"/>
      <c r="K1129" s="35" t="s">
        <v>330</v>
      </c>
      <c r="L1129" s="35" t="s">
        <v>333</v>
      </c>
      <c r="M1129" s="53">
        <v>44071</v>
      </c>
      <c r="N1129" s="53">
        <v>44081</v>
      </c>
      <c r="O1129" s="35" t="s">
        <v>388</v>
      </c>
      <c r="P1129" s="35" t="s">
        <v>409</v>
      </c>
      <c r="Q1129" s="35"/>
      <c r="R1129" s="35"/>
      <c r="S1129" s="33"/>
      <c r="T1129" s="51"/>
      <c r="U1129" s="21"/>
    </row>
    <row r="1130" spans="2:21">
      <c r="B1130" s="232"/>
      <c r="C1130" s="232"/>
      <c r="D1130" s="255"/>
      <c r="E1130" s="255"/>
      <c r="F1130" s="262"/>
      <c r="G1130" s="262"/>
      <c r="H1130" s="21"/>
      <c r="I1130" s="21"/>
      <c r="J1130" s="54"/>
      <c r="K1130" s="62" t="s">
        <v>330</v>
      </c>
      <c r="L1130" s="62" t="s">
        <v>333</v>
      </c>
      <c r="M1130" s="55" t="s">
        <v>349</v>
      </c>
      <c r="N1130" s="55">
        <v>44165</v>
      </c>
      <c r="O1130" s="62" t="s">
        <v>474</v>
      </c>
      <c r="P1130" s="62" t="s">
        <v>679</v>
      </c>
      <c r="Q1130" s="35"/>
      <c r="R1130" s="35"/>
      <c r="S1130" s="33"/>
      <c r="T1130" s="33"/>
      <c r="U1130" s="21"/>
    </row>
    <row r="1131" spans="2:21">
      <c r="B1131" s="232"/>
      <c r="C1131" s="232"/>
      <c r="D1131" s="255"/>
      <c r="E1131" s="255"/>
      <c r="F1131" s="262"/>
      <c r="G1131" s="262"/>
      <c r="H1131" s="21"/>
      <c r="I1131" s="21"/>
      <c r="J1131" s="54"/>
      <c r="K1131" s="62"/>
      <c r="L1131" s="35" t="s">
        <v>332</v>
      </c>
      <c r="M1131" s="53">
        <v>44195</v>
      </c>
      <c r="N1131" s="53">
        <v>44194</v>
      </c>
      <c r="O1131" s="62" t="s">
        <v>474</v>
      </c>
      <c r="P1131" s="62" t="s">
        <v>853</v>
      </c>
      <c r="Q1131" s="35"/>
      <c r="R1131" s="35"/>
      <c r="S1131" s="33"/>
      <c r="T1131" s="33"/>
      <c r="U1131" s="21"/>
    </row>
    <row r="1132" spans="2:21">
      <c r="B1132" s="232"/>
      <c r="C1132" s="232"/>
      <c r="D1132" s="255"/>
      <c r="E1132" s="255"/>
      <c r="F1132" s="262"/>
      <c r="G1132" s="262"/>
      <c r="H1132" s="21"/>
      <c r="I1132" s="21"/>
      <c r="J1132" s="54"/>
      <c r="K1132" s="35" t="s">
        <v>1216</v>
      </c>
      <c r="L1132" s="35" t="s">
        <v>332</v>
      </c>
      <c r="M1132" s="53" t="s">
        <v>349</v>
      </c>
      <c r="N1132" s="53">
        <v>44263</v>
      </c>
      <c r="O1132" s="62" t="s">
        <v>474</v>
      </c>
      <c r="P1132" s="62" t="s">
        <v>1217</v>
      </c>
      <c r="Q1132" s="35"/>
      <c r="R1132" s="35"/>
      <c r="S1132" s="33"/>
      <c r="T1132" s="33"/>
      <c r="U1132" s="21"/>
    </row>
    <row r="1133" spans="2:21">
      <c r="B1133" s="232"/>
      <c r="C1133" s="232"/>
      <c r="D1133" s="255"/>
      <c r="E1133" s="255"/>
      <c r="F1133" s="262"/>
      <c r="G1133" s="262"/>
      <c r="H1133" s="21"/>
      <c r="I1133" s="21"/>
      <c r="J1133" s="54"/>
      <c r="K1133" s="35" t="s">
        <v>1230</v>
      </c>
      <c r="L1133" s="35" t="s">
        <v>332</v>
      </c>
      <c r="M1133" s="53" t="s">
        <v>349</v>
      </c>
      <c r="N1133" s="53">
        <v>44333</v>
      </c>
      <c r="O1133" s="62" t="s">
        <v>474</v>
      </c>
      <c r="P1133" s="62" t="s">
        <v>1692</v>
      </c>
      <c r="Q1133" s="35"/>
      <c r="R1133" s="35"/>
      <c r="S1133" s="33"/>
      <c r="T1133" s="33"/>
      <c r="U1133" s="21"/>
    </row>
    <row r="1134" spans="2:21">
      <c r="B1134" s="232"/>
      <c r="C1134" s="232"/>
      <c r="D1134" s="255"/>
      <c r="E1134" s="255"/>
      <c r="F1134" s="262"/>
      <c r="G1134" s="262"/>
      <c r="H1134" s="21"/>
      <c r="I1134" s="21"/>
      <c r="J1134" s="54"/>
      <c r="K1134" s="35" t="s">
        <v>1396</v>
      </c>
      <c r="L1134" s="35" t="s">
        <v>332</v>
      </c>
      <c r="M1134" s="53" t="s">
        <v>349</v>
      </c>
      <c r="N1134" s="53">
        <v>44372</v>
      </c>
      <c r="O1134" s="62" t="s">
        <v>474</v>
      </c>
      <c r="P1134" s="62" t="s">
        <v>1863</v>
      </c>
      <c r="Q1134" s="35"/>
      <c r="R1134" s="35"/>
      <c r="S1134" s="33"/>
      <c r="T1134" s="33"/>
      <c r="U1134" s="21"/>
    </row>
    <row r="1135" spans="2:21">
      <c r="B1135" s="232"/>
      <c r="C1135" s="232"/>
      <c r="D1135" s="255"/>
      <c r="E1135" s="255"/>
      <c r="F1135" s="262"/>
      <c r="G1135" s="262"/>
      <c r="H1135" s="21"/>
      <c r="I1135" s="21"/>
      <c r="J1135" s="54"/>
      <c r="K1135" s="35" t="s">
        <v>2098</v>
      </c>
      <c r="L1135" s="35" t="s">
        <v>332</v>
      </c>
      <c r="M1135" s="53" t="s">
        <v>349</v>
      </c>
      <c r="N1135" s="53">
        <v>44418</v>
      </c>
      <c r="O1135" s="62" t="s">
        <v>474</v>
      </c>
      <c r="P1135" s="62" t="s">
        <v>2094</v>
      </c>
      <c r="Q1135" s="35"/>
      <c r="R1135" s="35"/>
      <c r="S1135" s="33"/>
      <c r="T1135" s="33"/>
      <c r="U1135" s="21"/>
    </row>
    <row r="1136" spans="2:21">
      <c r="B1136" s="232"/>
      <c r="C1136" s="232"/>
      <c r="D1136" s="255"/>
      <c r="E1136" s="255"/>
      <c r="F1136" s="262"/>
      <c r="G1136" s="262"/>
      <c r="H1136" s="21"/>
      <c r="I1136" s="21"/>
      <c r="J1136" s="54"/>
      <c r="K1136" s="35" t="s">
        <v>1694</v>
      </c>
      <c r="L1136" s="35" t="s">
        <v>332</v>
      </c>
      <c r="M1136" s="53" t="s">
        <v>349</v>
      </c>
      <c r="N1136" s="53">
        <v>44497</v>
      </c>
      <c r="O1136" s="62" t="s">
        <v>474</v>
      </c>
      <c r="P1136" s="62" t="s">
        <v>2375</v>
      </c>
      <c r="Q1136" s="35"/>
      <c r="R1136" s="35"/>
      <c r="S1136" s="33"/>
      <c r="T1136" s="33"/>
      <c r="U1136" s="21"/>
    </row>
    <row r="1137" spans="2:21">
      <c r="B1137" s="232"/>
      <c r="C1137" s="232"/>
      <c r="D1137" s="255"/>
      <c r="E1137" s="255"/>
      <c r="F1137" s="262"/>
      <c r="G1137" s="262"/>
      <c r="H1137" s="21"/>
      <c r="I1137" s="21"/>
      <c r="J1137" s="54"/>
      <c r="K1137" s="35" t="s">
        <v>2335</v>
      </c>
      <c r="L1137" s="35" t="s">
        <v>332</v>
      </c>
      <c r="M1137" s="53" t="s">
        <v>349</v>
      </c>
      <c r="N1137" s="53">
        <v>44656</v>
      </c>
      <c r="O1137" s="62" t="s">
        <v>474</v>
      </c>
      <c r="P1137" s="62" t="s">
        <v>2840</v>
      </c>
      <c r="Q1137" s="35"/>
      <c r="R1137" s="35"/>
      <c r="S1137" s="33"/>
      <c r="T1137" s="33"/>
      <c r="U1137" s="21"/>
    </row>
    <row r="1138" spans="2:21">
      <c r="B1138" s="232"/>
      <c r="C1138" s="232"/>
      <c r="D1138" s="255"/>
      <c r="E1138" s="255"/>
      <c r="F1138" s="262"/>
      <c r="G1138" s="262"/>
      <c r="H1138" s="21"/>
      <c r="I1138" s="21"/>
      <c r="J1138" s="54"/>
      <c r="K1138" s="35" t="s">
        <v>2336</v>
      </c>
      <c r="L1138" s="35" t="s">
        <v>332</v>
      </c>
      <c r="M1138" s="53" t="s">
        <v>349</v>
      </c>
      <c r="N1138" s="55">
        <v>44732</v>
      </c>
      <c r="O1138" s="62" t="s">
        <v>474</v>
      </c>
      <c r="P1138" s="62" t="s">
        <v>3020</v>
      </c>
      <c r="Q1138" s="35"/>
      <c r="R1138" s="35"/>
      <c r="S1138" s="33"/>
      <c r="T1138" s="33"/>
      <c r="U1138" s="21"/>
    </row>
    <row r="1139" spans="2:21">
      <c r="B1139" s="232"/>
      <c r="C1139" s="232"/>
      <c r="D1139" s="255"/>
      <c r="E1139" s="255"/>
      <c r="F1139" s="262"/>
      <c r="G1139" s="262"/>
      <c r="H1139" s="21"/>
      <c r="I1139" s="21"/>
      <c r="J1139" s="54"/>
      <c r="K1139" s="35" t="s">
        <v>2260</v>
      </c>
      <c r="L1139" s="35" t="s">
        <v>332</v>
      </c>
      <c r="M1139" s="53" t="s">
        <v>349</v>
      </c>
      <c r="N1139" s="55">
        <v>44782</v>
      </c>
      <c r="O1139" s="62" t="s">
        <v>474</v>
      </c>
      <c r="P1139" s="62" t="s">
        <v>3185</v>
      </c>
      <c r="Q1139" s="35"/>
      <c r="R1139" s="35"/>
      <c r="S1139" s="33"/>
      <c r="T1139" s="33"/>
      <c r="U1139" s="21"/>
    </row>
    <row r="1140" spans="2:21">
      <c r="B1140" s="232"/>
      <c r="C1140" s="232"/>
      <c r="D1140" s="255"/>
      <c r="E1140" s="255"/>
      <c r="F1140" s="262"/>
      <c r="G1140" s="262"/>
      <c r="H1140" s="21"/>
      <c r="I1140" s="21"/>
      <c r="J1140" s="54"/>
      <c r="K1140" s="35" t="s">
        <v>2334</v>
      </c>
      <c r="L1140" s="35" t="s">
        <v>332</v>
      </c>
      <c r="M1140" s="53" t="s">
        <v>349</v>
      </c>
      <c r="N1140" s="55">
        <v>44858</v>
      </c>
      <c r="O1140" s="62" t="s">
        <v>474</v>
      </c>
      <c r="P1140" s="62" t="s">
        <v>3309</v>
      </c>
      <c r="Q1140" s="35"/>
      <c r="R1140" s="35"/>
      <c r="S1140" s="33"/>
      <c r="T1140" s="33"/>
      <c r="U1140" s="21"/>
    </row>
    <row r="1141" spans="2:21">
      <c r="B1141" s="232"/>
      <c r="C1141" s="232"/>
      <c r="D1141" s="255"/>
      <c r="E1141" s="255"/>
      <c r="F1141" s="262"/>
      <c r="G1141" s="262"/>
      <c r="H1141" s="21"/>
      <c r="I1141" s="21"/>
      <c r="J1141" s="54"/>
      <c r="K1141" s="35" t="s">
        <v>2370</v>
      </c>
      <c r="L1141" s="35" t="s">
        <v>332</v>
      </c>
      <c r="M1141" s="53" t="s">
        <v>349</v>
      </c>
      <c r="N1141" s="55">
        <v>44939</v>
      </c>
      <c r="O1141" s="62" t="s">
        <v>474</v>
      </c>
      <c r="P1141" s="62" t="s">
        <v>3389</v>
      </c>
      <c r="Q1141" s="35"/>
      <c r="R1141" s="35"/>
      <c r="S1141" s="33"/>
      <c r="T1141" s="33"/>
      <c r="U1141" s="21"/>
    </row>
    <row r="1142" spans="2:21">
      <c r="B1142" s="232"/>
      <c r="C1142" s="232"/>
      <c r="D1142" s="255"/>
      <c r="E1142" s="255"/>
      <c r="F1142" s="262"/>
      <c r="G1142" s="262"/>
      <c r="H1142" s="21"/>
      <c r="I1142" s="21"/>
      <c r="J1142" s="54"/>
      <c r="K1142" s="35" t="s">
        <v>3529</v>
      </c>
      <c r="L1142" s="35" t="s">
        <v>332</v>
      </c>
      <c r="M1142" s="53" t="s">
        <v>349</v>
      </c>
      <c r="N1142" s="55">
        <v>44972</v>
      </c>
      <c r="O1142" s="62" t="s">
        <v>474</v>
      </c>
      <c r="P1142" s="62" t="s">
        <v>3528</v>
      </c>
      <c r="Q1142" s="35"/>
      <c r="R1142" s="35"/>
      <c r="S1142" s="33"/>
      <c r="T1142" s="33"/>
      <c r="U1142" s="21"/>
    </row>
    <row r="1143" spans="2:21">
      <c r="B1143" s="232"/>
      <c r="C1143" s="232"/>
      <c r="D1143" s="255"/>
      <c r="E1143" s="255"/>
      <c r="F1143" s="262"/>
      <c r="G1143" s="262"/>
      <c r="H1143" s="21"/>
      <c r="I1143" s="21"/>
      <c r="J1143" s="54"/>
      <c r="K1143" s="35" t="s">
        <v>3022</v>
      </c>
      <c r="L1143" s="35" t="s">
        <v>332</v>
      </c>
      <c r="M1143" s="53" t="s">
        <v>349</v>
      </c>
      <c r="N1143" s="55">
        <v>45219</v>
      </c>
      <c r="O1143" s="62" t="s">
        <v>474</v>
      </c>
      <c r="P1143" s="62" t="s">
        <v>4051</v>
      </c>
      <c r="Q1143" s="35"/>
      <c r="R1143" s="35"/>
      <c r="S1143" s="33"/>
      <c r="T1143" s="33"/>
      <c r="U1143" s="21"/>
    </row>
    <row r="1144" spans="2:21">
      <c r="B1144" s="232"/>
      <c r="C1144" s="232"/>
      <c r="D1144" s="255"/>
      <c r="E1144" s="255"/>
      <c r="F1144" s="262"/>
      <c r="G1144" s="262"/>
      <c r="H1144" s="21"/>
      <c r="I1144" s="21"/>
      <c r="J1144" s="33"/>
      <c r="K1144" s="35"/>
      <c r="L1144" s="35"/>
      <c r="M1144" s="53"/>
      <c r="N1144" s="53"/>
      <c r="O1144" s="35"/>
      <c r="P1144" s="35"/>
      <c r="Q1144" s="35"/>
      <c r="R1144" s="35"/>
      <c r="S1144" s="33"/>
      <c r="T1144" s="51"/>
      <c r="U1144" s="21"/>
    </row>
    <row r="1145" spans="2:21">
      <c r="B1145" s="232"/>
      <c r="C1145" s="232"/>
      <c r="D1145" s="255"/>
      <c r="E1145" s="255"/>
      <c r="F1145" s="262"/>
      <c r="G1145" s="262"/>
      <c r="H1145" s="61" t="s">
        <v>177</v>
      </c>
      <c r="I1145" s="61"/>
      <c r="J1145" s="54" t="s">
        <v>387</v>
      </c>
      <c r="K1145" s="62" t="s">
        <v>330</v>
      </c>
      <c r="L1145" s="62" t="s">
        <v>333</v>
      </c>
      <c r="M1145" s="55" t="s">
        <v>349</v>
      </c>
      <c r="N1145" s="55">
        <v>44165</v>
      </c>
      <c r="O1145" s="62" t="s">
        <v>675</v>
      </c>
      <c r="P1145" s="62" t="s">
        <v>679</v>
      </c>
      <c r="Q1145" s="35"/>
      <c r="R1145" s="51"/>
      <c r="S1145" s="33"/>
      <c r="T1145" s="33"/>
      <c r="U1145" s="21"/>
    </row>
    <row r="1146" spans="2:21">
      <c r="B1146" s="232"/>
      <c r="C1146" s="232"/>
      <c r="D1146" s="255"/>
      <c r="E1146" s="255"/>
      <c r="F1146" s="262"/>
      <c r="G1146" s="262"/>
      <c r="H1146" s="21"/>
      <c r="I1146" s="21"/>
      <c r="J1146" s="54"/>
      <c r="K1146" s="35"/>
      <c r="L1146" s="35" t="s">
        <v>332</v>
      </c>
      <c r="M1146" s="53">
        <v>44195</v>
      </c>
      <c r="N1146" s="53">
        <v>44194</v>
      </c>
      <c r="O1146" s="62" t="s">
        <v>1218</v>
      </c>
      <c r="P1146" s="62" t="s">
        <v>853</v>
      </c>
      <c r="Q1146" s="35"/>
      <c r="R1146" s="35"/>
      <c r="S1146" s="33"/>
      <c r="T1146" s="33"/>
      <c r="U1146" s="21"/>
    </row>
    <row r="1147" spans="2:21">
      <c r="B1147" s="232"/>
      <c r="C1147" s="232"/>
      <c r="D1147" s="255"/>
      <c r="E1147" s="255"/>
      <c r="F1147" s="262"/>
      <c r="G1147" s="262"/>
      <c r="H1147" s="21"/>
      <c r="I1147" s="21"/>
      <c r="J1147" s="54"/>
      <c r="K1147" s="35" t="s">
        <v>1216</v>
      </c>
      <c r="L1147" s="35" t="s">
        <v>332</v>
      </c>
      <c r="M1147" s="55" t="s">
        <v>349</v>
      </c>
      <c r="N1147" s="53">
        <v>44263</v>
      </c>
      <c r="O1147" s="62" t="s">
        <v>1218</v>
      </c>
      <c r="P1147" s="62" t="s">
        <v>1217</v>
      </c>
      <c r="Q1147" s="35"/>
      <c r="R1147" s="35"/>
      <c r="S1147" s="33"/>
      <c r="T1147" s="33"/>
      <c r="U1147" s="21"/>
    </row>
    <row r="1148" spans="2:21">
      <c r="B1148" s="232"/>
      <c r="C1148" s="232"/>
      <c r="D1148" s="255"/>
      <c r="E1148" s="255"/>
      <c r="F1148" s="262"/>
      <c r="G1148" s="262"/>
      <c r="H1148" s="21"/>
      <c r="I1148" s="21"/>
      <c r="J1148" s="54"/>
      <c r="K1148" s="35" t="s">
        <v>1695</v>
      </c>
      <c r="L1148" s="35" t="s">
        <v>332</v>
      </c>
      <c r="M1148" s="55" t="s">
        <v>349</v>
      </c>
      <c r="N1148" s="53">
        <v>44333</v>
      </c>
      <c r="O1148" s="62" t="s">
        <v>1218</v>
      </c>
      <c r="P1148" s="62" t="s">
        <v>1692</v>
      </c>
      <c r="Q1148" s="35"/>
      <c r="R1148" s="35"/>
      <c r="S1148" s="33"/>
      <c r="T1148" s="33"/>
      <c r="U1148" s="21"/>
    </row>
    <row r="1149" spans="2:21">
      <c r="B1149" s="232"/>
      <c r="C1149" s="232"/>
      <c r="D1149" s="255"/>
      <c r="E1149" s="255"/>
      <c r="F1149" s="262"/>
      <c r="G1149" s="262"/>
      <c r="H1149" s="21"/>
      <c r="I1149" s="21"/>
      <c r="J1149" s="54"/>
      <c r="K1149" s="35" t="s">
        <v>1870</v>
      </c>
      <c r="L1149" s="35" t="s">
        <v>332</v>
      </c>
      <c r="M1149" s="53" t="s">
        <v>349</v>
      </c>
      <c r="N1149" s="53">
        <v>44372</v>
      </c>
      <c r="O1149" s="62" t="s">
        <v>1218</v>
      </c>
      <c r="P1149" s="62" t="s">
        <v>1863</v>
      </c>
      <c r="Q1149" s="35"/>
      <c r="R1149" s="35"/>
      <c r="S1149" s="33"/>
      <c r="T1149" s="33"/>
      <c r="U1149" s="21"/>
    </row>
    <row r="1150" spans="2:21">
      <c r="B1150" s="232"/>
      <c r="C1150" s="232"/>
      <c r="D1150" s="255"/>
      <c r="E1150" s="255"/>
      <c r="F1150" s="262"/>
      <c r="G1150" s="262"/>
      <c r="H1150" s="21"/>
      <c r="I1150" s="21"/>
      <c r="J1150" s="54"/>
      <c r="K1150" s="35" t="s">
        <v>1869</v>
      </c>
      <c r="L1150" s="35" t="s">
        <v>332</v>
      </c>
      <c r="M1150" s="53" t="s">
        <v>349</v>
      </c>
      <c r="N1150" s="53">
        <v>44418</v>
      </c>
      <c r="O1150" s="62" t="s">
        <v>1218</v>
      </c>
      <c r="P1150" s="62" t="s">
        <v>2094</v>
      </c>
      <c r="Q1150" s="35"/>
      <c r="R1150" s="35"/>
      <c r="S1150" s="33"/>
      <c r="T1150" s="33"/>
      <c r="U1150" s="21"/>
    </row>
    <row r="1151" spans="2:21">
      <c r="B1151" s="232"/>
      <c r="C1151" s="232"/>
      <c r="D1151" s="255"/>
      <c r="E1151" s="255"/>
      <c r="F1151" s="262"/>
      <c r="G1151" s="262"/>
      <c r="H1151" s="21"/>
      <c r="I1151" s="21"/>
      <c r="J1151" s="54"/>
      <c r="K1151" s="35" t="s">
        <v>324</v>
      </c>
      <c r="L1151" s="35" t="s">
        <v>332</v>
      </c>
      <c r="M1151" s="53" t="s">
        <v>349</v>
      </c>
      <c r="N1151" s="53">
        <v>44452</v>
      </c>
      <c r="O1151" s="62" t="s">
        <v>1218</v>
      </c>
      <c r="P1151" s="62" t="s">
        <v>2255</v>
      </c>
      <c r="Q1151" s="35"/>
      <c r="R1151" s="35"/>
      <c r="S1151" s="33"/>
      <c r="T1151" s="33"/>
      <c r="U1151" s="21"/>
    </row>
    <row r="1152" spans="2:21">
      <c r="B1152" s="232"/>
      <c r="C1152" s="232"/>
      <c r="D1152" s="255"/>
      <c r="E1152" s="255"/>
      <c r="F1152" s="262"/>
      <c r="G1152" s="262"/>
      <c r="H1152" s="21"/>
      <c r="I1152" s="21"/>
      <c r="J1152" s="54"/>
      <c r="K1152" s="35" t="s">
        <v>2336</v>
      </c>
      <c r="L1152" s="35" t="s">
        <v>332</v>
      </c>
      <c r="M1152" s="53" t="s">
        <v>349</v>
      </c>
      <c r="N1152" s="53">
        <v>44474</v>
      </c>
      <c r="O1152" s="62" t="s">
        <v>1218</v>
      </c>
      <c r="P1152" s="62" t="s">
        <v>2332</v>
      </c>
      <c r="Q1152" s="35"/>
      <c r="R1152" s="35"/>
      <c r="S1152" s="33"/>
      <c r="T1152" s="33"/>
      <c r="U1152" s="21"/>
    </row>
    <row r="1153" spans="2:21">
      <c r="B1153" s="232"/>
      <c r="C1153" s="232"/>
      <c r="D1153" s="255"/>
      <c r="E1153" s="255"/>
      <c r="F1153" s="262"/>
      <c r="G1153" s="262"/>
      <c r="H1153" s="21"/>
      <c r="I1153" s="21"/>
      <c r="J1153" s="54"/>
      <c r="K1153" s="35" t="s">
        <v>2843</v>
      </c>
      <c r="L1153" s="35" t="s">
        <v>332</v>
      </c>
      <c r="M1153" s="53" t="s">
        <v>349</v>
      </c>
      <c r="N1153" s="53">
        <v>44656</v>
      </c>
      <c r="O1153" s="62" t="s">
        <v>1218</v>
      </c>
      <c r="P1153" s="62" t="s">
        <v>2840</v>
      </c>
      <c r="Q1153" s="35"/>
      <c r="R1153" s="35"/>
      <c r="S1153" s="33"/>
      <c r="T1153" s="33"/>
      <c r="U1153" s="21"/>
    </row>
    <row r="1154" spans="2:21">
      <c r="B1154" s="232"/>
      <c r="C1154" s="232"/>
      <c r="D1154" s="255"/>
      <c r="E1154" s="255"/>
      <c r="F1154" s="262"/>
      <c r="G1154" s="262"/>
      <c r="H1154" s="21"/>
      <c r="I1154" s="21"/>
      <c r="J1154" s="54"/>
      <c r="K1154" s="35" t="s">
        <v>3022</v>
      </c>
      <c r="L1154" s="35" t="s">
        <v>332</v>
      </c>
      <c r="M1154" s="53" t="s">
        <v>349</v>
      </c>
      <c r="N1154" s="55">
        <v>44732</v>
      </c>
      <c r="O1154" s="62" t="s">
        <v>1218</v>
      </c>
      <c r="P1154" s="62" t="s">
        <v>3020</v>
      </c>
      <c r="Q1154" s="35"/>
      <c r="R1154" s="35"/>
      <c r="S1154" s="33"/>
      <c r="T1154" s="33"/>
      <c r="U1154" s="21"/>
    </row>
    <row r="1155" spans="2:21">
      <c r="B1155" s="232"/>
      <c r="C1155" s="232"/>
      <c r="D1155" s="255"/>
      <c r="E1155" s="255"/>
      <c r="F1155" s="262"/>
      <c r="G1155" s="262"/>
      <c r="H1155" s="21"/>
      <c r="I1155" s="21"/>
      <c r="J1155" s="54"/>
      <c r="K1155" s="35" t="s">
        <v>3187</v>
      </c>
      <c r="L1155" s="35" t="s">
        <v>332</v>
      </c>
      <c r="M1155" s="53" t="s">
        <v>349</v>
      </c>
      <c r="N1155" s="55">
        <v>44782</v>
      </c>
      <c r="O1155" s="62" t="s">
        <v>1218</v>
      </c>
      <c r="P1155" s="62" t="s">
        <v>3185</v>
      </c>
      <c r="Q1155" s="35"/>
      <c r="R1155" s="35"/>
      <c r="S1155" s="33"/>
      <c r="T1155" s="33"/>
      <c r="U1155" s="21"/>
    </row>
    <row r="1156" spans="2:21">
      <c r="B1156" s="232"/>
      <c r="C1156" s="232"/>
      <c r="D1156" s="255"/>
      <c r="E1156" s="255"/>
      <c r="F1156" s="262"/>
      <c r="G1156" s="262"/>
      <c r="H1156" s="21"/>
      <c r="I1156" s="21"/>
      <c r="J1156" s="54"/>
      <c r="K1156" s="35" t="s">
        <v>3310</v>
      </c>
      <c r="L1156" s="35" t="s">
        <v>332</v>
      </c>
      <c r="M1156" s="53" t="s">
        <v>349</v>
      </c>
      <c r="N1156" s="55">
        <v>44858</v>
      </c>
      <c r="O1156" s="62" t="s">
        <v>1218</v>
      </c>
      <c r="P1156" s="62" t="s">
        <v>3309</v>
      </c>
      <c r="Q1156" s="35"/>
      <c r="R1156" s="35"/>
      <c r="S1156" s="33"/>
      <c r="T1156" s="33"/>
      <c r="U1156" s="21"/>
    </row>
    <row r="1157" spans="2:21">
      <c r="B1157" s="232"/>
      <c r="C1157" s="232"/>
      <c r="D1157" s="255"/>
      <c r="E1157" s="255"/>
      <c r="F1157" s="262"/>
      <c r="G1157" s="262"/>
      <c r="H1157" s="21"/>
      <c r="I1157" s="21"/>
      <c r="J1157" s="54"/>
      <c r="K1157" s="35" t="s">
        <v>3390</v>
      </c>
      <c r="L1157" s="35" t="s">
        <v>332</v>
      </c>
      <c r="M1157" s="53" t="s">
        <v>349</v>
      </c>
      <c r="N1157" s="55">
        <v>44939</v>
      </c>
      <c r="O1157" s="62" t="s">
        <v>1218</v>
      </c>
      <c r="P1157" s="62" t="s">
        <v>3389</v>
      </c>
      <c r="Q1157" s="35"/>
      <c r="R1157" s="35"/>
      <c r="S1157" s="33"/>
      <c r="T1157" s="33"/>
      <c r="U1157" s="21"/>
    </row>
    <row r="1158" spans="2:21">
      <c r="B1158" s="232"/>
      <c r="C1158" s="232"/>
      <c r="D1158" s="255"/>
      <c r="E1158" s="255"/>
      <c r="F1158" s="262"/>
      <c r="G1158" s="262"/>
      <c r="H1158" s="21"/>
      <c r="I1158" s="21"/>
      <c r="J1158" s="54"/>
      <c r="K1158" s="35" t="s">
        <v>3530</v>
      </c>
      <c r="L1158" s="35" t="s">
        <v>332</v>
      </c>
      <c r="M1158" s="53" t="s">
        <v>349</v>
      </c>
      <c r="N1158" s="55">
        <v>44972</v>
      </c>
      <c r="O1158" s="62" t="s">
        <v>1218</v>
      </c>
      <c r="P1158" s="62" t="s">
        <v>3528</v>
      </c>
      <c r="Q1158" s="35"/>
      <c r="R1158" s="35"/>
      <c r="S1158" s="33"/>
      <c r="T1158" s="33"/>
      <c r="U1158" s="21"/>
    </row>
    <row r="1159" spans="2:21">
      <c r="B1159" s="232"/>
      <c r="C1159" s="232"/>
      <c r="D1159" s="255"/>
      <c r="E1159" s="255"/>
      <c r="F1159" s="262"/>
      <c r="G1159" s="262"/>
      <c r="H1159" s="21"/>
      <c r="I1159" s="21"/>
      <c r="J1159" s="54"/>
      <c r="K1159" s="35" t="s">
        <v>3750</v>
      </c>
      <c r="L1159" s="35" t="s">
        <v>332</v>
      </c>
      <c r="M1159" s="53" t="s">
        <v>349</v>
      </c>
      <c r="N1159" s="55">
        <v>45058</v>
      </c>
      <c r="O1159" s="62" t="s">
        <v>1218</v>
      </c>
      <c r="P1159" s="62" t="s">
        <v>3749</v>
      </c>
      <c r="Q1159" s="35"/>
      <c r="R1159" s="35"/>
      <c r="S1159" s="33"/>
      <c r="T1159" s="33"/>
      <c r="U1159" s="21"/>
    </row>
    <row r="1160" spans="2:21">
      <c r="B1160" s="232"/>
      <c r="C1160" s="232"/>
      <c r="D1160" s="255"/>
      <c r="E1160" s="255"/>
      <c r="F1160" s="262"/>
      <c r="G1160" s="262"/>
      <c r="H1160" s="21"/>
      <c r="I1160" s="21"/>
      <c r="J1160" s="54"/>
      <c r="K1160" s="35" t="s">
        <v>4055</v>
      </c>
      <c r="L1160" s="35" t="s">
        <v>332</v>
      </c>
      <c r="M1160" s="53" t="s">
        <v>349</v>
      </c>
      <c r="N1160" s="55">
        <v>45219</v>
      </c>
      <c r="O1160" s="62" t="s">
        <v>1218</v>
      </c>
      <c r="P1160" s="62" t="s">
        <v>4051</v>
      </c>
      <c r="Q1160" s="35"/>
      <c r="R1160" s="35"/>
      <c r="S1160" s="33"/>
      <c r="T1160" s="33"/>
      <c r="U1160" s="21"/>
    </row>
    <row r="1161" spans="2:21">
      <c r="B1161" s="232"/>
      <c r="C1161" s="232"/>
      <c r="D1161" s="255"/>
      <c r="E1161" s="255"/>
      <c r="F1161" s="262"/>
      <c r="G1161" s="262"/>
      <c r="H1161" s="21"/>
      <c r="I1161" s="21"/>
      <c r="J1161" s="54"/>
      <c r="K1161" s="35" t="s">
        <v>4251</v>
      </c>
      <c r="L1161" s="35" t="s">
        <v>332</v>
      </c>
      <c r="M1161" s="53" t="s">
        <v>349</v>
      </c>
      <c r="N1161" s="55">
        <v>45336</v>
      </c>
      <c r="O1161" s="62" t="s">
        <v>1218</v>
      </c>
      <c r="P1161" s="62" t="s">
        <v>4252</v>
      </c>
      <c r="Q1161" s="35"/>
      <c r="R1161" s="35"/>
      <c r="S1161" s="33"/>
      <c r="T1161" s="33"/>
      <c r="U1161" s="21"/>
    </row>
    <row r="1162" spans="2:21">
      <c r="B1162" s="232"/>
      <c r="C1162" s="232"/>
      <c r="D1162" s="255"/>
      <c r="E1162" s="255"/>
      <c r="F1162" s="264"/>
      <c r="G1162" s="264"/>
      <c r="H1162" s="21"/>
      <c r="I1162" s="21"/>
      <c r="J1162" s="54"/>
      <c r="K1162" s="35"/>
      <c r="L1162" s="35"/>
      <c r="M1162" s="53"/>
      <c r="N1162" s="53"/>
      <c r="O1162" s="62"/>
      <c r="P1162" s="62"/>
      <c r="Q1162" s="35"/>
      <c r="R1162" s="35"/>
      <c r="S1162" s="33"/>
      <c r="T1162" s="33"/>
      <c r="U1162" s="21"/>
    </row>
    <row r="1163" spans="2:21">
      <c r="B1163" s="232"/>
      <c r="C1163" s="232"/>
      <c r="D1163" s="255"/>
      <c r="E1163" s="255"/>
      <c r="F1163" s="21" t="s">
        <v>29</v>
      </c>
      <c r="G1163" s="256" t="s">
        <v>178</v>
      </c>
      <c r="H1163" s="257"/>
      <c r="I1163" s="257"/>
      <c r="J1163" s="257"/>
      <c r="K1163" s="257"/>
      <c r="L1163" s="257"/>
      <c r="M1163" s="257"/>
      <c r="N1163" s="257"/>
      <c r="O1163" s="257"/>
      <c r="P1163" s="257"/>
      <c r="Q1163" s="258"/>
      <c r="R1163" s="39"/>
      <c r="S1163" s="21"/>
      <c r="T1163" s="21"/>
      <c r="U1163" s="21"/>
    </row>
    <row r="1164" spans="2:21">
      <c r="B1164" s="232"/>
      <c r="C1164" s="232"/>
      <c r="D1164" s="255"/>
      <c r="E1164" s="255"/>
      <c r="F1164" s="263"/>
      <c r="G1164" s="263"/>
      <c r="H1164" s="38" t="s">
        <v>176</v>
      </c>
      <c r="I1164" s="38"/>
      <c r="J1164" s="33" t="s">
        <v>751</v>
      </c>
      <c r="K1164" s="35"/>
      <c r="L1164" s="35" t="s">
        <v>332</v>
      </c>
      <c r="M1164" s="53">
        <v>44104</v>
      </c>
      <c r="N1164" s="53">
        <v>44081</v>
      </c>
      <c r="O1164" s="35" t="s">
        <v>388</v>
      </c>
      <c r="P1164" s="35" t="s">
        <v>409</v>
      </c>
      <c r="Q1164" s="35"/>
      <c r="R1164" s="35"/>
      <c r="S1164" s="33"/>
      <c r="T1164" s="33"/>
      <c r="U1164" s="21"/>
    </row>
    <row r="1165" spans="2:21">
      <c r="B1165" s="232"/>
      <c r="C1165" s="232"/>
      <c r="D1165" s="255"/>
      <c r="E1165" s="255"/>
      <c r="F1165" s="262"/>
      <c r="G1165" s="262"/>
      <c r="H1165" s="38"/>
      <c r="I1165" s="38"/>
      <c r="J1165" s="33"/>
      <c r="K1165" s="35" t="s">
        <v>330</v>
      </c>
      <c r="L1165" s="35" t="s">
        <v>333</v>
      </c>
      <c r="M1165" s="53" t="s">
        <v>349</v>
      </c>
      <c r="N1165" s="53">
        <v>44165</v>
      </c>
      <c r="O1165" s="35" t="s">
        <v>474</v>
      </c>
      <c r="P1165" s="35" t="s">
        <v>679</v>
      </c>
      <c r="Q1165" s="35"/>
      <c r="R1165" s="35"/>
      <c r="S1165" s="33"/>
      <c r="T1165" s="33"/>
      <c r="U1165" s="21"/>
    </row>
    <row r="1166" spans="2:21">
      <c r="B1166" s="232"/>
      <c r="C1166" s="232"/>
      <c r="D1166" s="255"/>
      <c r="E1166" s="255"/>
      <c r="F1166" s="262"/>
      <c r="G1166" s="262"/>
      <c r="H1166" s="38"/>
      <c r="I1166" s="38"/>
      <c r="J1166" s="33"/>
      <c r="K1166" s="35"/>
      <c r="L1166" s="35" t="s">
        <v>332</v>
      </c>
      <c r="M1166" s="53">
        <v>44195</v>
      </c>
      <c r="N1166" s="53">
        <v>44194</v>
      </c>
      <c r="O1166" s="62" t="s">
        <v>474</v>
      </c>
      <c r="P1166" s="62" t="s">
        <v>853</v>
      </c>
      <c r="Q1166" s="35"/>
      <c r="R1166" s="35"/>
      <c r="S1166" s="33"/>
      <c r="T1166" s="33"/>
      <c r="U1166" s="21"/>
    </row>
    <row r="1167" spans="2:21">
      <c r="B1167" s="232"/>
      <c r="C1167" s="232"/>
      <c r="D1167" s="255"/>
      <c r="E1167" s="255"/>
      <c r="F1167" s="262"/>
      <c r="G1167" s="262"/>
      <c r="H1167" s="38"/>
      <c r="I1167" s="38"/>
      <c r="J1167" s="54"/>
      <c r="K1167" s="35" t="s">
        <v>1216</v>
      </c>
      <c r="L1167" s="35" t="s">
        <v>332</v>
      </c>
      <c r="M1167" s="53" t="s">
        <v>349</v>
      </c>
      <c r="N1167" s="53">
        <v>44263</v>
      </c>
      <c r="O1167" s="62" t="s">
        <v>474</v>
      </c>
      <c r="P1167" s="62" t="s">
        <v>1217</v>
      </c>
      <c r="Q1167" s="35"/>
      <c r="R1167" s="35"/>
      <c r="S1167" s="33"/>
      <c r="T1167" s="33"/>
      <c r="U1167" s="21"/>
    </row>
    <row r="1168" spans="2:21">
      <c r="B1168" s="232"/>
      <c r="C1168" s="232"/>
      <c r="D1168" s="255"/>
      <c r="E1168" s="255"/>
      <c r="F1168" s="262"/>
      <c r="G1168" s="262"/>
      <c r="H1168" s="38"/>
      <c r="I1168" s="38"/>
      <c r="J1168" s="54"/>
      <c r="K1168" s="35" t="s">
        <v>1230</v>
      </c>
      <c r="L1168" s="35" t="s">
        <v>332</v>
      </c>
      <c r="M1168" s="53" t="s">
        <v>349</v>
      </c>
      <c r="N1168" s="53">
        <v>44333</v>
      </c>
      <c r="O1168" s="62" t="s">
        <v>474</v>
      </c>
      <c r="P1168" s="62" t="s">
        <v>1692</v>
      </c>
      <c r="Q1168" s="35"/>
      <c r="R1168" s="35"/>
      <c r="S1168" s="33"/>
      <c r="T1168" s="33"/>
      <c r="U1168" s="21"/>
    </row>
    <row r="1169" spans="2:21">
      <c r="B1169" s="232"/>
      <c r="C1169" s="232"/>
      <c r="D1169" s="255"/>
      <c r="E1169" s="255"/>
      <c r="F1169" s="262"/>
      <c r="G1169" s="262"/>
      <c r="H1169" s="38"/>
      <c r="I1169" s="38"/>
      <c r="J1169" s="54"/>
      <c r="K1169" s="35" t="s">
        <v>1396</v>
      </c>
      <c r="L1169" s="35" t="s">
        <v>332</v>
      </c>
      <c r="M1169" s="53" t="s">
        <v>349</v>
      </c>
      <c r="N1169" s="53">
        <v>44372</v>
      </c>
      <c r="O1169" s="62" t="s">
        <v>474</v>
      </c>
      <c r="P1169" s="62" t="s">
        <v>1863</v>
      </c>
      <c r="Q1169" s="35"/>
      <c r="R1169" s="35"/>
      <c r="S1169" s="33"/>
      <c r="T1169" s="33"/>
      <c r="U1169" s="21"/>
    </row>
    <row r="1170" spans="2:21">
      <c r="B1170" s="232"/>
      <c r="C1170" s="232"/>
      <c r="D1170" s="255"/>
      <c r="E1170" s="255"/>
      <c r="F1170" s="262"/>
      <c r="G1170" s="262"/>
      <c r="H1170" s="38"/>
      <c r="I1170" s="38"/>
      <c r="J1170" s="54"/>
      <c r="K1170" s="35" t="s">
        <v>2098</v>
      </c>
      <c r="L1170" s="35" t="s">
        <v>332</v>
      </c>
      <c r="M1170" s="53" t="s">
        <v>349</v>
      </c>
      <c r="N1170" s="53">
        <v>44418</v>
      </c>
      <c r="O1170" s="62" t="s">
        <v>474</v>
      </c>
      <c r="P1170" s="62" t="s">
        <v>2094</v>
      </c>
      <c r="Q1170" s="35"/>
      <c r="R1170" s="35"/>
      <c r="S1170" s="33"/>
      <c r="T1170" s="33"/>
      <c r="U1170" s="21"/>
    </row>
    <row r="1171" spans="2:21">
      <c r="B1171" s="232"/>
      <c r="C1171" s="232"/>
      <c r="D1171" s="255"/>
      <c r="E1171" s="255"/>
      <c r="F1171" s="262"/>
      <c r="G1171" s="262"/>
      <c r="H1171" s="38"/>
      <c r="I1171" s="38"/>
      <c r="J1171" s="54"/>
      <c r="K1171" s="35" t="s">
        <v>1694</v>
      </c>
      <c r="L1171" s="35" t="s">
        <v>332</v>
      </c>
      <c r="M1171" s="53" t="s">
        <v>349</v>
      </c>
      <c r="N1171" s="53">
        <v>44497</v>
      </c>
      <c r="O1171" s="62" t="s">
        <v>474</v>
      </c>
      <c r="P1171" s="62" t="s">
        <v>2375</v>
      </c>
      <c r="Q1171" s="35"/>
      <c r="R1171" s="35"/>
      <c r="S1171" s="33"/>
      <c r="T1171" s="33"/>
      <c r="U1171" s="21"/>
    </row>
    <row r="1172" spans="2:21">
      <c r="B1172" s="232"/>
      <c r="C1172" s="232"/>
      <c r="D1172" s="255"/>
      <c r="E1172" s="255"/>
      <c r="F1172" s="262"/>
      <c r="G1172" s="262"/>
      <c r="H1172" s="38"/>
      <c r="I1172" s="38"/>
      <c r="J1172" s="54"/>
      <c r="K1172" s="35" t="s">
        <v>2335</v>
      </c>
      <c r="L1172" s="35" t="s">
        <v>332</v>
      </c>
      <c r="M1172" s="53" t="s">
        <v>349</v>
      </c>
      <c r="N1172" s="53">
        <v>44656</v>
      </c>
      <c r="O1172" s="62" t="s">
        <v>474</v>
      </c>
      <c r="P1172" s="62" t="s">
        <v>2840</v>
      </c>
      <c r="Q1172" s="35"/>
      <c r="R1172" s="35"/>
      <c r="S1172" s="33"/>
      <c r="T1172" s="33"/>
      <c r="U1172" s="21"/>
    </row>
    <row r="1173" spans="2:21">
      <c r="B1173" s="232"/>
      <c r="C1173" s="232"/>
      <c r="D1173" s="255"/>
      <c r="E1173" s="255"/>
      <c r="F1173" s="262"/>
      <c r="G1173" s="262"/>
      <c r="H1173" s="38"/>
      <c r="I1173" s="38"/>
      <c r="J1173" s="54"/>
      <c r="K1173" s="35" t="s">
        <v>2336</v>
      </c>
      <c r="L1173" s="35" t="s">
        <v>332</v>
      </c>
      <c r="M1173" s="53" t="s">
        <v>349</v>
      </c>
      <c r="N1173" s="55">
        <v>44732</v>
      </c>
      <c r="O1173" s="62" t="s">
        <v>474</v>
      </c>
      <c r="P1173" s="62" t="s">
        <v>3020</v>
      </c>
      <c r="Q1173" s="35"/>
      <c r="R1173" s="35"/>
      <c r="S1173" s="33"/>
      <c r="T1173" s="33"/>
      <c r="U1173" s="21"/>
    </row>
    <row r="1174" spans="2:21">
      <c r="B1174" s="232"/>
      <c r="C1174" s="232"/>
      <c r="D1174" s="255"/>
      <c r="E1174" s="255"/>
      <c r="F1174" s="262"/>
      <c r="G1174" s="262"/>
      <c r="H1174" s="21"/>
      <c r="I1174" s="21"/>
      <c r="J1174" s="54"/>
      <c r="K1174" s="35" t="s">
        <v>2260</v>
      </c>
      <c r="L1174" s="35" t="s">
        <v>332</v>
      </c>
      <c r="M1174" s="53" t="s">
        <v>349</v>
      </c>
      <c r="N1174" s="55">
        <v>44782</v>
      </c>
      <c r="O1174" s="62" t="s">
        <v>474</v>
      </c>
      <c r="P1174" s="62" t="s">
        <v>3185</v>
      </c>
      <c r="Q1174" s="35"/>
      <c r="R1174" s="35"/>
      <c r="S1174" s="33"/>
      <c r="T1174" s="33"/>
      <c r="U1174" s="21"/>
    </row>
    <row r="1175" spans="2:21">
      <c r="B1175" s="232"/>
      <c r="C1175" s="232"/>
      <c r="D1175" s="255"/>
      <c r="E1175" s="255"/>
      <c r="F1175" s="262"/>
      <c r="G1175" s="262"/>
      <c r="H1175" s="21"/>
      <c r="I1175" s="21"/>
      <c r="J1175" s="54"/>
      <c r="K1175" s="35" t="s">
        <v>2334</v>
      </c>
      <c r="L1175" s="35" t="s">
        <v>332</v>
      </c>
      <c r="M1175" s="53" t="s">
        <v>349</v>
      </c>
      <c r="N1175" s="55">
        <v>44858</v>
      </c>
      <c r="O1175" s="62" t="s">
        <v>474</v>
      </c>
      <c r="P1175" s="62" t="s">
        <v>3309</v>
      </c>
      <c r="Q1175" s="35"/>
      <c r="R1175" s="35"/>
      <c r="S1175" s="33"/>
      <c r="T1175" s="33"/>
      <c r="U1175" s="21"/>
    </row>
    <row r="1176" spans="2:21">
      <c r="B1176" s="232"/>
      <c r="C1176" s="232"/>
      <c r="D1176" s="255"/>
      <c r="E1176" s="255"/>
      <c r="F1176" s="262"/>
      <c r="G1176" s="262"/>
      <c r="H1176" s="21"/>
      <c r="I1176" s="21"/>
      <c r="J1176" s="54"/>
      <c r="K1176" s="35" t="s">
        <v>2370</v>
      </c>
      <c r="L1176" s="35" t="s">
        <v>332</v>
      </c>
      <c r="M1176" s="53" t="s">
        <v>349</v>
      </c>
      <c r="N1176" s="55">
        <v>44939</v>
      </c>
      <c r="O1176" s="62" t="s">
        <v>474</v>
      </c>
      <c r="P1176" s="62" t="s">
        <v>3389</v>
      </c>
      <c r="Q1176" s="35"/>
      <c r="R1176" s="35"/>
      <c r="S1176" s="33"/>
      <c r="T1176" s="33"/>
      <c r="U1176" s="21"/>
    </row>
    <row r="1177" spans="2:21">
      <c r="B1177" s="232"/>
      <c r="C1177" s="232"/>
      <c r="D1177" s="255"/>
      <c r="E1177" s="255"/>
      <c r="F1177" s="262"/>
      <c r="G1177" s="262"/>
      <c r="H1177" s="21"/>
      <c r="I1177" s="21"/>
      <c r="J1177" s="54"/>
      <c r="K1177" s="35" t="s">
        <v>3529</v>
      </c>
      <c r="L1177" s="35" t="s">
        <v>332</v>
      </c>
      <c r="M1177" s="53" t="s">
        <v>349</v>
      </c>
      <c r="N1177" s="55">
        <v>44972</v>
      </c>
      <c r="O1177" s="62" t="s">
        <v>474</v>
      </c>
      <c r="P1177" s="62" t="s">
        <v>3528</v>
      </c>
      <c r="Q1177" s="35"/>
      <c r="R1177" s="35"/>
      <c r="S1177" s="33"/>
      <c r="T1177" s="33"/>
      <c r="U1177" s="21"/>
    </row>
    <row r="1178" spans="2:21">
      <c r="B1178" s="232"/>
      <c r="C1178" s="232"/>
      <c r="D1178" s="255"/>
      <c r="E1178" s="255"/>
      <c r="F1178" s="262"/>
      <c r="G1178" s="262"/>
      <c r="H1178" s="21"/>
      <c r="I1178" s="21"/>
      <c r="J1178" s="54"/>
      <c r="K1178" s="35" t="s">
        <v>3022</v>
      </c>
      <c r="L1178" s="35" t="s">
        <v>332</v>
      </c>
      <c r="M1178" s="53" t="s">
        <v>349</v>
      </c>
      <c r="N1178" s="55">
        <v>45219</v>
      </c>
      <c r="O1178" s="62" t="s">
        <v>474</v>
      </c>
      <c r="P1178" s="62" t="s">
        <v>4051</v>
      </c>
      <c r="Q1178" s="35"/>
      <c r="R1178" s="35"/>
      <c r="S1178" s="33"/>
      <c r="T1178" s="33"/>
      <c r="U1178" s="21"/>
    </row>
    <row r="1179" spans="2:21">
      <c r="B1179" s="232"/>
      <c r="C1179" s="232"/>
      <c r="D1179" s="255"/>
      <c r="E1179" s="255"/>
      <c r="F1179" s="262"/>
      <c r="G1179" s="262"/>
      <c r="H1179" s="38"/>
      <c r="I1179" s="38"/>
      <c r="J1179" s="33"/>
      <c r="K1179" s="35"/>
      <c r="L1179" s="35"/>
      <c r="M1179" s="53"/>
      <c r="N1179" s="53"/>
      <c r="O1179" s="35"/>
      <c r="P1179" s="35"/>
      <c r="Q1179" s="35"/>
      <c r="R1179" s="35"/>
      <c r="S1179" s="33"/>
      <c r="T1179" s="51"/>
      <c r="U1179" s="21"/>
    </row>
    <row r="1180" spans="2:21">
      <c r="B1180" s="232"/>
      <c r="C1180" s="232"/>
      <c r="D1180" s="255"/>
      <c r="E1180" s="255"/>
      <c r="F1180" s="262"/>
      <c r="G1180" s="262"/>
      <c r="H1180" s="38" t="s">
        <v>177</v>
      </c>
      <c r="I1180" s="38"/>
      <c r="J1180" s="33" t="s">
        <v>387</v>
      </c>
      <c r="K1180" s="35" t="s">
        <v>330</v>
      </c>
      <c r="L1180" s="35" t="s">
        <v>333</v>
      </c>
      <c r="M1180" s="53" t="s">
        <v>349</v>
      </c>
      <c r="N1180" s="53">
        <v>44165</v>
      </c>
      <c r="O1180" s="35" t="s">
        <v>675</v>
      </c>
      <c r="P1180" s="35" t="s">
        <v>679</v>
      </c>
      <c r="Q1180" s="35"/>
      <c r="R1180" s="35"/>
      <c r="S1180" s="33"/>
      <c r="T1180" s="33"/>
      <c r="U1180" s="21"/>
    </row>
    <row r="1181" spans="2:21">
      <c r="B1181" s="232"/>
      <c r="C1181" s="232"/>
      <c r="D1181" s="255"/>
      <c r="E1181" s="255"/>
      <c r="F1181" s="262"/>
      <c r="G1181" s="262"/>
      <c r="H1181" s="21"/>
      <c r="I1181" s="21"/>
      <c r="J1181" s="33"/>
      <c r="K1181" s="35"/>
      <c r="L1181" s="35" t="s">
        <v>332</v>
      </c>
      <c r="M1181" s="53">
        <v>44195</v>
      </c>
      <c r="N1181" s="53">
        <v>44194</v>
      </c>
      <c r="O1181" s="62" t="s">
        <v>675</v>
      </c>
      <c r="P1181" s="62" t="s">
        <v>853</v>
      </c>
      <c r="Q1181" s="35"/>
      <c r="R1181" s="35"/>
      <c r="S1181" s="33"/>
      <c r="T1181" s="33"/>
      <c r="U1181" s="21"/>
    </row>
    <row r="1182" spans="2:21">
      <c r="B1182" s="232"/>
      <c r="C1182" s="232"/>
      <c r="D1182" s="255"/>
      <c r="E1182" s="255"/>
      <c r="F1182" s="262"/>
      <c r="G1182" s="262"/>
      <c r="H1182" s="21"/>
      <c r="I1182" s="21"/>
      <c r="J1182" s="54"/>
      <c r="K1182" s="35" t="s">
        <v>1216</v>
      </c>
      <c r="L1182" s="35" t="s">
        <v>332</v>
      </c>
      <c r="M1182" s="55" t="s">
        <v>349</v>
      </c>
      <c r="N1182" s="53">
        <v>44263</v>
      </c>
      <c r="O1182" s="62" t="s">
        <v>1218</v>
      </c>
      <c r="P1182" s="62" t="s">
        <v>1217</v>
      </c>
      <c r="Q1182" s="35"/>
      <c r="R1182" s="35"/>
      <c r="S1182" s="33"/>
      <c r="T1182" s="33"/>
      <c r="U1182" s="21"/>
    </row>
    <row r="1183" spans="2:21">
      <c r="B1183" s="232"/>
      <c r="C1183" s="232"/>
      <c r="D1183" s="255"/>
      <c r="E1183" s="255"/>
      <c r="F1183" s="262"/>
      <c r="G1183" s="262"/>
      <c r="H1183" s="21"/>
      <c r="I1183" s="21"/>
      <c r="J1183" s="54"/>
      <c r="K1183" s="35" t="s">
        <v>1695</v>
      </c>
      <c r="L1183" s="35" t="s">
        <v>332</v>
      </c>
      <c r="M1183" s="55" t="s">
        <v>349</v>
      </c>
      <c r="N1183" s="53">
        <v>44333</v>
      </c>
      <c r="O1183" s="62" t="s">
        <v>1218</v>
      </c>
      <c r="P1183" s="62" t="s">
        <v>1692</v>
      </c>
      <c r="Q1183" s="35"/>
      <c r="R1183" s="35"/>
      <c r="S1183" s="33"/>
      <c r="T1183" s="33"/>
      <c r="U1183" s="21"/>
    </row>
    <row r="1184" spans="2:21">
      <c r="B1184" s="232"/>
      <c r="C1184" s="232"/>
      <c r="D1184" s="255"/>
      <c r="E1184" s="255"/>
      <c r="F1184" s="262"/>
      <c r="G1184" s="262"/>
      <c r="H1184" s="21"/>
      <c r="I1184" s="21"/>
      <c r="J1184" s="54"/>
      <c r="K1184" s="35" t="s">
        <v>1870</v>
      </c>
      <c r="L1184" s="35" t="s">
        <v>332</v>
      </c>
      <c r="M1184" s="53" t="s">
        <v>349</v>
      </c>
      <c r="N1184" s="53">
        <v>44372</v>
      </c>
      <c r="O1184" s="62" t="s">
        <v>1218</v>
      </c>
      <c r="P1184" s="62" t="s">
        <v>1863</v>
      </c>
      <c r="Q1184" s="35"/>
      <c r="R1184" s="35"/>
      <c r="S1184" s="33"/>
      <c r="T1184" s="33"/>
      <c r="U1184" s="21"/>
    </row>
    <row r="1185" spans="2:21">
      <c r="B1185" s="232"/>
      <c r="C1185" s="232"/>
      <c r="D1185" s="255"/>
      <c r="E1185" s="255"/>
      <c r="F1185" s="262"/>
      <c r="G1185" s="262"/>
      <c r="H1185" s="21"/>
      <c r="I1185" s="21"/>
      <c r="J1185" s="54"/>
      <c r="K1185" s="35" t="s">
        <v>1869</v>
      </c>
      <c r="L1185" s="35" t="s">
        <v>332</v>
      </c>
      <c r="M1185" s="53" t="s">
        <v>349</v>
      </c>
      <c r="N1185" s="53">
        <v>44418</v>
      </c>
      <c r="O1185" s="62" t="s">
        <v>1218</v>
      </c>
      <c r="P1185" s="62" t="s">
        <v>2094</v>
      </c>
      <c r="Q1185" s="35"/>
      <c r="R1185" s="35"/>
      <c r="S1185" s="33"/>
      <c r="T1185" s="33"/>
      <c r="U1185" s="21"/>
    </row>
    <row r="1186" spans="2:21">
      <c r="B1186" s="232"/>
      <c r="C1186" s="232"/>
      <c r="D1186" s="255"/>
      <c r="E1186" s="255"/>
      <c r="F1186" s="262"/>
      <c r="G1186" s="262"/>
      <c r="H1186" s="21"/>
      <c r="I1186" s="21"/>
      <c r="J1186" s="54"/>
      <c r="K1186" s="35" t="s">
        <v>2336</v>
      </c>
      <c r="L1186" s="35" t="s">
        <v>332</v>
      </c>
      <c r="M1186" s="53" t="s">
        <v>349</v>
      </c>
      <c r="N1186" s="53">
        <v>44474</v>
      </c>
      <c r="O1186" s="62" t="s">
        <v>1218</v>
      </c>
      <c r="P1186" s="62" t="s">
        <v>2332</v>
      </c>
      <c r="Q1186" s="35"/>
      <c r="R1186" s="35"/>
      <c r="S1186" s="33"/>
      <c r="T1186" s="33"/>
      <c r="U1186" s="21"/>
    </row>
    <row r="1187" spans="2:21">
      <c r="B1187" s="232"/>
      <c r="C1187" s="232"/>
      <c r="D1187" s="255"/>
      <c r="E1187" s="255"/>
      <c r="F1187" s="262"/>
      <c r="G1187" s="262"/>
      <c r="H1187" s="21"/>
      <c r="I1187" s="21"/>
      <c r="J1187" s="54"/>
      <c r="K1187" s="35" t="s">
        <v>2843</v>
      </c>
      <c r="L1187" s="35" t="s">
        <v>332</v>
      </c>
      <c r="M1187" s="53" t="s">
        <v>349</v>
      </c>
      <c r="N1187" s="53">
        <v>44656</v>
      </c>
      <c r="O1187" s="62" t="s">
        <v>1218</v>
      </c>
      <c r="P1187" s="62" t="s">
        <v>2840</v>
      </c>
      <c r="Q1187" s="35"/>
      <c r="R1187" s="35"/>
      <c r="S1187" s="33"/>
      <c r="T1187" s="33"/>
      <c r="U1187" s="21"/>
    </row>
    <row r="1188" spans="2:21">
      <c r="B1188" s="232"/>
      <c r="C1188" s="232"/>
      <c r="D1188" s="255"/>
      <c r="E1188" s="255"/>
      <c r="F1188" s="262"/>
      <c r="G1188" s="262"/>
      <c r="H1188" s="21"/>
      <c r="I1188" s="21"/>
      <c r="J1188" s="54"/>
      <c r="K1188" s="35" t="s">
        <v>3022</v>
      </c>
      <c r="L1188" s="35" t="s">
        <v>332</v>
      </c>
      <c r="M1188" s="53" t="s">
        <v>349</v>
      </c>
      <c r="N1188" s="55">
        <v>44732</v>
      </c>
      <c r="O1188" s="62" t="s">
        <v>1218</v>
      </c>
      <c r="P1188" s="62" t="s">
        <v>3020</v>
      </c>
      <c r="Q1188" s="35"/>
      <c r="R1188" s="35"/>
      <c r="S1188" s="33"/>
      <c r="T1188" s="33"/>
      <c r="U1188" s="21"/>
    </row>
    <row r="1189" spans="2:21">
      <c r="B1189" s="232"/>
      <c r="C1189" s="232"/>
      <c r="D1189" s="255"/>
      <c r="E1189" s="255"/>
      <c r="F1189" s="262"/>
      <c r="G1189" s="262"/>
      <c r="H1189" s="21"/>
      <c r="I1189" s="21"/>
      <c r="J1189" s="54"/>
      <c r="K1189" s="35" t="s">
        <v>3187</v>
      </c>
      <c r="L1189" s="35" t="s">
        <v>332</v>
      </c>
      <c r="M1189" s="53" t="s">
        <v>349</v>
      </c>
      <c r="N1189" s="55">
        <v>44782</v>
      </c>
      <c r="O1189" s="62" t="s">
        <v>1218</v>
      </c>
      <c r="P1189" s="62" t="s">
        <v>3185</v>
      </c>
      <c r="Q1189" s="35"/>
      <c r="R1189" s="35"/>
      <c r="S1189" s="33"/>
      <c r="T1189" s="33"/>
      <c r="U1189" s="21"/>
    </row>
    <row r="1190" spans="2:21">
      <c r="B1190" s="232"/>
      <c r="C1190" s="232"/>
      <c r="D1190" s="255"/>
      <c r="E1190" s="255"/>
      <c r="F1190" s="262"/>
      <c r="G1190" s="262"/>
      <c r="H1190" s="21"/>
      <c r="I1190" s="21"/>
      <c r="J1190" s="54"/>
      <c r="K1190" s="35" t="s">
        <v>3310</v>
      </c>
      <c r="L1190" s="35" t="s">
        <v>332</v>
      </c>
      <c r="M1190" s="53" t="s">
        <v>349</v>
      </c>
      <c r="N1190" s="55">
        <v>44858</v>
      </c>
      <c r="O1190" s="62" t="s">
        <v>1218</v>
      </c>
      <c r="P1190" s="62" t="s">
        <v>3309</v>
      </c>
      <c r="Q1190" s="35"/>
      <c r="R1190" s="35"/>
      <c r="S1190" s="33"/>
      <c r="T1190" s="33"/>
      <c r="U1190" s="21"/>
    </row>
    <row r="1191" spans="2:21">
      <c r="B1191" s="232"/>
      <c r="C1191" s="232"/>
      <c r="D1191" s="255"/>
      <c r="E1191" s="255"/>
      <c r="F1191" s="262"/>
      <c r="G1191" s="262"/>
      <c r="H1191" s="21"/>
      <c r="I1191" s="21"/>
      <c r="J1191" s="54"/>
      <c r="K1191" s="35" t="s">
        <v>3390</v>
      </c>
      <c r="L1191" s="35" t="s">
        <v>332</v>
      </c>
      <c r="M1191" s="53" t="s">
        <v>349</v>
      </c>
      <c r="N1191" s="55">
        <v>44939</v>
      </c>
      <c r="O1191" s="62" t="s">
        <v>1218</v>
      </c>
      <c r="P1191" s="62" t="s">
        <v>3389</v>
      </c>
      <c r="Q1191" s="35"/>
      <c r="R1191" s="35"/>
      <c r="S1191" s="33"/>
      <c r="T1191" s="33"/>
      <c r="U1191" s="21"/>
    </row>
    <row r="1192" spans="2:21">
      <c r="B1192" s="232"/>
      <c r="C1192" s="232"/>
      <c r="D1192" s="255"/>
      <c r="E1192" s="255"/>
      <c r="F1192" s="262"/>
      <c r="G1192" s="262"/>
      <c r="H1192" s="21"/>
      <c r="I1192" s="21"/>
      <c r="J1192" s="54"/>
      <c r="K1192" s="35" t="s">
        <v>3530</v>
      </c>
      <c r="L1192" s="35" t="s">
        <v>332</v>
      </c>
      <c r="M1192" s="53" t="s">
        <v>349</v>
      </c>
      <c r="N1192" s="55">
        <v>44972</v>
      </c>
      <c r="O1192" s="62" t="s">
        <v>1218</v>
      </c>
      <c r="P1192" s="62" t="s">
        <v>3528</v>
      </c>
      <c r="Q1192" s="35"/>
      <c r="R1192" s="35"/>
      <c r="S1192" s="33"/>
      <c r="T1192" s="33"/>
      <c r="U1192" s="21"/>
    </row>
    <row r="1193" spans="2:21">
      <c r="B1193" s="232"/>
      <c r="C1193" s="232"/>
      <c r="D1193" s="255"/>
      <c r="E1193" s="255"/>
      <c r="F1193" s="262"/>
      <c r="G1193" s="262"/>
      <c r="H1193" s="21"/>
      <c r="I1193" s="21"/>
      <c r="J1193" s="54"/>
      <c r="K1193" s="35" t="s">
        <v>4055</v>
      </c>
      <c r="L1193" s="35" t="s">
        <v>332</v>
      </c>
      <c r="M1193" s="53" t="s">
        <v>349</v>
      </c>
      <c r="N1193" s="55">
        <v>45219</v>
      </c>
      <c r="O1193" s="62" t="s">
        <v>1218</v>
      </c>
      <c r="P1193" s="62" t="s">
        <v>4051</v>
      </c>
      <c r="Q1193" s="35"/>
      <c r="R1193" s="35"/>
      <c r="S1193" s="33"/>
      <c r="T1193" s="33"/>
      <c r="U1193" s="21"/>
    </row>
    <row r="1194" spans="2:21">
      <c r="B1194" s="232"/>
      <c r="C1194" s="232"/>
      <c r="D1194" s="255"/>
      <c r="E1194" s="255"/>
      <c r="F1194" s="262"/>
      <c r="G1194" s="262"/>
      <c r="H1194" s="21"/>
      <c r="I1194" s="21"/>
      <c r="J1194" s="54"/>
      <c r="K1194" s="35" t="s">
        <v>4251</v>
      </c>
      <c r="L1194" s="35" t="s">
        <v>332</v>
      </c>
      <c r="M1194" s="53" t="s">
        <v>349</v>
      </c>
      <c r="N1194" s="55">
        <v>45336</v>
      </c>
      <c r="O1194" s="62" t="s">
        <v>1218</v>
      </c>
      <c r="P1194" s="62" t="s">
        <v>4252</v>
      </c>
      <c r="Q1194" s="35"/>
      <c r="R1194" s="35"/>
      <c r="S1194" s="33"/>
      <c r="T1194" s="33"/>
      <c r="U1194" s="21"/>
    </row>
    <row r="1195" spans="2:21">
      <c r="B1195" s="232"/>
      <c r="C1195" s="232"/>
      <c r="D1195" s="255"/>
      <c r="E1195" s="255"/>
      <c r="F1195" s="264"/>
      <c r="G1195" s="264"/>
      <c r="H1195" s="21"/>
      <c r="I1195" s="21"/>
      <c r="J1195" s="54"/>
      <c r="K1195" s="35"/>
      <c r="L1195" s="35"/>
      <c r="M1195" s="53"/>
      <c r="N1195" s="53"/>
      <c r="O1195" s="62"/>
      <c r="P1195" s="62"/>
      <c r="Q1195" s="35"/>
      <c r="R1195" s="35"/>
      <c r="S1195" s="33"/>
      <c r="T1195" s="33"/>
      <c r="U1195" s="21"/>
    </row>
    <row r="1196" spans="2:21">
      <c r="B1196" s="232"/>
      <c r="C1196" s="232"/>
      <c r="D1196" s="255"/>
      <c r="E1196" s="255"/>
      <c r="F1196" s="21" t="s">
        <v>35</v>
      </c>
      <c r="G1196" s="256" t="s">
        <v>2100</v>
      </c>
      <c r="H1196" s="257"/>
      <c r="I1196" s="257"/>
      <c r="J1196" s="257"/>
      <c r="K1196" s="257"/>
      <c r="L1196" s="257"/>
      <c r="M1196" s="257"/>
      <c r="N1196" s="257"/>
      <c r="O1196" s="257"/>
      <c r="P1196" s="257"/>
      <c r="Q1196" s="258"/>
      <c r="R1196" s="39"/>
      <c r="S1196" s="21"/>
      <c r="T1196" s="21"/>
      <c r="U1196" s="21"/>
    </row>
    <row r="1197" spans="2:21">
      <c r="B1197" s="232"/>
      <c r="C1197" s="232"/>
      <c r="D1197" s="255"/>
      <c r="E1197" s="255"/>
      <c r="F1197" s="255"/>
      <c r="G1197" s="255"/>
      <c r="H1197" s="38" t="s">
        <v>176</v>
      </c>
      <c r="I1197" s="38"/>
      <c r="J1197" s="33" t="s">
        <v>751</v>
      </c>
      <c r="K1197" s="53" t="s">
        <v>349</v>
      </c>
      <c r="L1197" s="35" t="s">
        <v>332</v>
      </c>
      <c r="M1197" s="53" t="s">
        <v>349</v>
      </c>
      <c r="N1197" s="53">
        <v>44418</v>
      </c>
      <c r="O1197" s="62" t="s">
        <v>474</v>
      </c>
      <c r="P1197" s="62" t="s">
        <v>2094</v>
      </c>
      <c r="Q1197" s="38"/>
      <c r="R1197" s="35"/>
      <c r="S1197" s="33"/>
      <c r="T1197" s="33"/>
      <c r="U1197" s="21"/>
    </row>
    <row r="1198" spans="2:21">
      <c r="B1198" s="232"/>
      <c r="C1198" s="232"/>
      <c r="D1198" s="255"/>
      <c r="E1198" s="255"/>
      <c r="F1198" s="255"/>
      <c r="G1198" s="255"/>
      <c r="H1198" s="38"/>
      <c r="I1198" s="38"/>
      <c r="J1198" s="33"/>
      <c r="K1198" s="53" t="s">
        <v>349</v>
      </c>
      <c r="L1198" s="35" t="s">
        <v>332</v>
      </c>
      <c r="M1198" s="53" t="s">
        <v>349</v>
      </c>
      <c r="N1198" s="53">
        <v>44426</v>
      </c>
      <c r="O1198" s="62" t="s">
        <v>2183</v>
      </c>
      <c r="P1198" s="62" t="s">
        <v>2192</v>
      </c>
      <c r="Q1198" s="38"/>
      <c r="R1198" s="35"/>
      <c r="S1198" s="33"/>
      <c r="T1198" s="33"/>
      <c r="U1198" s="21"/>
    </row>
    <row r="1199" spans="2:21">
      <c r="B1199" s="232"/>
      <c r="C1199" s="232"/>
      <c r="D1199" s="255"/>
      <c r="E1199" s="255"/>
      <c r="F1199" s="255"/>
      <c r="G1199" s="255"/>
      <c r="H1199" s="38"/>
      <c r="I1199" s="38"/>
      <c r="J1199" s="38"/>
      <c r="K1199" s="38"/>
      <c r="L1199" s="39"/>
      <c r="M1199" s="38"/>
      <c r="N1199" s="39"/>
      <c r="O1199" s="38"/>
      <c r="P1199" s="38"/>
      <c r="Q1199" s="38"/>
      <c r="R1199" s="35"/>
      <c r="S1199" s="33"/>
      <c r="T1199" s="33"/>
      <c r="U1199" s="21"/>
    </row>
    <row r="1200" spans="2:21">
      <c r="B1200" s="232"/>
      <c r="C1200" s="232"/>
      <c r="D1200" s="255"/>
      <c r="E1200" s="255"/>
      <c r="F1200" s="255"/>
      <c r="G1200" s="255"/>
      <c r="H1200" s="38" t="s">
        <v>177</v>
      </c>
      <c r="I1200" s="38"/>
      <c r="J1200" s="33" t="s">
        <v>387</v>
      </c>
      <c r="K1200" s="53" t="s">
        <v>349</v>
      </c>
      <c r="L1200" s="35" t="s">
        <v>332</v>
      </c>
      <c r="M1200" s="53" t="s">
        <v>349</v>
      </c>
      <c r="N1200" s="53">
        <v>44420</v>
      </c>
      <c r="O1200" s="62" t="s">
        <v>1218</v>
      </c>
      <c r="P1200" s="62" t="s">
        <v>2138</v>
      </c>
      <c r="Q1200" s="38"/>
      <c r="R1200" s="35"/>
      <c r="S1200" s="33"/>
      <c r="T1200" s="33"/>
      <c r="U1200" s="21"/>
    </row>
    <row r="1201" spans="2:21">
      <c r="B1201" s="232"/>
      <c r="C1201" s="232"/>
      <c r="D1201" s="255"/>
      <c r="E1201" s="255"/>
      <c r="F1201" s="255"/>
      <c r="G1201" s="255"/>
      <c r="H1201" s="38"/>
      <c r="I1201" s="38"/>
      <c r="J1201" s="33"/>
      <c r="K1201" s="53" t="s">
        <v>349</v>
      </c>
      <c r="L1201" s="35" t="s">
        <v>332</v>
      </c>
      <c r="M1201" s="53" t="s">
        <v>349</v>
      </c>
      <c r="N1201" s="53">
        <v>44426</v>
      </c>
      <c r="O1201" s="62" t="s">
        <v>2185</v>
      </c>
      <c r="P1201" s="62" t="s">
        <v>2192</v>
      </c>
      <c r="Q1201" s="38"/>
      <c r="R1201" s="35"/>
      <c r="S1201" s="33"/>
      <c r="T1201" s="33"/>
      <c r="U1201" s="21"/>
    </row>
    <row r="1202" spans="2:21">
      <c r="B1202" s="232"/>
      <c r="C1202" s="232"/>
      <c r="D1202" s="255"/>
      <c r="E1202" s="255"/>
      <c r="F1202" s="255"/>
      <c r="G1202" s="255"/>
      <c r="H1202" s="38"/>
      <c r="I1202" s="38"/>
      <c r="J1202" s="33"/>
      <c r="K1202" s="53" t="s">
        <v>1216</v>
      </c>
      <c r="L1202" s="35" t="s">
        <v>332</v>
      </c>
      <c r="M1202" s="53" t="s">
        <v>349</v>
      </c>
      <c r="N1202" s="53">
        <v>44656</v>
      </c>
      <c r="O1202" s="62" t="s">
        <v>2185</v>
      </c>
      <c r="P1202" s="62" t="s">
        <v>2840</v>
      </c>
      <c r="Q1202" s="38"/>
      <c r="R1202" s="35"/>
      <c r="S1202" s="33"/>
      <c r="T1202" s="33"/>
      <c r="U1202" s="21"/>
    </row>
    <row r="1203" spans="2:21">
      <c r="B1203" s="232"/>
      <c r="C1203" s="232"/>
      <c r="D1203" s="255"/>
      <c r="E1203" s="255"/>
      <c r="F1203" s="255"/>
      <c r="G1203" s="255"/>
      <c r="H1203" s="21"/>
      <c r="I1203" s="21"/>
      <c r="J1203" s="33"/>
      <c r="K1203" s="35"/>
      <c r="L1203" s="35"/>
      <c r="M1203" s="33"/>
      <c r="N1203" s="35"/>
      <c r="O1203" s="35"/>
      <c r="P1203" s="35"/>
      <c r="Q1203" s="35"/>
      <c r="R1203" s="35"/>
      <c r="S1203" s="33"/>
      <c r="T1203" s="33"/>
      <c r="U1203" s="21"/>
    </row>
    <row r="1204" spans="2:21">
      <c r="B1204" s="232"/>
      <c r="C1204" s="232"/>
      <c r="D1204" s="39" t="s">
        <v>1046</v>
      </c>
      <c r="E1204" s="256" t="s">
        <v>1047</v>
      </c>
      <c r="F1204" s="257"/>
      <c r="G1204" s="257"/>
      <c r="H1204" s="257"/>
      <c r="I1204" s="257"/>
      <c r="J1204" s="257"/>
      <c r="K1204" s="257"/>
      <c r="L1204" s="257"/>
      <c r="M1204" s="257"/>
      <c r="N1204" s="257"/>
      <c r="O1204" s="257"/>
      <c r="P1204" s="257"/>
      <c r="Q1204" s="257"/>
      <c r="R1204" s="257"/>
      <c r="S1204" s="257"/>
      <c r="T1204" s="258"/>
      <c r="U1204" s="21"/>
    </row>
    <row r="1205" spans="2:21">
      <c r="B1205" s="232"/>
      <c r="C1205" s="232"/>
      <c r="D1205" s="255"/>
      <c r="E1205" s="255"/>
      <c r="F1205" s="21" t="s">
        <v>27</v>
      </c>
      <c r="G1205" s="256" t="s">
        <v>175</v>
      </c>
      <c r="H1205" s="257"/>
      <c r="I1205" s="257"/>
      <c r="J1205" s="257"/>
      <c r="K1205" s="257"/>
      <c r="L1205" s="257"/>
      <c r="M1205" s="257"/>
      <c r="N1205" s="257"/>
      <c r="O1205" s="257"/>
      <c r="P1205" s="257"/>
      <c r="Q1205" s="258"/>
      <c r="R1205" s="39" t="s">
        <v>26</v>
      </c>
      <c r="S1205" s="21"/>
      <c r="T1205" s="21"/>
      <c r="U1205" s="21"/>
    </row>
    <row r="1206" spans="2:21">
      <c r="B1206" s="232"/>
      <c r="C1206" s="232"/>
      <c r="D1206" s="255"/>
      <c r="E1206" s="255"/>
      <c r="F1206" s="255"/>
      <c r="G1206" s="255"/>
      <c r="H1206" s="21" t="s">
        <v>176</v>
      </c>
      <c r="I1206" s="21"/>
      <c r="J1206" s="33" t="s">
        <v>1590</v>
      </c>
      <c r="K1206" s="56" t="s">
        <v>3</v>
      </c>
      <c r="L1206" s="35" t="s">
        <v>332</v>
      </c>
      <c r="M1206" s="53" t="s">
        <v>349</v>
      </c>
      <c r="N1206" s="53">
        <v>44243</v>
      </c>
      <c r="O1206" s="35" t="s">
        <v>1048</v>
      </c>
      <c r="P1206" s="35" t="s">
        <v>1055</v>
      </c>
      <c r="Q1206" s="35"/>
      <c r="R1206" s="35"/>
      <c r="S1206" s="33"/>
      <c r="T1206" s="33"/>
      <c r="U1206" s="21"/>
    </row>
    <row r="1207" spans="2:21">
      <c r="B1207" s="232"/>
      <c r="C1207" s="232"/>
      <c r="D1207" s="255"/>
      <c r="E1207" s="255"/>
      <c r="F1207" s="255"/>
      <c r="G1207" s="255"/>
      <c r="H1207" s="21"/>
      <c r="I1207" s="21"/>
      <c r="J1207" s="33" t="s">
        <v>1590</v>
      </c>
      <c r="K1207" s="56" t="s">
        <v>512</v>
      </c>
      <c r="L1207" s="35" t="s">
        <v>332</v>
      </c>
      <c r="M1207" s="53" t="s">
        <v>349</v>
      </c>
      <c r="N1207" s="53">
        <v>44315</v>
      </c>
      <c r="O1207" s="35" t="s">
        <v>1048</v>
      </c>
      <c r="P1207" s="35" t="s">
        <v>1570</v>
      </c>
      <c r="Q1207" s="35"/>
      <c r="R1207" s="35"/>
      <c r="S1207" s="33"/>
      <c r="T1207" s="33"/>
      <c r="U1207" s="21"/>
    </row>
    <row r="1208" spans="2:21">
      <c r="B1208" s="232"/>
      <c r="C1208" s="232"/>
      <c r="D1208" s="255"/>
      <c r="E1208" s="255"/>
      <c r="F1208" s="255"/>
      <c r="G1208" s="255"/>
      <c r="H1208" s="21"/>
      <c r="I1208" s="21"/>
      <c r="J1208" s="33" t="s">
        <v>1590</v>
      </c>
      <c r="K1208" s="56" t="s">
        <v>654</v>
      </c>
      <c r="L1208" s="35" t="s">
        <v>332</v>
      </c>
      <c r="M1208" s="53" t="s">
        <v>349</v>
      </c>
      <c r="N1208" s="53">
        <v>45216</v>
      </c>
      <c r="O1208" s="35" t="s">
        <v>1048</v>
      </c>
      <c r="P1208" s="35" t="s">
        <v>3976</v>
      </c>
      <c r="Q1208" s="35"/>
      <c r="R1208" s="35"/>
      <c r="S1208" s="33"/>
      <c r="T1208" s="33"/>
      <c r="U1208" s="21"/>
    </row>
    <row r="1209" spans="2:21">
      <c r="B1209" s="232"/>
      <c r="C1209" s="232"/>
      <c r="D1209" s="255"/>
      <c r="E1209" s="255"/>
      <c r="F1209" s="255"/>
      <c r="G1209" s="255"/>
      <c r="H1209" s="21"/>
      <c r="I1209" s="21"/>
      <c r="J1209" s="33"/>
      <c r="K1209" s="56"/>
      <c r="L1209" s="35"/>
      <c r="M1209" s="53"/>
      <c r="N1209" s="53"/>
      <c r="O1209" s="35"/>
      <c r="P1209" s="35"/>
      <c r="Q1209" s="35"/>
      <c r="R1209" s="35"/>
      <c r="S1209" s="33"/>
      <c r="T1209" s="33"/>
      <c r="U1209" s="21"/>
    </row>
    <row r="1210" spans="2:21">
      <c r="B1210" s="232"/>
      <c r="C1210" s="232"/>
      <c r="D1210" s="255"/>
      <c r="E1210" s="255"/>
      <c r="F1210" s="255"/>
      <c r="G1210" s="255"/>
      <c r="H1210" s="21" t="s">
        <v>177</v>
      </c>
      <c r="I1210" s="21"/>
      <c r="J1210" s="33" t="s">
        <v>1591</v>
      </c>
      <c r="K1210" s="56" t="s">
        <v>3</v>
      </c>
      <c r="L1210" s="35" t="s">
        <v>332</v>
      </c>
      <c r="M1210" s="53" t="s">
        <v>349</v>
      </c>
      <c r="N1210" s="53">
        <v>44243</v>
      </c>
      <c r="O1210" s="35" t="s">
        <v>1049</v>
      </c>
      <c r="P1210" s="35" t="s">
        <v>1055</v>
      </c>
      <c r="Q1210" s="35"/>
      <c r="R1210" s="35"/>
      <c r="S1210" s="33"/>
      <c r="T1210" s="51"/>
      <c r="U1210" s="21"/>
    </row>
    <row r="1211" spans="2:21">
      <c r="B1211" s="232"/>
      <c r="C1211" s="232"/>
      <c r="D1211" s="255"/>
      <c r="E1211" s="255"/>
      <c r="F1211" s="255"/>
      <c r="G1211" s="255"/>
      <c r="H1211" s="21"/>
      <c r="I1211" s="21"/>
      <c r="J1211" s="33" t="s">
        <v>1591</v>
      </c>
      <c r="K1211" s="56" t="s">
        <v>512</v>
      </c>
      <c r="L1211" s="35" t="s">
        <v>332</v>
      </c>
      <c r="M1211" s="53" t="s">
        <v>349</v>
      </c>
      <c r="N1211" s="53">
        <v>44315</v>
      </c>
      <c r="O1211" s="35" t="s">
        <v>1049</v>
      </c>
      <c r="P1211" s="35" t="s">
        <v>1570</v>
      </c>
      <c r="Q1211" s="35"/>
      <c r="R1211" s="35"/>
      <c r="S1211" s="33"/>
      <c r="T1211" s="51"/>
      <c r="U1211" s="21"/>
    </row>
    <row r="1212" spans="2:21">
      <c r="B1212" s="232"/>
      <c r="C1212" s="232"/>
      <c r="D1212" s="255"/>
      <c r="E1212" s="255"/>
      <c r="F1212" s="255"/>
      <c r="G1212" s="255"/>
      <c r="H1212" s="21"/>
      <c r="I1212" s="21"/>
      <c r="J1212" s="33" t="s">
        <v>1591</v>
      </c>
      <c r="K1212" s="56" t="s">
        <v>654</v>
      </c>
      <c r="L1212" s="35" t="s">
        <v>332</v>
      </c>
      <c r="M1212" s="53" t="s">
        <v>349</v>
      </c>
      <c r="N1212" s="53">
        <v>44371</v>
      </c>
      <c r="O1212" s="35" t="s">
        <v>1049</v>
      </c>
      <c r="P1212" s="35" t="s">
        <v>1819</v>
      </c>
      <c r="Q1212" s="35"/>
      <c r="R1212" s="35"/>
      <c r="S1212" s="33"/>
      <c r="T1212" s="51"/>
      <c r="U1212" s="21"/>
    </row>
    <row r="1213" spans="2:21">
      <c r="B1213" s="232"/>
      <c r="C1213" s="232"/>
      <c r="D1213" s="255"/>
      <c r="E1213" s="255"/>
      <c r="F1213" s="255"/>
      <c r="G1213" s="255"/>
      <c r="H1213" s="21"/>
      <c r="I1213" s="21"/>
      <c r="J1213" s="33" t="s">
        <v>1591</v>
      </c>
      <c r="K1213" s="56" t="s">
        <v>729</v>
      </c>
      <c r="L1213" s="35" t="s">
        <v>332</v>
      </c>
      <c r="M1213" s="53" t="s">
        <v>349</v>
      </c>
      <c r="N1213" s="53">
        <v>45216</v>
      </c>
      <c r="O1213" s="35" t="s">
        <v>1049</v>
      </c>
      <c r="P1213" s="35" t="s">
        <v>3976</v>
      </c>
      <c r="Q1213" s="35"/>
      <c r="R1213" s="35"/>
      <c r="S1213" s="33"/>
      <c r="T1213" s="51"/>
      <c r="U1213" s="21"/>
    </row>
    <row r="1214" spans="2:21">
      <c r="B1214" s="232"/>
      <c r="C1214" s="232"/>
      <c r="D1214" s="255"/>
      <c r="E1214" s="255"/>
      <c r="F1214" s="255"/>
      <c r="G1214" s="255"/>
      <c r="H1214" s="21"/>
      <c r="I1214" s="21"/>
      <c r="J1214" s="33"/>
      <c r="K1214" s="56"/>
      <c r="L1214" s="35"/>
      <c r="M1214" s="53"/>
      <c r="N1214" s="53"/>
      <c r="O1214" s="35"/>
      <c r="P1214" s="35"/>
      <c r="Q1214" s="35"/>
      <c r="R1214" s="35"/>
      <c r="S1214" s="33"/>
      <c r="T1214" s="51"/>
      <c r="U1214" s="21"/>
    </row>
    <row r="1215" spans="2:21">
      <c r="B1215" s="232"/>
      <c r="C1215" s="232"/>
      <c r="D1215" s="255"/>
      <c r="E1215" s="255"/>
      <c r="F1215" s="255"/>
      <c r="G1215" s="255"/>
      <c r="H1215" s="21" t="s">
        <v>181</v>
      </c>
      <c r="I1215" s="21"/>
      <c r="J1215" s="54" t="s">
        <v>1592</v>
      </c>
      <c r="K1215" s="56" t="s">
        <v>3</v>
      </c>
      <c r="L1215" s="35" t="s">
        <v>332</v>
      </c>
      <c r="M1215" s="53" t="s">
        <v>349</v>
      </c>
      <c r="N1215" s="53">
        <v>44243</v>
      </c>
      <c r="O1215" s="62" t="s">
        <v>1050</v>
      </c>
      <c r="P1215" s="35" t="s">
        <v>1055</v>
      </c>
      <c r="Q1215" s="35"/>
      <c r="R1215" s="35"/>
      <c r="S1215" s="33"/>
      <c r="T1215" s="33"/>
      <c r="U1215" s="21"/>
    </row>
    <row r="1216" spans="2:21">
      <c r="B1216" s="232"/>
      <c r="C1216" s="232"/>
      <c r="D1216" s="255"/>
      <c r="E1216" s="255"/>
      <c r="F1216" s="255"/>
      <c r="G1216" s="255"/>
      <c r="H1216" s="21"/>
      <c r="I1216" s="21"/>
      <c r="J1216" s="54" t="s">
        <v>1592</v>
      </c>
      <c r="K1216" s="56" t="s">
        <v>512</v>
      </c>
      <c r="L1216" s="35" t="s">
        <v>332</v>
      </c>
      <c r="M1216" s="53" t="s">
        <v>349</v>
      </c>
      <c r="N1216" s="53">
        <v>44315</v>
      </c>
      <c r="O1216" s="62" t="s">
        <v>1050</v>
      </c>
      <c r="P1216" s="35" t="s">
        <v>1570</v>
      </c>
      <c r="Q1216" s="35"/>
      <c r="R1216" s="35"/>
      <c r="S1216" s="33"/>
      <c r="T1216" s="33"/>
      <c r="U1216" s="21"/>
    </row>
    <row r="1217" spans="2:21">
      <c r="B1217" s="232"/>
      <c r="C1217" s="232"/>
      <c r="D1217" s="255"/>
      <c r="E1217" s="255"/>
      <c r="F1217" s="255"/>
      <c r="G1217" s="255"/>
      <c r="H1217" s="21"/>
      <c r="I1217" s="21"/>
      <c r="J1217" s="54"/>
      <c r="K1217" s="56"/>
      <c r="L1217" s="35"/>
      <c r="M1217" s="53"/>
      <c r="N1217" s="53"/>
      <c r="O1217" s="62"/>
      <c r="P1217" s="35"/>
      <c r="Q1217" s="35"/>
      <c r="R1217" s="35"/>
      <c r="S1217" s="33"/>
      <c r="T1217" s="33"/>
      <c r="U1217" s="21"/>
    </row>
    <row r="1218" spans="2:21">
      <c r="B1218" s="232"/>
      <c r="C1218" s="232"/>
      <c r="D1218" s="255"/>
      <c r="E1218" s="255"/>
      <c r="F1218" s="255"/>
      <c r="G1218" s="255"/>
      <c r="H1218" s="21" t="s">
        <v>183</v>
      </c>
      <c r="I1218" s="21"/>
      <c r="J1218" s="54" t="s">
        <v>1593</v>
      </c>
      <c r="K1218" s="56" t="s">
        <v>3</v>
      </c>
      <c r="L1218" s="35" t="s">
        <v>332</v>
      </c>
      <c r="M1218" s="53" t="s">
        <v>349</v>
      </c>
      <c r="N1218" s="53">
        <v>44243</v>
      </c>
      <c r="O1218" s="62" t="s">
        <v>1051</v>
      </c>
      <c r="P1218" s="35" t="s">
        <v>1055</v>
      </c>
      <c r="Q1218" s="35"/>
      <c r="R1218" s="35"/>
      <c r="S1218" s="33"/>
      <c r="T1218" s="33"/>
      <c r="U1218" s="21"/>
    </row>
    <row r="1219" spans="2:21">
      <c r="B1219" s="232"/>
      <c r="C1219" s="232"/>
      <c r="D1219" s="255"/>
      <c r="E1219" s="255"/>
      <c r="F1219" s="255"/>
      <c r="G1219" s="255"/>
      <c r="H1219" s="21"/>
      <c r="I1219" s="21"/>
      <c r="J1219" s="54" t="s">
        <v>1593</v>
      </c>
      <c r="K1219" s="56" t="s">
        <v>512</v>
      </c>
      <c r="L1219" s="35" t="s">
        <v>332</v>
      </c>
      <c r="M1219" s="53" t="s">
        <v>349</v>
      </c>
      <c r="N1219" s="53">
        <v>44315</v>
      </c>
      <c r="O1219" s="62" t="s">
        <v>1051</v>
      </c>
      <c r="P1219" s="35" t="s">
        <v>1570</v>
      </c>
      <c r="Q1219" s="35"/>
      <c r="R1219" s="35"/>
      <c r="S1219" s="33"/>
      <c r="T1219" s="33"/>
      <c r="U1219" s="21"/>
    </row>
    <row r="1220" spans="2:21">
      <c r="B1220" s="232"/>
      <c r="C1220" s="232"/>
      <c r="D1220" s="255"/>
      <c r="E1220" s="255"/>
      <c r="F1220" s="255"/>
      <c r="G1220" s="255"/>
      <c r="H1220" s="21"/>
      <c r="I1220" s="21"/>
      <c r="J1220" s="54"/>
      <c r="K1220" s="56"/>
      <c r="L1220" s="35"/>
      <c r="M1220" s="53"/>
      <c r="N1220" s="53"/>
      <c r="O1220" s="62"/>
      <c r="P1220" s="35"/>
      <c r="Q1220" s="35"/>
      <c r="R1220" s="35"/>
      <c r="S1220" s="33"/>
      <c r="T1220" s="33"/>
      <c r="U1220" s="21"/>
    </row>
    <row r="1221" spans="2:21">
      <c r="B1221" s="232"/>
      <c r="C1221" s="232"/>
      <c r="D1221" s="255"/>
      <c r="E1221" s="255"/>
      <c r="F1221" s="255"/>
      <c r="G1221" s="255"/>
      <c r="H1221" s="21" t="s">
        <v>184</v>
      </c>
      <c r="I1221" s="21"/>
      <c r="J1221" s="54" t="s">
        <v>1594</v>
      </c>
      <c r="K1221" s="56" t="s">
        <v>3</v>
      </c>
      <c r="L1221" s="35" t="s">
        <v>332</v>
      </c>
      <c r="M1221" s="53" t="s">
        <v>349</v>
      </c>
      <c r="N1221" s="53">
        <v>44243</v>
      </c>
      <c r="O1221" s="35" t="s">
        <v>1052</v>
      </c>
      <c r="P1221" s="35" t="s">
        <v>1055</v>
      </c>
      <c r="Q1221" s="35"/>
      <c r="R1221" s="35"/>
      <c r="S1221" s="33"/>
      <c r="T1221" s="51"/>
      <c r="U1221" s="21"/>
    </row>
    <row r="1222" spans="2:21">
      <c r="B1222" s="232"/>
      <c r="C1222" s="232"/>
      <c r="D1222" s="255"/>
      <c r="E1222" s="255"/>
      <c r="F1222" s="255"/>
      <c r="G1222" s="255"/>
      <c r="H1222" s="21"/>
      <c r="I1222" s="21"/>
      <c r="J1222" s="54"/>
      <c r="K1222" s="56"/>
      <c r="L1222" s="35"/>
      <c r="M1222" s="53"/>
      <c r="N1222" s="53"/>
      <c r="O1222" s="35"/>
      <c r="P1222" s="35"/>
      <c r="Q1222" s="35"/>
      <c r="R1222" s="35"/>
      <c r="S1222" s="33"/>
      <c r="T1222" s="51"/>
      <c r="U1222" s="21"/>
    </row>
    <row r="1223" spans="2:21">
      <c r="B1223" s="232"/>
      <c r="C1223" s="232"/>
      <c r="D1223" s="255"/>
      <c r="E1223" s="255"/>
      <c r="F1223" s="255"/>
      <c r="G1223" s="255"/>
      <c r="H1223" s="21" t="s">
        <v>386</v>
      </c>
      <c r="I1223" s="21"/>
      <c r="J1223" s="54" t="s">
        <v>1595</v>
      </c>
      <c r="K1223" s="56" t="s">
        <v>3</v>
      </c>
      <c r="L1223" s="35" t="s">
        <v>332</v>
      </c>
      <c r="M1223" s="53" t="s">
        <v>349</v>
      </c>
      <c r="N1223" s="53">
        <v>44243</v>
      </c>
      <c r="O1223" s="35" t="s">
        <v>1053</v>
      </c>
      <c r="P1223" s="35" t="s">
        <v>1055</v>
      </c>
      <c r="Q1223" s="35"/>
      <c r="R1223" s="35"/>
      <c r="S1223" s="33"/>
      <c r="T1223" s="51"/>
      <c r="U1223" s="21"/>
    </row>
    <row r="1224" spans="2:21">
      <c r="B1224" s="232"/>
      <c r="C1224" s="232"/>
      <c r="D1224" s="255"/>
      <c r="E1224" s="255"/>
      <c r="F1224" s="255"/>
      <c r="G1224" s="255"/>
      <c r="H1224" s="21"/>
      <c r="I1224" s="21"/>
      <c r="J1224" s="54" t="s">
        <v>1595</v>
      </c>
      <c r="K1224" s="56" t="s">
        <v>512</v>
      </c>
      <c r="L1224" s="35" t="s">
        <v>332</v>
      </c>
      <c r="M1224" s="53" t="s">
        <v>349</v>
      </c>
      <c r="N1224" s="53">
        <v>44315</v>
      </c>
      <c r="O1224" s="35" t="s">
        <v>1053</v>
      </c>
      <c r="P1224" s="35" t="s">
        <v>1570</v>
      </c>
      <c r="Q1224" s="35"/>
      <c r="R1224" s="35"/>
      <c r="S1224" s="33"/>
      <c r="T1224" s="51"/>
      <c r="U1224" s="21"/>
    </row>
    <row r="1225" spans="2:21">
      <c r="B1225" s="232"/>
      <c r="C1225" s="232"/>
      <c r="D1225" s="255"/>
      <c r="E1225" s="255"/>
      <c r="F1225" s="255"/>
      <c r="G1225" s="255"/>
      <c r="H1225" s="21"/>
      <c r="I1225" s="21"/>
      <c r="J1225" s="54"/>
      <c r="K1225" s="56"/>
      <c r="L1225" s="35"/>
      <c r="M1225" s="53"/>
      <c r="N1225" s="53"/>
      <c r="O1225" s="35"/>
      <c r="P1225" s="35"/>
      <c r="Q1225" s="35"/>
      <c r="R1225" s="35"/>
      <c r="S1225" s="33"/>
      <c r="T1225" s="51"/>
      <c r="U1225" s="21"/>
    </row>
    <row r="1226" spans="2:21">
      <c r="B1226" s="232"/>
      <c r="C1226" s="232"/>
      <c r="D1226" s="255"/>
      <c r="E1226" s="255"/>
      <c r="F1226" s="255"/>
      <c r="G1226" s="255"/>
      <c r="H1226" s="21" t="s">
        <v>935</v>
      </c>
      <c r="I1226" s="21"/>
      <c r="J1226" s="54" t="s">
        <v>1596</v>
      </c>
      <c r="K1226" s="56" t="s">
        <v>3</v>
      </c>
      <c r="L1226" s="35" t="s">
        <v>332</v>
      </c>
      <c r="M1226" s="53" t="s">
        <v>349</v>
      </c>
      <c r="N1226" s="53">
        <v>44243</v>
      </c>
      <c r="O1226" s="35" t="s">
        <v>1054</v>
      </c>
      <c r="P1226" s="35" t="s">
        <v>1055</v>
      </c>
      <c r="Q1226" s="35"/>
      <c r="R1226" s="35"/>
      <c r="S1226" s="33"/>
      <c r="T1226" s="51"/>
      <c r="U1226" s="21"/>
    </row>
    <row r="1227" spans="2:21">
      <c r="B1227" s="232"/>
      <c r="C1227" s="232"/>
      <c r="D1227" s="255"/>
      <c r="E1227" s="255"/>
      <c r="F1227" s="255"/>
      <c r="G1227" s="255"/>
      <c r="H1227" s="21"/>
      <c r="I1227" s="21"/>
      <c r="J1227" s="54" t="s">
        <v>1596</v>
      </c>
      <c r="K1227" s="56" t="s">
        <v>654</v>
      </c>
      <c r="L1227" s="35" t="s">
        <v>332</v>
      </c>
      <c r="M1227" s="53" t="s">
        <v>349</v>
      </c>
      <c r="N1227" s="53">
        <v>44315</v>
      </c>
      <c r="O1227" s="35" t="s">
        <v>1054</v>
      </c>
      <c r="P1227" s="35" t="s">
        <v>1570</v>
      </c>
      <c r="Q1227" s="35"/>
      <c r="R1227" s="35"/>
      <c r="S1227" s="33"/>
      <c r="T1227" s="51"/>
      <c r="U1227" s="21"/>
    </row>
    <row r="1228" spans="2:21">
      <c r="B1228" s="232"/>
      <c r="C1228" s="232"/>
      <c r="D1228" s="255"/>
      <c r="E1228" s="255"/>
      <c r="F1228" s="255"/>
      <c r="G1228" s="255"/>
      <c r="H1228" s="21"/>
      <c r="I1228" s="21"/>
      <c r="J1228" s="54"/>
      <c r="K1228" s="56"/>
      <c r="L1228" s="35"/>
      <c r="M1228" s="53"/>
      <c r="N1228" s="53"/>
      <c r="O1228" s="35"/>
      <c r="P1228" s="35"/>
      <c r="Q1228" s="35"/>
      <c r="R1228" s="35"/>
      <c r="S1228" s="33"/>
      <c r="T1228" s="51"/>
      <c r="U1228" s="21"/>
    </row>
    <row r="1229" spans="2:21">
      <c r="B1229" s="232"/>
      <c r="C1229" s="232"/>
      <c r="D1229" s="255"/>
      <c r="E1229" s="255"/>
      <c r="F1229" s="255"/>
      <c r="G1229" s="255"/>
      <c r="H1229" s="21" t="s">
        <v>1058</v>
      </c>
      <c r="I1229" s="21"/>
      <c r="J1229" s="54" t="s">
        <v>3971</v>
      </c>
      <c r="K1229" s="56"/>
      <c r="L1229" s="35"/>
      <c r="M1229" s="53"/>
      <c r="N1229" s="53"/>
      <c r="O1229" s="35"/>
      <c r="P1229" s="35"/>
      <c r="Q1229" s="35"/>
      <c r="R1229" s="35"/>
      <c r="S1229" s="33"/>
      <c r="T1229" s="51"/>
      <c r="U1229" s="21"/>
    </row>
    <row r="1230" spans="2:21">
      <c r="B1230" s="232"/>
      <c r="C1230" s="232"/>
      <c r="D1230" s="255"/>
      <c r="E1230" s="255"/>
      <c r="F1230" s="255"/>
      <c r="G1230" s="255"/>
      <c r="H1230" s="21"/>
      <c r="I1230" s="21"/>
      <c r="J1230" s="147" t="s">
        <v>3972</v>
      </c>
      <c r="K1230" s="53" t="s">
        <v>349</v>
      </c>
      <c r="L1230" s="35" t="s">
        <v>332</v>
      </c>
      <c r="M1230" s="53" t="s">
        <v>349</v>
      </c>
      <c r="N1230" s="53">
        <v>45216</v>
      </c>
      <c r="O1230" s="35" t="s">
        <v>3954</v>
      </c>
      <c r="P1230" s="35" t="s">
        <v>3976</v>
      </c>
      <c r="Q1230" s="35"/>
      <c r="R1230" s="35"/>
      <c r="S1230" s="33"/>
      <c r="T1230" s="51"/>
      <c r="U1230" s="21"/>
    </row>
    <row r="1231" spans="2:21">
      <c r="B1231" s="232"/>
      <c r="C1231" s="232"/>
      <c r="D1231" s="255"/>
      <c r="E1231" s="255"/>
      <c r="F1231" s="255"/>
      <c r="G1231" s="255"/>
      <c r="H1231" s="21"/>
      <c r="I1231" s="21"/>
      <c r="J1231" s="147" t="s">
        <v>3973</v>
      </c>
      <c r="K1231" s="53" t="s">
        <v>349</v>
      </c>
      <c r="L1231" s="35" t="s">
        <v>332</v>
      </c>
      <c r="M1231" s="53" t="s">
        <v>349</v>
      </c>
      <c r="N1231" s="53">
        <v>45216</v>
      </c>
      <c r="O1231" s="35" t="s">
        <v>3956</v>
      </c>
      <c r="P1231" s="35" t="s">
        <v>3976</v>
      </c>
      <c r="Q1231" s="35"/>
      <c r="R1231" s="35"/>
      <c r="S1231" s="33"/>
      <c r="T1231" s="51"/>
      <c r="U1231" s="21"/>
    </row>
    <row r="1232" spans="2:21">
      <c r="B1232" s="232"/>
      <c r="C1232" s="232"/>
      <c r="D1232" s="255"/>
      <c r="E1232" s="255"/>
      <c r="F1232" s="255"/>
      <c r="G1232" s="255"/>
      <c r="H1232" s="21"/>
      <c r="I1232" s="21"/>
      <c r="J1232" s="147" t="s">
        <v>3974</v>
      </c>
      <c r="K1232" s="53" t="s">
        <v>349</v>
      </c>
      <c r="L1232" s="35" t="s">
        <v>332</v>
      </c>
      <c r="M1232" s="53" t="s">
        <v>349</v>
      </c>
      <c r="N1232" s="53">
        <v>45216</v>
      </c>
      <c r="O1232" s="35" t="s">
        <v>3958</v>
      </c>
      <c r="P1232" s="35" t="s">
        <v>3976</v>
      </c>
      <c r="Q1232" s="35"/>
      <c r="R1232" s="35"/>
      <c r="S1232" s="33"/>
      <c r="T1232" s="51"/>
      <c r="U1232" s="21"/>
    </row>
    <row r="1233" spans="2:21">
      <c r="B1233" s="232"/>
      <c r="C1233" s="232"/>
      <c r="D1233" s="255"/>
      <c r="E1233" s="255"/>
      <c r="F1233" s="255"/>
      <c r="G1233" s="255"/>
      <c r="H1233" s="21"/>
      <c r="I1233" s="21"/>
      <c r="J1233" s="147" t="s">
        <v>3975</v>
      </c>
      <c r="K1233" s="53" t="s">
        <v>349</v>
      </c>
      <c r="L1233" s="35" t="s">
        <v>332</v>
      </c>
      <c r="M1233" s="53" t="s">
        <v>349</v>
      </c>
      <c r="N1233" s="53">
        <v>45216</v>
      </c>
      <c r="O1233" s="35" t="s">
        <v>3960</v>
      </c>
      <c r="P1233" s="35" t="s">
        <v>3976</v>
      </c>
      <c r="Q1233" s="35"/>
      <c r="R1233" s="35"/>
      <c r="S1233" s="33"/>
      <c r="T1233" s="51"/>
      <c r="U1233" s="21"/>
    </row>
    <row r="1234" spans="2:21">
      <c r="B1234" s="232"/>
      <c r="C1234" s="232"/>
      <c r="D1234" s="255"/>
      <c r="E1234" s="255"/>
      <c r="F1234" s="255"/>
      <c r="G1234" s="255"/>
      <c r="H1234" s="21"/>
      <c r="I1234" s="21"/>
      <c r="J1234" s="54"/>
      <c r="K1234" s="35"/>
      <c r="L1234" s="35"/>
      <c r="M1234" s="53"/>
      <c r="N1234" s="53"/>
      <c r="O1234" s="35"/>
      <c r="P1234" s="35"/>
      <c r="Q1234" s="35"/>
      <c r="R1234" s="35"/>
      <c r="S1234" s="33"/>
      <c r="T1234" s="51"/>
      <c r="U1234" s="21"/>
    </row>
    <row r="1235" spans="2:21">
      <c r="B1235" s="232"/>
      <c r="C1235" s="232"/>
      <c r="D1235" s="255"/>
      <c r="E1235" s="255"/>
      <c r="F1235" s="21" t="s">
        <v>29</v>
      </c>
      <c r="G1235" s="256" t="s">
        <v>178</v>
      </c>
      <c r="H1235" s="257"/>
      <c r="I1235" s="257"/>
      <c r="J1235" s="257"/>
      <c r="K1235" s="257"/>
      <c r="L1235" s="257"/>
      <c r="M1235" s="257"/>
      <c r="N1235" s="257"/>
      <c r="O1235" s="257"/>
      <c r="P1235" s="257"/>
      <c r="Q1235" s="258"/>
      <c r="R1235" s="39"/>
      <c r="S1235" s="21"/>
      <c r="T1235" s="21"/>
      <c r="U1235" s="21"/>
    </row>
    <row r="1236" spans="2:21">
      <c r="B1236" s="232"/>
      <c r="C1236" s="232"/>
      <c r="D1236" s="255"/>
      <c r="E1236" s="255"/>
      <c r="F1236" s="263"/>
      <c r="G1236" s="263"/>
      <c r="H1236" s="21" t="s">
        <v>176</v>
      </c>
      <c r="I1236" s="21"/>
      <c r="J1236" s="33" t="s">
        <v>1577</v>
      </c>
      <c r="K1236" s="56" t="s">
        <v>3</v>
      </c>
      <c r="L1236" s="35" t="s">
        <v>332</v>
      </c>
      <c r="M1236" s="53" t="s">
        <v>349</v>
      </c>
      <c r="N1236" s="53">
        <v>44243</v>
      </c>
      <c r="O1236" s="35" t="s">
        <v>1056</v>
      </c>
      <c r="P1236" s="35" t="s">
        <v>1055</v>
      </c>
      <c r="Q1236" s="35"/>
      <c r="R1236" s="35"/>
      <c r="S1236" s="33"/>
      <c r="T1236" s="33"/>
      <c r="U1236" s="21"/>
    </row>
    <row r="1237" spans="2:21">
      <c r="B1237" s="232"/>
      <c r="C1237" s="232"/>
      <c r="D1237" s="255"/>
      <c r="E1237" s="255"/>
      <c r="F1237" s="262"/>
      <c r="G1237" s="262"/>
      <c r="H1237" s="21"/>
      <c r="I1237" s="21"/>
      <c r="J1237" s="33" t="s">
        <v>1577</v>
      </c>
      <c r="K1237" s="56" t="s">
        <v>512</v>
      </c>
      <c r="L1237" s="35" t="s">
        <v>332</v>
      </c>
      <c r="M1237" s="53" t="s">
        <v>349</v>
      </c>
      <c r="N1237" s="53">
        <v>44315</v>
      </c>
      <c r="O1237" s="35" t="s">
        <v>1056</v>
      </c>
      <c r="P1237" s="35" t="s">
        <v>1570</v>
      </c>
      <c r="Q1237" s="35"/>
      <c r="R1237" s="35"/>
      <c r="S1237" s="33"/>
      <c r="T1237" s="33"/>
      <c r="U1237" s="21"/>
    </row>
    <row r="1238" spans="2:21">
      <c r="B1238" s="232"/>
      <c r="C1238" s="232"/>
      <c r="D1238" s="255"/>
      <c r="E1238" s="255"/>
      <c r="F1238" s="262"/>
      <c r="G1238" s="262"/>
      <c r="H1238" s="21"/>
      <c r="I1238" s="21"/>
      <c r="J1238" s="33" t="s">
        <v>1577</v>
      </c>
      <c r="K1238" s="56" t="s">
        <v>729</v>
      </c>
      <c r="L1238" s="35" t="s">
        <v>332</v>
      </c>
      <c r="M1238" s="53" t="s">
        <v>349</v>
      </c>
      <c r="N1238" s="53">
        <v>45216</v>
      </c>
      <c r="O1238" s="35" t="s">
        <v>1056</v>
      </c>
      <c r="P1238" s="35" t="s">
        <v>3976</v>
      </c>
      <c r="Q1238" s="35"/>
      <c r="R1238" s="35"/>
      <c r="S1238" s="33"/>
      <c r="T1238" s="33"/>
      <c r="U1238" s="21"/>
    </row>
    <row r="1239" spans="2:21">
      <c r="B1239" s="232"/>
      <c r="C1239" s="232"/>
      <c r="D1239" s="255"/>
      <c r="E1239" s="255"/>
      <c r="F1239" s="262"/>
      <c r="G1239" s="262"/>
      <c r="H1239" s="21"/>
      <c r="I1239" s="21"/>
      <c r="J1239" s="33"/>
      <c r="K1239" s="56"/>
      <c r="L1239" s="35"/>
      <c r="M1239" s="53"/>
      <c r="N1239" s="53"/>
      <c r="O1239" s="35"/>
      <c r="P1239" s="35"/>
      <c r="Q1239" s="35"/>
      <c r="R1239" s="35"/>
      <c r="S1239" s="33"/>
      <c r="T1239" s="33"/>
      <c r="U1239" s="21"/>
    </row>
    <row r="1240" spans="2:21">
      <c r="B1240" s="232"/>
      <c r="C1240" s="232"/>
      <c r="D1240" s="255"/>
      <c r="E1240" s="255"/>
      <c r="F1240" s="262"/>
      <c r="G1240" s="262"/>
      <c r="H1240" s="21" t="s">
        <v>177</v>
      </c>
      <c r="I1240" s="21"/>
      <c r="J1240" s="33" t="s">
        <v>1582</v>
      </c>
      <c r="K1240" s="56" t="s">
        <v>3</v>
      </c>
      <c r="L1240" s="35" t="s">
        <v>332</v>
      </c>
      <c r="M1240" s="53" t="s">
        <v>349</v>
      </c>
      <c r="N1240" s="53">
        <v>44243</v>
      </c>
      <c r="O1240" s="35" t="s">
        <v>1063</v>
      </c>
      <c r="P1240" s="35" t="s">
        <v>1055</v>
      </c>
      <c r="Q1240" s="35"/>
      <c r="R1240" s="35"/>
      <c r="S1240" s="33"/>
      <c r="T1240" s="33"/>
      <c r="U1240" s="21"/>
    </row>
    <row r="1241" spans="2:21">
      <c r="B1241" s="232"/>
      <c r="C1241" s="232"/>
      <c r="D1241" s="255"/>
      <c r="E1241" s="255"/>
      <c r="F1241" s="262"/>
      <c r="G1241" s="262"/>
      <c r="H1241" s="21"/>
      <c r="I1241" s="21"/>
      <c r="J1241" s="33" t="s">
        <v>1582</v>
      </c>
      <c r="K1241" s="56" t="s">
        <v>512</v>
      </c>
      <c r="L1241" s="35" t="s">
        <v>332</v>
      </c>
      <c r="M1241" s="53" t="s">
        <v>349</v>
      </c>
      <c r="N1241" s="53">
        <v>44315</v>
      </c>
      <c r="O1241" s="35" t="s">
        <v>1063</v>
      </c>
      <c r="P1241" s="58" t="s">
        <v>1570</v>
      </c>
      <c r="Q1241" s="35"/>
      <c r="R1241" s="35"/>
      <c r="S1241" s="33"/>
      <c r="T1241" s="33"/>
      <c r="U1241" s="21"/>
    </row>
    <row r="1242" spans="2:21">
      <c r="B1242" s="232"/>
      <c r="C1242" s="232"/>
      <c r="D1242" s="255"/>
      <c r="E1242" s="255"/>
      <c r="F1242" s="262"/>
      <c r="G1242" s="262"/>
      <c r="H1242" s="21"/>
      <c r="I1242" s="21"/>
      <c r="J1242" s="33" t="s">
        <v>1582</v>
      </c>
      <c r="K1242" s="56" t="s">
        <v>654</v>
      </c>
      <c r="L1242" s="35" t="s">
        <v>332</v>
      </c>
      <c r="M1242" s="53" t="s">
        <v>349</v>
      </c>
      <c r="N1242" s="53">
        <v>44973</v>
      </c>
      <c r="O1242" s="35" t="s">
        <v>1063</v>
      </c>
      <c r="P1242" s="58" t="s">
        <v>3588</v>
      </c>
      <c r="Q1242" s="35"/>
      <c r="R1242" s="35"/>
      <c r="S1242" s="33"/>
      <c r="T1242" s="33"/>
      <c r="U1242" s="21"/>
    </row>
    <row r="1243" spans="2:21">
      <c r="B1243" s="232"/>
      <c r="C1243" s="232"/>
      <c r="D1243" s="255"/>
      <c r="E1243" s="255"/>
      <c r="F1243" s="262"/>
      <c r="G1243" s="262"/>
      <c r="H1243" s="21"/>
      <c r="I1243" s="21"/>
      <c r="J1243" s="33" t="s">
        <v>1582</v>
      </c>
      <c r="K1243" s="56" t="s">
        <v>730</v>
      </c>
      <c r="L1243" s="35" t="s">
        <v>332</v>
      </c>
      <c r="M1243" s="53" t="s">
        <v>349</v>
      </c>
      <c r="N1243" s="53">
        <v>45216</v>
      </c>
      <c r="O1243" s="35" t="s">
        <v>1063</v>
      </c>
      <c r="P1243" s="35" t="s">
        <v>3976</v>
      </c>
      <c r="Q1243" s="35"/>
      <c r="R1243" s="35"/>
      <c r="S1243" s="33"/>
      <c r="T1243" s="33"/>
      <c r="U1243" s="21"/>
    </row>
    <row r="1244" spans="2:21">
      <c r="B1244" s="232"/>
      <c r="C1244" s="232"/>
      <c r="D1244" s="255"/>
      <c r="E1244" s="255"/>
      <c r="F1244" s="262"/>
      <c r="G1244" s="262"/>
      <c r="H1244" s="21"/>
      <c r="I1244" s="21"/>
      <c r="J1244" s="33"/>
      <c r="K1244" s="56"/>
      <c r="L1244" s="35"/>
      <c r="M1244" s="53"/>
      <c r="N1244" s="53"/>
      <c r="O1244" s="35"/>
      <c r="P1244" s="35"/>
      <c r="Q1244" s="35"/>
      <c r="R1244" s="35"/>
      <c r="S1244" s="33"/>
      <c r="T1244" s="33"/>
      <c r="U1244" s="21"/>
    </row>
    <row r="1245" spans="2:21">
      <c r="B1245" s="232"/>
      <c r="C1245" s="232"/>
      <c r="D1245" s="255"/>
      <c r="E1245" s="255"/>
      <c r="F1245" s="262"/>
      <c r="G1245" s="262"/>
      <c r="H1245" s="21" t="s">
        <v>181</v>
      </c>
      <c r="I1245" s="21"/>
      <c r="J1245" s="33" t="s">
        <v>1583</v>
      </c>
      <c r="K1245" s="56" t="s">
        <v>3</v>
      </c>
      <c r="L1245" s="35" t="s">
        <v>332</v>
      </c>
      <c r="M1245" s="53" t="s">
        <v>349</v>
      </c>
      <c r="N1245" s="53">
        <v>44243</v>
      </c>
      <c r="O1245" s="35" t="s">
        <v>1065</v>
      </c>
      <c r="P1245" s="35" t="s">
        <v>1055</v>
      </c>
      <c r="Q1245" s="35"/>
      <c r="R1245" s="35"/>
      <c r="S1245" s="33"/>
      <c r="T1245" s="33"/>
      <c r="U1245" s="21"/>
    </row>
    <row r="1246" spans="2:21">
      <c r="B1246" s="232"/>
      <c r="C1246" s="232"/>
      <c r="D1246" s="255"/>
      <c r="E1246" s="255"/>
      <c r="F1246" s="262"/>
      <c r="G1246" s="262"/>
      <c r="H1246" s="21"/>
      <c r="I1246" s="21"/>
      <c r="J1246" s="33" t="s">
        <v>1583</v>
      </c>
      <c r="K1246" s="56" t="s">
        <v>512</v>
      </c>
      <c r="L1246" s="35" t="s">
        <v>332</v>
      </c>
      <c r="M1246" s="53" t="s">
        <v>349</v>
      </c>
      <c r="N1246" s="53">
        <v>44315</v>
      </c>
      <c r="O1246" s="35" t="s">
        <v>1065</v>
      </c>
      <c r="P1246" s="58" t="s">
        <v>1570</v>
      </c>
      <c r="Q1246" s="35"/>
      <c r="R1246" s="35"/>
      <c r="S1246" s="33"/>
      <c r="T1246" s="33"/>
      <c r="U1246" s="21"/>
    </row>
    <row r="1247" spans="2:21">
      <c r="B1247" s="232"/>
      <c r="C1247" s="232"/>
      <c r="D1247" s="255"/>
      <c r="E1247" s="255"/>
      <c r="F1247" s="262"/>
      <c r="G1247" s="262"/>
      <c r="H1247" s="21"/>
      <c r="I1247" s="21"/>
      <c r="J1247" s="33" t="s">
        <v>1583</v>
      </c>
      <c r="K1247" s="56" t="s">
        <v>729</v>
      </c>
      <c r="L1247" s="35" t="s">
        <v>332</v>
      </c>
      <c r="M1247" s="53" t="s">
        <v>349</v>
      </c>
      <c r="N1247" s="53">
        <v>44972</v>
      </c>
      <c r="O1247" s="35" t="s">
        <v>1065</v>
      </c>
      <c r="P1247" s="58" t="s">
        <v>3576</v>
      </c>
      <c r="Q1247" s="35"/>
      <c r="R1247" s="35"/>
      <c r="S1247" s="33"/>
      <c r="T1247" s="33"/>
      <c r="U1247" s="21"/>
    </row>
    <row r="1248" spans="2:21">
      <c r="B1248" s="232"/>
      <c r="C1248" s="232"/>
      <c r="D1248" s="255"/>
      <c r="E1248" s="255"/>
      <c r="F1248" s="262"/>
      <c r="G1248" s="262"/>
      <c r="H1248" s="21"/>
      <c r="I1248" s="21"/>
      <c r="J1248" s="33"/>
      <c r="K1248" s="56"/>
      <c r="L1248" s="35"/>
      <c r="M1248" s="53"/>
      <c r="N1248" s="53"/>
      <c r="O1248" s="35"/>
      <c r="P1248" s="35"/>
      <c r="Q1248" s="35"/>
      <c r="R1248" s="35"/>
      <c r="S1248" s="33"/>
      <c r="T1248" s="33"/>
      <c r="U1248" s="21"/>
    </row>
    <row r="1249" spans="2:21">
      <c r="B1249" s="232"/>
      <c r="C1249" s="232"/>
      <c r="D1249" s="255"/>
      <c r="E1249" s="255"/>
      <c r="F1249" s="262"/>
      <c r="G1249" s="262"/>
      <c r="H1249" s="21" t="s">
        <v>183</v>
      </c>
      <c r="I1249" s="21"/>
      <c r="J1249" s="54" t="s">
        <v>1580</v>
      </c>
      <c r="K1249" s="56" t="s">
        <v>3</v>
      </c>
      <c r="L1249" s="35" t="s">
        <v>332</v>
      </c>
      <c r="M1249" s="53" t="s">
        <v>349</v>
      </c>
      <c r="N1249" s="53">
        <v>44243</v>
      </c>
      <c r="O1249" s="35" t="s">
        <v>1062</v>
      </c>
      <c r="P1249" s="35" t="s">
        <v>1055</v>
      </c>
      <c r="Q1249" s="35"/>
      <c r="R1249" s="35"/>
      <c r="S1249" s="33"/>
      <c r="T1249" s="33"/>
      <c r="U1249" s="21"/>
    </row>
    <row r="1250" spans="2:21">
      <c r="B1250" s="232"/>
      <c r="C1250" s="232"/>
      <c r="D1250" s="255"/>
      <c r="E1250" s="255"/>
      <c r="F1250" s="262"/>
      <c r="G1250" s="262"/>
      <c r="H1250" s="21"/>
      <c r="I1250" s="21"/>
      <c r="J1250" s="54" t="s">
        <v>1580</v>
      </c>
      <c r="K1250" s="56" t="s">
        <v>512</v>
      </c>
      <c r="L1250" s="35" t="s">
        <v>332</v>
      </c>
      <c r="M1250" s="53" t="s">
        <v>349</v>
      </c>
      <c r="N1250" s="53">
        <v>44315</v>
      </c>
      <c r="O1250" s="35" t="s">
        <v>1062</v>
      </c>
      <c r="P1250" s="35" t="s">
        <v>1570</v>
      </c>
      <c r="Q1250" s="35"/>
      <c r="R1250" s="35"/>
      <c r="S1250" s="33"/>
      <c r="T1250" s="33"/>
      <c r="U1250" s="21"/>
    </row>
    <row r="1251" spans="2:21">
      <c r="B1251" s="232"/>
      <c r="C1251" s="232"/>
      <c r="D1251" s="255"/>
      <c r="E1251" s="255"/>
      <c r="F1251" s="262"/>
      <c r="G1251" s="262"/>
      <c r="H1251" s="21"/>
      <c r="I1251" s="21"/>
      <c r="J1251" s="54" t="s">
        <v>1580</v>
      </c>
      <c r="K1251" s="56" t="s">
        <v>730</v>
      </c>
      <c r="L1251" s="35" t="s">
        <v>332</v>
      </c>
      <c r="M1251" s="53" t="s">
        <v>349</v>
      </c>
      <c r="N1251" s="53">
        <v>45216</v>
      </c>
      <c r="O1251" s="35" t="s">
        <v>1062</v>
      </c>
      <c r="P1251" s="35" t="s">
        <v>3976</v>
      </c>
      <c r="Q1251" s="35"/>
      <c r="R1251" s="35"/>
      <c r="S1251" s="33"/>
      <c r="T1251" s="33"/>
      <c r="U1251" s="21"/>
    </row>
    <row r="1252" spans="2:21">
      <c r="B1252" s="232"/>
      <c r="C1252" s="232"/>
      <c r="D1252" s="255"/>
      <c r="E1252" s="255"/>
      <c r="F1252" s="262"/>
      <c r="G1252" s="262"/>
      <c r="H1252" s="21"/>
      <c r="I1252" s="21"/>
      <c r="J1252" s="54"/>
      <c r="K1252" s="56"/>
      <c r="L1252" s="35"/>
      <c r="M1252" s="53"/>
      <c r="N1252" s="53"/>
      <c r="O1252" s="35"/>
      <c r="P1252" s="35"/>
      <c r="Q1252" s="35"/>
      <c r="R1252" s="35"/>
      <c r="S1252" s="33"/>
      <c r="T1252" s="33"/>
      <c r="U1252" s="21"/>
    </row>
    <row r="1253" spans="2:21">
      <c r="B1253" s="232"/>
      <c r="C1253" s="232"/>
      <c r="D1253" s="255"/>
      <c r="E1253" s="255"/>
      <c r="F1253" s="262"/>
      <c r="G1253" s="262"/>
      <c r="H1253" s="21" t="s">
        <v>184</v>
      </c>
      <c r="I1253" s="21"/>
      <c r="J1253" s="54" t="s">
        <v>1581</v>
      </c>
      <c r="K1253" s="56" t="s">
        <v>3</v>
      </c>
      <c r="L1253" s="35" t="s">
        <v>332</v>
      </c>
      <c r="M1253" s="53" t="s">
        <v>349</v>
      </c>
      <c r="N1253" s="53">
        <v>44243</v>
      </c>
      <c r="O1253" s="35" t="s">
        <v>1068</v>
      </c>
      <c r="P1253" s="35" t="s">
        <v>1055</v>
      </c>
      <c r="Q1253" s="35"/>
      <c r="R1253" s="35"/>
      <c r="S1253" s="33"/>
      <c r="T1253" s="33"/>
      <c r="U1253" s="21"/>
    </row>
    <row r="1254" spans="2:21">
      <c r="B1254" s="232"/>
      <c r="C1254" s="232"/>
      <c r="D1254" s="255"/>
      <c r="E1254" s="255"/>
      <c r="F1254" s="262"/>
      <c r="G1254" s="262"/>
      <c r="H1254" s="21"/>
      <c r="I1254" s="21"/>
      <c r="J1254" s="54" t="s">
        <v>1581</v>
      </c>
      <c r="K1254" s="56" t="s">
        <v>512</v>
      </c>
      <c r="L1254" s="35" t="s">
        <v>332</v>
      </c>
      <c r="M1254" s="53" t="s">
        <v>349</v>
      </c>
      <c r="N1254" s="53">
        <v>44315</v>
      </c>
      <c r="O1254" s="35" t="s">
        <v>1068</v>
      </c>
      <c r="P1254" s="35" t="s">
        <v>1570</v>
      </c>
      <c r="Q1254" s="35"/>
      <c r="R1254" s="35"/>
      <c r="S1254" s="33"/>
      <c r="T1254" s="33"/>
      <c r="U1254" s="21"/>
    </row>
    <row r="1255" spans="2:21">
      <c r="B1255" s="232"/>
      <c r="C1255" s="232"/>
      <c r="D1255" s="255"/>
      <c r="E1255" s="255"/>
      <c r="F1255" s="262"/>
      <c r="G1255" s="262"/>
      <c r="H1255" s="21"/>
      <c r="I1255" s="21"/>
      <c r="J1255" s="54" t="s">
        <v>1581</v>
      </c>
      <c r="K1255" s="56" t="s">
        <v>730</v>
      </c>
      <c r="L1255" s="35" t="s">
        <v>332</v>
      </c>
      <c r="M1255" s="53" t="s">
        <v>349</v>
      </c>
      <c r="N1255" s="53">
        <v>45216</v>
      </c>
      <c r="O1255" s="35" t="s">
        <v>1068</v>
      </c>
      <c r="P1255" s="35" t="s">
        <v>3976</v>
      </c>
      <c r="Q1255" s="35"/>
      <c r="R1255" s="35"/>
      <c r="S1255" s="33"/>
      <c r="T1255" s="33"/>
      <c r="U1255" s="21"/>
    </row>
    <row r="1256" spans="2:21">
      <c r="B1256" s="232"/>
      <c r="C1256" s="232"/>
      <c r="D1256" s="255"/>
      <c r="E1256" s="255"/>
      <c r="F1256" s="262"/>
      <c r="G1256" s="262"/>
      <c r="H1256" s="21"/>
      <c r="I1256" s="21"/>
      <c r="J1256" s="54"/>
      <c r="K1256" s="56"/>
      <c r="L1256" s="35"/>
      <c r="M1256" s="53"/>
      <c r="N1256" s="53"/>
      <c r="O1256" s="35"/>
      <c r="P1256" s="35"/>
      <c r="Q1256" s="35"/>
      <c r="R1256" s="35"/>
      <c r="S1256" s="33"/>
      <c r="T1256" s="33"/>
      <c r="U1256" s="21"/>
    </row>
    <row r="1257" spans="2:21">
      <c r="B1257" s="232"/>
      <c r="C1257" s="232"/>
      <c r="D1257" s="255"/>
      <c r="E1257" s="255"/>
      <c r="F1257" s="262"/>
      <c r="G1257" s="262"/>
      <c r="H1257" s="21" t="s">
        <v>386</v>
      </c>
      <c r="I1257" s="21"/>
      <c r="J1257" s="54" t="s">
        <v>1586</v>
      </c>
      <c r="K1257" s="56" t="s">
        <v>3</v>
      </c>
      <c r="L1257" s="35" t="s">
        <v>332</v>
      </c>
      <c r="M1257" s="53" t="s">
        <v>349</v>
      </c>
      <c r="N1257" s="53">
        <v>44243</v>
      </c>
      <c r="O1257" s="35" t="s">
        <v>1066</v>
      </c>
      <c r="P1257" s="35" t="s">
        <v>1055</v>
      </c>
      <c r="Q1257" s="35"/>
      <c r="R1257" s="35"/>
      <c r="S1257" s="33"/>
      <c r="T1257" s="33"/>
      <c r="U1257" s="21"/>
    </row>
    <row r="1258" spans="2:21">
      <c r="B1258" s="232"/>
      <c r="C1258" s="232"/>
      <c r="D1258" s="255"/>
      <c r="E1258" s="255"/>
      <c r="F1258" s="262"/>
      <c r="G1258" s="262"/>
      <c r="H1258" s="21"/>
      <c r="I1258" s="21"/>
      <c r="J1258" s="54" t="s">
        <v>1586</v>
      </c>
      <c r="K1258" s="56" t="s">
        <v>512</v>
      </c>
      <c r="L1258" s="35" t="s">
        <v>332</v>
      </c>
      <c r="M1258" s="53" t="s">
        <v>349</v>
      </c>
      <c r="N1258" s="53">
        <v>44315</v>
      </c>
      <c r="O1258" s="35" t="s">
        <v>1066</v>
      </c>
      <c r="P1258" s="35" t="s">
        <v>1570</v>
      </c>
      <c r="Q1258" s="35"/>
      <c r="R1258" s="35"/>
      <c r="S1258" s="33"/>
      <c r="T1258" s="33"/>
      <c r="U1258" s="21"/>
    </row>
    <row r="1259" spans="2:21">
      <c r="B1259" s="232"/>
      <c r="C1259" s="232"/>
      <c r="D1259" s="255"/>
      <c r="E1259" s="255"/>
      <c r="F1259" s="262"/>
      <c r="G1259" s="262"/>
      <c r="H1259" s="21"/>
      <c r="I1259" s="21"/>
      <c r="J1259" s="54" t="s">
        <v>1586</v>
      </c>
      <c r="K1259" s="56" t="s">
        <v>729</v>
      </c>
      <c r="L1259" s="35" t="s">
        <v>332</v>
      </c>
      <c r="M1259" s="53" t="s">
        <v>349</v>
      </c>
      <c r="N1259" s="53">
        <v>44972</v>
      </c>
      <c r="O1259" s="35" t="s">
        <v>1066</v>
      </c>
      <c r="P1259" s="58" t="s">
        <v>3576</v>
      </c>
      <c r="Q1259" s="35"/>
      <c r="R1259" s="35"/>
      <c r="S1259" s="33"/>
      <c r="T1259" s="33"/>
      <c r="U1259" s="21"/>
    </row>
    <row r="1260" spans="2:21">
      <c r="B1260" s="232"/>
      <c r="C1260" s="232"/>
      <c r="D1260" s="255"/>
      <c r="E1260" s="255"/>
      <c r="F1260" s="262"/>
      <c r="G1260" s="262"/>
      <c r="H1260" s="21"/>
      <c r="I1260" s="21"/>
      <c r="J1260" s="54"/>
      <c r="K1260" s="56"/>
      <c r="L1260" s="35"/>
      <c r="M1260" s="53"/>
      <c r="N1260" s="53"/>
      <c r="O1260" s="35"/>
      <c r="P1260" s="35"/>
      <c r="Q1260" s="35"/>
      <c r="R1260" s="35"/>
      <c r="S1260" s="33"/>
      <c r="T1260" s="33"/>
      <c r="U1260" s="21"/>
    </row>
    <row r="1261" spans="2:21">
      <c r="B1261" s="232"/>
      <c r="C1261" s="232"/>
      <c r="D1261" s="255"/>
      <c r="E1261" s="255"/>
      <c r="F1261" s="262"/>
      <c r="G1261" s="262"/>
      <c r="H1261" s="21" t="s">
        <v>935</v>
      </c>
      <c r="I1261" s="21"/>
      <c r="J1261" s="54" t="s">
        <v>1587</v>
      </c>
      <c r="K1261" s="56" t="s">
        <v>3</v>
      </c>
      <c r="L1261" s="35" t="s">
        <v>332</v>
      </c>
      <c r="M1261" s="53" t="s">
        <v>349</v>
      </c>
      <c r="N1261" s="53">
        <v>44243</v>
      </c>
      <c r="O1261" s="35" t="s">
        <v>1067</v>
      </c>
      <c r="P1261" s="35" t="s">
        <v>1055</v>
      </c>
      <c r="Q1261" s="35"/>
      <c r="R1261" s="35"/>
      <c r="S1261" s="33"/>
      <c r="T1261" s="33"/>
      <c r="U1261" s="21"/>
    </row>
    <row r="1262" spans="2:21">
      <c r="B1262" s="232"/>
      <c r="C1262" s="232"/>
      <c r="D1262" s="255"/>
      <c r="E1262" s="255"/>
      <c r="F1262" s="262"/>
      <c r="G1262" s="262"/>
      <c r="H1262" s="21"/>
      <c r="I1262" s="21"/>
      <c r="J1262" s="54" t="s">
        <v>1587</v>
      </c>
      <c r="K1262" s="56" t="s">
        <v>512</v>
      </c>
      <c r="L1262" s="35" t="s">
        <v>332</v>
      </c>
      <c r="M1262" s="53" t="s">
        <v>349</v>
      </c>
      <c r="N1262" s="53">
        <v>44315</v>
      </c>
      <c r="O1262" s="35" t="s">
        <v>1067</v>
      </c>
      <c r="P1262" s="35" t="s">
        <v>1570</v>
      </c>
      <c r="Q1262" s="35"/>
      <c r="R1262" s="35"/>
      <c r="S1262" s="33"/>
      <c r="T1262" s="33"/>
      <c r="U1262" s="21"/>
    </row>
    <row r="1263" spans="2:21">
      <c r="B1263" s="232"/>
      <c r="C1263" s="232"/>
      <c r="D1263" s="255"/>
      <c r="E1263" s="255"/>
      <c r="F1263" s="262"/>
      <c r="G1263" s="262"/>
      <c r="H1263" s="21"/>
      <c r="I1263" s="21"/>
      <c r="J1263" s="54" t="s">
        <v>1587</v>
      </c>
      <c r="K1263" s="56" t="s">
        <v>729</v>
      </c>
      <c r="L1263" s="35" t="s">
        <v>332</v>
      </c>
      <c r="M1263" s="53" t="s">
        <v>349</v>
      </c>
      <c r="N1263" s="53">
        <v>44972</v>
      </c>
      <c r="O1263" s="35" t="s">
        <v>1067</v>
      </c>
      <c r="P1263" s="58" t="s">
        <v>3576</v>
      </c>
      <c r="Q1263" s="35"/>
      <c r="R1263" s="35"/>
      <c r="S1263" s="33"/>
      <c r="T1263" s="33"/>
      <c r="U1263" s="21"/>
    </row>
    <row r="1264" spans="2:21">
      <c r="B1264" s="232"/>
      <c r="C1264" s="232"/>
      <c r="D1264" s="255"/>
      <c r="E1264" s="255"/>
      <c r="F1264" s="262"/>
      <c r="G1264" s="262"/>
      <c r="H1264" s="21"/>
      <c r="I1264" s="21"/>
      <c r="J1264" s="54"/>
      <c r="K1264" s="56"/>
      <c r="L1264" s="35"/>
      <c r="M1264" s="53"/>
      <c r="N1264" s="53"/>
      <c r="O1264" s="35"/>
      <c r="P1264" s="35"/>
      <c r="Q1264" s="35"/>
      <c r="R1264" s="35"/>
      <c r="S1264" s="33"/>
      <c r="T1264" s="33"/>
      <c r="U1264" s="21"/>
    </row>
    <row r="1265" spans="2:21">
      <c r="B1265" s="232"/>
      <c r="C1265" s="232"/>
      <c r="D1265" s="255"/>
      <c r="E1265" s="255"/>
      <c r="F1265" s="262"/>
      <c r="G1265" s="262"/>
      <c r="H1265" s="21" t="s">
        <v>1058</v>
      </c>
      <c r="I1265" s="21"/>
      <c r="J1265" s="54" t="s">
        <v>1584</v>
      </c>
      <c r="K1265" s="56" t="s">
        <v>3</v>
      </c>
      <c r="L1265" s="35" t="s">
        <v>332</v>
      </c>
      <c r="M1265" s="53" t="s">
        <v>349</v>
      </c>
      <c r="N1265" s="53">
        <v>44243</v>
      </c>
      <c r="O1265" s="62" t="s">
        <v>1064</v>
      </c>
      <c r="P1265" s="35" t="s">
        <v>1055</v>
      </c>
      <c r="Q1265" s="35"/>
      <c r="R1265" s="35"/>
      <c r="S1265" s="33"/>
      <c r="T1265" s="33"/>
      <c r="U1265" s="21"/>
    </row>
    <row r="1266" spans="2:21">
      <c r="B1266" s="232"/>
      <c r="C1266" s="232"/>
      <c r="D1266" s="255"/>
      <c r="E1266" s="255"/>
      <c r="F1266" s="262"/>
      <c r="G1266" s="262"/>
      <c r="H1266" s="21"/>
      <c r="I1266" s="21"/>
      <c r="J1266" s="54" t="s">
        <v>1584</v>
      </c>
      <c r="K1266" s="56" t="s">
        <v>512</v>
      </c>
      <c r="L1266" s="35" t="s">
        <v>332</v>
      </c>
      <c r="M1266" s="53" t="s">
        <v>349</v>
      </c>
      <c r="N1266" s="53">
        <v>44315</v>
      </c>
      <c r="O1266" s="62" t="s">
        <v>1064</v>
      </c>
      <c r="P1266" s="35" t="s">
        <v>1570</v>
      </c>
      <c r="Q1266" s="35"/>
      <c r="R1266" s="35"/>
      <c r="S1266" s="33"/>
      <c r="T1266" s="33"/>
      <c r="U1266" s="21"/>
    </row>
    <row r="1267" spans="2:21">
      <c r="B1267" s="232"/>
      <c r="C1267" s="232"/>
      <c r="D1267" s="255"/>
      <c r="E1267" s="255"/>
      <c r="F1267" s="262"/>
      <c r="G1267" s="262"/>
      <c r="H1267" s="21"/>
      <c r="I1267" s="21"/>
      <c r="J1267" s="54" t="s">
        <v>1584</v>
      </c>
      <c r="K1267" s="56" t="s">
        <v>729</v>
      </c>
      <c r="L1267" s="35" t="s">
        <v>332</v>
      </c>
      <c r="M1267" s="53" t="s">
        <v>349</v>
      </c>
      <c r="N1267" s="53">
        <v>45216</v>
      </c>
      <c r="O1267" s="62" t="s">
        <v>1064</v>
      </c>
      <c r="P1267" s="35" t="s">
        <v>3976</v>
      </c>
      <c r="Q1267" s="35"/>
      <c r="R1267" s="35"/>
      <c r="S1267" s="33"/>
      <c r="T1267" s="33"/>
      <c r="U1267" s="21"/>
    </row>
    <row r="1268" spans="2:21">
      <c r="B1268" s="232"/>
      <c r="C1268" s="232"/>
      <c r="D1268" s="255"/>
      <c r="E1268" s="255"/>
      <c r="F1268" s="262"/>
      <c r="G1268" s="262"/>
      <c r="H1268" s="21"/>
      <c r="I1268" s="21"/>
      <c r="J1268" s="54"/>
      <c r="K1268" s="56"/>
      <c r="L1268" s="35"/>
      <c r="M1268" s="53"/>
      <c r="N1268" s="53"/>
      <c r="O1268" s="62"/>
      <c r="P1268" s="35"/>
      <c r="Q1268" s="35"/>
      <c r="R1268" s="35"/>
      <c r="S1268" s="33"/>
      <c r="T1268" s="33"/>
      <c r="U1268" s="21"/>
    </row>
    <row r="1269" spans="2:21">
      <c r="B1269" s="232"/>
      <c r="C1269" s="232"/>
      <c r="D1269" s="255"/>
      <c r="E1269" s="255"/>
      <c r="F1269" s="262"/>
      <c r="G1269" s="262"/>
      <c r="H1269" s="21" t="s">
        <v>1059</v>
      </c>
      <c r="I1269" s="21"/>
      <c r="J1269" s="54" t="s">
        <v>1578</v>
      </c>
      <c r="K1269" s="56" t="s">
        <v>3</v>
      </c>
      <c r="L1269" s="35" t="s">
        <v>332</v>
      </c>
      <c r="M1269" s="53" t="s">
        <v>349</v>
      </c>
      <c r="N1269" s="53">
        <v>44243</v>
      </c>
      <c r="O1269" s="35" t="s">
        <v>1057</v>
      </c>
      <c r="P1269" s="35" t="s">
        <v>1055</v>
      </c>
      <c r="Q1269" s="35"/>
      <c r="R1269" s="35"/>
      <c r="S1269" s="33"/>
      <c r="T1269" s="51"/>
      <c r="U1269" s="21"/>
    </row>
    <row r="1270" spans="2:21">
      <c r="B1270" s="232"/>
      <c r="C1270" s="232"/>
      <c r="D1270" s="255"/>
      <c r="E1270" s="255"/>
      <c r="F1270" s="262"/>
      <c r="G1270" s="262"/>
      <c r="H1270" s="21"/>
      <c r="I1270" s="21"/>
      <c r="J1270" s="54" t="s">
        <v>1578</v>
      </c>
      <c r="K1270" s="56" t="s">
        <v>512</v>
      </c>
      <c r="L1270" s="35" t="s">
        <v>332</v>
      </c>
      <c r="M1270" s="53" t="s">
        <v>349</v>
      </c>
      <c r="N1270" s="53">
        <v>44315</v>
      </c>
      <c r="O1270" s="35" t="s">
        <v>1057</v>
      </c>
      <c r="P1270" s="35" t="s">
        <v>1570</v>
      </c>
      <c r="Q1270" s="35"/>
      <c r="R1270" s="35"/>
      <c r="S1270" s="33"/>
      <c r="T1270" s="51"/>
      <c r="U1270" s="21"/>
    </row>
    <row r="1271" spans="2:21">
      <c r="B1271" s="232"/>
      <c r="C1271" s="232"/>
      <c r="D1271" s="255"/>
      <c r="E1271" s="255"/>
      <c r="F1271" s="262"/>
      <c r="G1271" s="262"/>
      <c r="H1271" s="21"/>
      <c r="I1271" s="21"/>
      <c r="J1271" s="54" t="s">
        <v>1578</v>
      </c>
      <c r="K1271" s="56" t="s">
        <v>729</v>
      </c>
      <c r="L1271" s="35" t="s">
        <v>332</v>
      </c>
      <c r="M1271" s="53" t="s">
        <v>349</v>
      </c>
      <c r="N1271" s="53">
        <v>45216</v>
      </c>
      <c r="O1271" s="35" t="s">
        <v>1057</v>
      </c>
      <c r="P1271" s="35" t="s">
        <v>3976</v>
      </c>
      <c r="Q1271" s="35"/>
      <c r="R1271" s="35"/>
      <c r="S1271" s="33"/>
      <c r="T1271" s="51"/>
      <c r="U1271" s="21"/>
    </row>
    <row r="1272" spans="2:21">
      <c r="B1272" s="232"/>
      <c r="C1272" s="232"/>
      <c r="D1272" s="255"/>
      <c r="E1272" s="255"/>
      <c r="F1272" s="262"/>
      <c r="G1272" s="262"/>
      <c r="H1272" s="21"/>
      <c r="I1272" s="21"/>
      <c r="J1272" s="54"/>
      <c r="K1272" s="56"/>
      <c r="L1272" s="35"/>
      <c r="M1272" s="53"/>
      <c r="N1272" s="140"/>
      <c r="O1272" s="35"/>
      <c r="P1272" s="35"/>
      <c r="Q1272" s="35"/>
      <c r="R1272" s="35"/>
      <c r="S1272" s="33"/>
      <c r="T1272" s="51"/>
      <c r="U1272" s="21"/>
    </row>
    <row r="1273" spans="2:21">
      <c r="B1273" s="232"/>
      <c r="C1273" s="232"/>
      <c r="D1273" s="255"/>
      <c r="E1273" s="255"/>
      <c r="F1273" s="262"/>
      <c r="G1273" s="262"/>
      <c r="H1273" s="21" t="s">
        <v>1060</v>
      </c>
      <c r="I1273" s="38"/>
      <c r="J1273" s="54" t="s">
        <v>1579</v>
      </c>
      <c r="K1273" s="56" t="s">
        <v>3</v>
      </c>
      <c r="L1273" s="35" t="s">
        <v>332</v>
      </c>
      <c r="M1273" s="53" t="s">
        <v>349</v>
      </c>
      <c r="N1273" s="140">
        <v>44243</v>
      </c>
      <c r="O1273" s="35" t="s">
        <v>1061</v>
      </c>
      <c r="P1273" s="35" t="s">
        <v>1055</v>
      </c>
      <c r="Q1273" s="35"/>
      <c r="R1273" s="35"/>
      <c r="S1273" s="33"/>
      <c r="T1273" s="33"/>
      <c r="U1273" s="21"/>
    </row>
    <row r="1274" spans="2:21">
      <c r="B1274" s="232"/>
      <c r="C1274" s="232"/>
      <c r="D1274" s="255"/>
      <c r="E1274" s="255"/>
      <c r="F1274" s="262"/>
      <c r="G1274" s="262"/>
      <c r="H1274" s="21"/>
      <c r="I1274" s="38"/>
      <c r="J1274" s="54" t="s">
        <v>1579</v>
      </c>
      <c r="K1274" s="56" t="s">
        <v>512</v>
      </c>
      <c r="L1274" s="35" t="s">
        <v>332</v>
      </c>
      <c r="M1274" s="53" t="s">
        <v>349</v>
      </c>
      <c r="N1274" s="106">
        <v>44315</v>
      </c>
      <c r="O1274" s="35" t="s">
        <v>1061</v>
      </c>
      <c r="P1274" s="35" t="s">
        <v>1570</v>
      </c>
      <c r="Q1274" s="35"/>
      <c r="R1274" s="35"/>
      <c r="S1274" s="33"/>
      <c r="T1274" s="33"/>
      <c r="U1274" s="21"/>
    </row>
    <row r="1275" spans="2:21">
      <c r="B1275" s="232"/>
      <c r="C1275" s="232"/>
      <c r="D1275" s="255"/>
      <c r="E1275" s="255"/>
      <c r="F1275" s="262"/>
      <c r="G1275" s="262"/>
      <c r="H1275" s="21"/>
      <c r="I1275" s="38"/>
      <c r="J1275" s="54" t="s">
        <v>1579</v>
      </c>
      <c r="K1275" s="56" t="s">
        <v>729</v>
      </c>
      <c r="L1275" s="35" t="s">
        <v>332</v>
      </c>
      <c r="M1275" s="53" t="s">
        <v>349</v>
      </c>
      <c r="N1275" s="53">
        <v>45216</v>
      </c>
      <c r="O1275" s="35" t="s">
        <v>1061</v>
      </c>
      <c r="P1275" s="35" t="s">
        <v>3976</v>
      </c>
      <c r="Q1275" s="35"/>
      <c r="R1275" s="35"/>
      <c r="S1275" s="33"/>
      <c r="T1275" s="33"/>
      <c r="U1275" s="21"/>
    </row>
    <row r="1276" spans="2:21">
      <c r="B1276" s="232"/>
      <c r="C1276" s="232"/>
      <c r="D1276" s="255"/>
      <c r="E1276" s="255"/>
      <c r="F1276" s="262"/>
      <c r="G1276" s="262"/>
      <c r="H1276" s="21"/>
      <c r="I1276" s="38"/>
      <c r="J1276" s="54"/>
      <c r="K1276" s="105"/>
      <c r="L1276" s="35"/>
      <c r="M1276" s="53"/>
      <c r="N1276" s="106"/>
      <c r="O1276" s="35"/>
      <c r="P1276" s="35"/>
      <c r="Q1276" s="35"/>
      <c r="R1276" s="35"/>
      <c r="S1276" s="33"/>
      <c r="T1276" s="33"/>
      <c r="U1276" s="21"/>
    </row>
    <row r="1277" spans="2:21">
      <c r="B1277" s="232"/>
      <c r="C1277" s="232"/>
      <c r="D1277" s="255"/>
      <c r="E1277" s="255"/>
      <c r="F1277" s="262"/>
      <c r="G1277" s="262"/>
      <c r="H1277" s="21" t="s">
        <v>1393</v>
      </c>
      <c r="I1277" s="38"/>
      <c r="J1277" s="54" t="s">
        <v>1585</v>
      </c>
      <c r="K1277" s="105" t="s">
        <v>512</v>
      </c>
      <c r="L1277" s="35" t="s">
        <v>332</v>
      </c>
      <c r="M1277" s="53" t="s">
        <v>349</v>
      </c>
      <c r="N1277" s="106">
        <v>44291</v>
      </c>
      <c r="O1277" s="35" t="s">
        <v>1394</v>
      </c>
      <c r="P1277" s="35" t="s">
        <v>1395</v>
      </c>
      <c r="Q1277" s="35"/>
      <c r="R1277" s="35"/>
      <c r="S1277" s="33"/>
      <c r="T1277" s="33"/>
      <c r="U1277" s="21"/>
    </row>
    <row r="1278" spans="2:21">
      <c r="B1278" s="232"/>
      <c r="C1278" s="232"/>
      <c r="D1278" s="255"/>
      <c r="E1278" s="255"/>
      <c r="F1278" s="262"/>
      <c r="G1278" s="262"/>
      <c r="H1278" s="21"/>
      <c r="I1278" s="38"/>
      <c r="J1278" s="54" t="s">
        <v>1585</v>
      </c>
      <c r="K1278" s="105" t="s">
        <v>654</v>
      </c>
      <c r="L1278" s="35" t="s">
        <v>332</v>
      </c>
      <c r="M1278" s="53" t="s">
        <v>349</v>
      </c>
      <c r="N1278" s="106">
        <v>44701</v>
      </c>
      <c r="O1278" s="35" t="s">
        <v>1394</v>
      </c>
      <c r="P1278" s="35" t="s">
        <v>2915</v>
      </c>
      <c r="Q1278" s="35"/>
      <c r="R1278" s="35"/>
      <c r="S1278" s="33"/>
      <c r="T1278" s="33"/>
      <c r="U1278" s="21"/>
    </row>
    <row r="1279" spans="2:21">
      <c r="B1279" s="232"/>
      <c r="C1279" s="232"/>
      <c r="D1279" s="255"/>
      <c r="E1279" s="255"/>
      <c r="F1279" s="262"/>
      <c r="G1279" s="262"/>
      <c r="H1279" s="21"/>
      <c r="I1279" s="38"/>
      <c r="J1279" s="54" t="s">
        <v>1585</v>
      </c>
      <c r="K1279" s="105" t="s">
        <v>729</v>
      </c>
      <c r="L1279" s="35" t="s">
        <v>332</v>
      </c>
      <c r="M1279" s="53" t="s">
        <v>349</v>
      </c>
      <c r="N1279" s="53">
        <v>45216</v>
      </c>
      <c r="O1279" s="35" t="s">
        <v>1394</v>
      </c>
      <c r="P1279" s="35" t="s">
        <v>3976</v>
      </c>
      <c r="Q1279" s="35"/>
      <c r="R1279" s="35"/>
      <c r="S1279" s="33"/>
      <c r="T1279" s="33"/>
      <c r="U1279" s="21"/>
    </row>
    <row r="1280" spans="2:21">
      <c r="B1280" s="232"/>
      <c r="C1280" s="232"/>
      <c r="D1280" s="255"/>
      <c r="E1280" s="255"/>
      <c r="F1280" s="262"/>
      <c r="G1280" s="262"/>
      <c r="H1280" s="21"/>
      <c r="I1280" s="38"/>
      <c r="J1280" s="54"/>
      <c r="K1280" s="105"/>
      <c r="L1280" s="35"/>
      <c r="M1280" s="53"/>
      <c r="N1280" s="106"/>
      <c r="O1280" s="35"/>
      <c r="P1280" s="35"/>
      <c r="Q1280" s="35"/>
      <c r="R1280" s="35"/>
      <c r="S1280" s="33"/>
      <c r="T1280" s="33"/>
      <c r="U1280" s="21"/>
    </row>
    <row r="1281" spans="2:21">
      <c r="B1281" s="232"/>
      <c r="C1281" s="232"/>
      <c r="D1281" s="255"/>
      <c r="E1281" s="255"/>
      <c r="F1281" s="262"/>
      <c r="G1281" s="262"/>
      <c r="H1281" s="21" t="s">
        <v>1934</v>
      </c>
      <c r="I1281" s="38"/>
      <c r="J1281" s="54" t="s">
        <v>3977</v>
      </c>
      <c r="K1281" s="53" t="s">
        <v>349</v>
      </c>
      <c r="L1281" s="35" t="s">
        <v>332</v>
      </c>
      <c r="M1281" s="53" t="s">
        <v>349</v>
      </c>
      <c r="N1281" s="53">
        <v>45216</v>
      </c>
      <c r="O1281" s="35" t="s">
        <v>3962</v>
      </c>
      <c r="P1281" s="35" t="s">
        <v>3976</v>
      </c>
      <c r="Q1281" s="35"/>
      <c r="R1281" s="35"/>
      <c r="S1281" s="33"/>
      <c r="T1281" s="33"/>
      <c r="U1281" s="21"/>
    </row>
    <row r="1282" spans="2:21">
      <c r="B1282" s="232"/>
      <c r="C1282" s="232"/>
      <c r="D1282" s="255"/>
      <c r="E1282" s="255"/>
      <c r="F1282" s="264"/>
      <c r="G1282" s="264"/>
      <c r="H1282" s="21"/>
      <c r="I1282" s="38"/>
      <c r="J1282" s="54"/>
      <c r="K1282" s="56"/>
      <c r="L1282" s="35"/>
      <c r="M1282" s="53"/>
      <c r="N1282" s="140"/>
      <c r="O1282" s="35"/>
      <c r="P1282" s="35"/>
      <c r="Q1282" s="35"/>
      <c r="R1282" s="35"/>
      <c r="S1282" s="33"/>
      <c r="T1282" s="33"/>
      <c r="U1282" s="21"/>
    </row>
    <row r="1283" spans="2:21">
      <c r="B1283" s="232"/>
      <c r="C1283" s="232"/>
      <c r="D1283" s="255"/>
      <c r="E1283" s="255"/>
      <c r="F1283" s="21" t="s">
        <v>35</v>
      </c>
      <c r="G1283" s="256"/>
      <c r="H1283" s="257"/>
      <c r="I1283" s="257"/>
      <c r="J1283" s="257"/>
      <c r="K1283" s="257"/>
      <c r="L1283" s="257"/>
      <c r="M1283" s="257"/>
      <c r="N1283" s="257"/>
      <c r="O1283" s="257"/>
      <c r="P1283" s="257"/>
      <c r="Q1283" s="258"/>
      <c r="R1283" s="39"/>
      <c r="S1283" s="21"/>
      <c r="T1283" s="21"/>
      <c r="U1283" s="21"/>
    </row>
    <row r="1284" spans="2:21">
      <c r="B1284" s="232"/>
      <c r="C1284" s="232"/>
      <c r="D1284" s="255"/>
      <c r="E1284" s="255"/>
      <c r="F1284" s="255"/>
      <c r="G1284" s="255"/>
      <c r="H1284" s="38"/>
      <c r="I1284" s="38"/>
      <c r="J1284" s="38"/>
      <c r="K1284" s="38"/>
      <c r="L1284" s="39"/>
      <c r="M1284" s="38"/>
      <c r="N1284" s="39"/>
      <c r="O1284" s="38"/>
      <c r="P1284" s="38"/>
      <c r="Q1284" s="38"/>
      <c r="R1284" s="35"/>
      <c r="S1284" s="33"/>
      <c r="T1284" s="33"/>
      <c r="U1284" s="21"/>
    </row>
    <row r="1285" spans="2:21">
      <c r="B1285" s="232"/>
      <c r="C1285" s="232"/>
      <c r="D1285" s="255"/>
      <c r="E1285" s="255"/>
      <c r="F1285" s="255"/>
      <c r="G1285" s="255"/>
      <c r="H1285" s="38"/>
      <c r="I1285" s="38"/>
      <c r="J1285" s="38"/>
      <c r="K1285" s="38"/>
      <c r="L1285" s="39"/>
      <c r="M1285" s="38"/>
      <c r="N1285" s="39"/>
      <c r="O1285" s="38"/>
      <c r="P1285" s="38"/>
      <c r="Q1285" s="38"/>
      <c r="R1285" s="35"/>
      <c r="S1285" s="33"/>
      <c r="T1285" s="33"/>
      <c r="U1285" s="21"/>
    </row>
    <row r="1286" spans="2:21">
      <c r="B1286" s="232"/>
      <c r="C1286" s="232"/>
      <c r="D1286" s="255"/>
      <c r="E1286" s="255"/>
      <c r="F1286" s="255"/>
      <c r="G1286" s="255"/>
      <c r="H1286" s="38"/>
      <c r="I1286" s="38"/>
      <c r="J1286" s="38"/>
      <c r="K1286" s="38"/>
      <c r="L1286" s="39"/>
      <c r="M1286" s="38"/>
      <c r="N1286" s="39"/>
      <c r="O1286" s="38"/>
      <c r="P1286" s="38"/>
      <c r="Q1286" s="38"/>
      <c r="R1286" s="35"/>
      <c r="S1286" s="33"/>
      <c r="T1286" s="33"/>
      <c r="U1286" s="21"/>
    </row>
    <row r="1287" spans="2:21">
      <c r="B1287" s="232"/>
      <c r="C1287" s="232"/>
      <c r="D1287" s="255"/>
      <c r="E1287" s="255"/>
      <c r="F1287" s="255"/>
      <c r="G1287" s="255"/>
      <c r="H1287" s="38"/>
      <c r="I1287" s="38"/>
      <c r="J1287" s="38"/>
      <c r="K1287" s="38"/>
      <c r="L1287" s="39"/>
      <c r="M1287" s="38"/>
      <c r="N1287" s="39"/>
      <c r="O1287" s="38"/>
      <c r="P1287" s="38"/>
      <c r="Q1287" s="38"/>
      <c r="R1287" s="35"/>
      <c r="S1287" s="33"/>
      <c r="T1287" s="33"/>
      <c r="U1287" s="21"/>
    </row>
    <row r="1288" spans="2:21">
      <c r="B1288" s="232"/>
      <c r="C1288" s="232"/>
      <c r="D1288" s="255"/>
      <c r="E1288" s="255"/>
      <c r="F1288" s="255"/>
      <c r="G1288" s="255"/>
      <c r="H1288" s="21"/>
      <c r="I1288" s="21"/>
      <c r="J1288" s="33"/>
      <c r="K1288" s="35"/>
      <c r="L1288" s="35"/>
      <c r="M1288" s="33"/>
      <c r="N1288" s="35"/>
      <c r="O1288" s="35"/>
      <c r="P1288" s="35"/>
      <c r="Q1288" s="35"/>
      <c r="R1288" s="35"/>
      <c r="S1288" s="33"/>
      <c r="T1288" s="33"/>
      <c r="U1288" s="21"/>
    </row>
  </sheetData>
  <dataConsolidate link="1"/>
  <mergeCells count="222">
    <mergeCell ref="G1283:Q1283"/>
    <mergeCell ref="F1128:F1162"/>
    <mergeCell ref="G1128:G1162"/>
    <mergeCell ref="E891:T891"/>
    <mergeCell ref="E874:E890"/>
    <mergeCell ref="F889:F890"/>
    <mergeCell ref="G889:G890"/>
    <mergeCell ref="F1236:F1282"/>
    <mergeCell ref="G1236:G1282"/>
    <mergeCell ref="F1108:F1125"/>
    <mergeCell ref="G1108:G1125"/>
    <mergeCell ref="G888:Q888"/>
    <mergeCell ref="G1205:Q1205"/>
    <mergeCell ref="G1235:Q1235"/>
    <mergeCell ref="G879:Q879"/>
    <mergeCell ref="G1164:G1195"/>
    <mergeCell ref="F893:F999"/>
    <mergeCell ref="G893:G999"/>
    <mergeCell ref="F1001:F1106"/>
    <mergeCell ref="G1001:G1106"/>
    <mergeCell ref="B2:C2"/>
    <mergeCell ref="D2:E2"/>
    <mergeCell ref="E136:E144"/>
    <mergeCell ref="D136:D144"/>
    <mergeCell ref="D146:D205"/>
    <mergeCell ref="E146:E205"/>
    <mergeCell ref="C3:T3"/>
    <mergeCell ref="G204:G205"/>
    <mergeCell ref="D5:D134"/>
    <mergeCell ref="E5:E134"/>
    <mergeCell ref="G146:O146"/>
    <mergeCell ref="F2:G2"/>
    <mergeCell ref="H124:H131"/>
    <mergeCell ref="G56:G121"/>
    <mergeCell ref="F56:F121"/>
    <mergeCell ref="F123:F131"/>
    <mergeCell ref="G123:G131"/>
    <mergeCell ref="E4:T4"/>
    <mergeCell ref="G5:O5"/>
    <mergeCell ref="G122:O122"/>
    <mergeCell ref="E135:T135"/>
    <mergeCell ref="F6:F54"/>
    <mergeCell ref="G136:O136"/>
    <mergeCell ref="G139:O139"/>
    <mergeCell ref="D451:D509"/>
    <mergeCell ref="E451:E509"/>
    <mergeCell ref="F452:F476"/>
    <mergeCell ref="G452:G476"/>
    <mergeCell ref="F478:F499"/>
    <mergeCell ref="G478:G499"/>
    <mergeCell ref="F508:F509"/>
    <mergeCell ref="G508:G509"/>
    <mergeCell ref="D207:D223"/>
    <mergeCell ref="E224:T224"/>
    <mergeCell ref="G207:Q207"/>
    <mergeCell ref="G214:Q214"/>
    <mergeCell ref="G221:Q221"/>
    <mergeCell ref="G225:Q225"/>
    <mergeCell ref="G447:Q447"/>
    <mergeCell ref="D225:D449"/>
    <mergeCell ref="E225:E449"/>
    <mergeCell ref="G448:G449"/>
    <mergeCell ref="J302:P302"/>
    <mergeCell ref="G226:G446"/>
    <mergeCell ref="F448:F449"/>
    <mergeCell ref="F215:F220"/>
    <mergeCell ref="G215:G220"/>
    <mergeCell ref="G142:O142"/>
    <mergeCell ref="F137:F138"/>
    <mergeCell ref="G137:G138"/>
    <mergeCell ref="F140:F141"/>
    <mergeCell ref="G140:G141"/>
    <mergeCell ref="F143:F144"/>
    <mergeCell ref="J227:P227"/>
    <mergeCell ref="G143:G144"/>
    <mergeCell ref="F226:F446"/>
    <mergeCell ref="E145:T145"/>
    <mergeCell ref="J389:P389"/>
    <mergeCell ref="G222:G223"/>
    <mergeCell ref="G208:G213"/>
    <mergeCell ref="F208:F213"/>
    <mergeCell ref="E206:T206"/>
    <mergeCell ref="E207:E223"/>
    <mergeCell ref="F204:F205"/>
    <mergeCell ref="F222:F223"/>
    <mergeCell ref="G193:O193"/>
    <mergeCell ref="G203:P203"/>
    <mergeCell ref="F147:F192"/>
    <mergeCell ref="G147:G192"/>
    <mergeCell ref="F194:F202"/>
    <mergeCell ref="G194:G202"/>
    <mergeCell ref="G716:Q716"/>
    <mergeCell ref="G451:Q451"/>
    <mergeCell ref="F746:F747"/>
    <mergeCell ref="G714:G715"/>
    <mergeCell ref="E511:E517"/>
    <mergeCell ref="E450:T450"/>
    <mergeCell ref="E510:T510"/>
    <mergeCell ref="E518:T518"/>
    <mergeCell ref="G511:Q511"/>
    <mergeCell ref="G514:Q514"/>
    <mergeCell ref="G520:G620"/>
    <mergeCell ref="F714:F715"/>
    <mergeCell ref="F501:F506"/>
    <mergeCell ref="G501:G506"/>
    <mergeCell ref="G477:Q477"/>
    <mergeCell ref="E519:E718"/>
    <mergeCell ref="G519:Q519"/>
    <mergeCell ref="G621:Q621"/>
    <mergeCell ref="G713:Q713"/>
    <mergeCell ref="G720:Q720"/>
    <mergeCell ref="G732:Q732"/>
    <mergeCell ref="G745:Q745"/>
    <mergeCell ref="G6:G54"/>
    <mergeCell ref="G132:O132"/>
    <mergeCell ref="F133:F134"/>
    <mergeCell ref="G824:G826"/>
    <mergeCell ref="G763:G764"/>
    <mergeCell ref="F1197:F1203"/>
    <mergeCell ref="G1197:G1203"/>
    <mergeCell ref="F763:F764"/>
    <mergeCell ref="F790:F798"/>
    <mergeCell ref="G790:G798"/>
    <mergeCell ref="F824:F826"/>
    <mergeCell ref="F512:F513"/>
    <mergeCell ref="F520:F620"/>
    <mergeCell ref="G133:G134"/>
    <mergeCell ref="H57:H121"/>
    <mergeCell ref="G500:Q500"/>
    <mergeCell ref="G507:Q507"/>
    <mergeCell ref="G55:O55"/>
    <mergeCell ref="H56:I56"/>
    <mergeCell ref="F721:F731"/>
    <mergeCell ref="G721:G731"/>
    <mergeCell ref="G874:Q874"/>
    <mergeCell ref="G800:G813"/>
    <mergeCell ref="G717:G718"/>
    <mergeCell ref="G823:Q823"/>
    <mergeCell ref="G828:Q828"/>
    <mergeCell ref="E854:E872"/>
    <mergeCell ref="D1127:D1203"/>
    <mergeCell ref="E1127:E1203"/>
    <mergeCell ref="G892:Q892"/>
    <mergeCell ref="G1000:Q1000"/>
    <mergeCell ref="G1107:Q1107"/>
    <mergeCell ref="G1127:Q1127"/>
    <mergeCell ref="G1163:Q1163"/>
    <mergeCell ref="G1196:Q1196"/>
    <mergeCell ref="F880:F887"/>
    <mergeCell ref="G880:G887"/>
    <mergeCell ref="E1126:T1126"/>
    <mergeCell ref="D892:D1125"/>
    <mergeCell ref="E892:E1125"/>
    <mergeCell ref="G871:G872"/>
    <mergeCell ref="E873:T873"/>
    <mergeCell ref="D874:D890"/>
    <mergeCell ref="F875:F878"/>
    <mergeCell ref="G875:G878"/>
    <mergeCell ref="F1164:F1195"/>
    <mergeCell ref="G870:Q870"/>
    <mergeCell ref="F855:F858"/>
    <mergeCell ref="G855:G858"/>
    <mergeCell ref="F860:F869"/>
    <mergeCell ref="G860:G869"/>
    <mergeCell ref="E853:T853"/>
    <mergeCell ref="E828:E852"/>
    <mergeCell ref="F851:F852"/>
    <mergeCell ref="G851:G852"/>
    <mergeCell ref="G850:Q850"/>
    <mergeCell ref="F838:F849"/>
    <mergeCell ref="G838:G849"/>
    <mergeCell ref="F829:F836"/>
    <mergeCell ref="G837:Q837"/>
    <mergeCell ref="G854:Q854"/>
    <mergeCell ref="D720:D747"/>
    <mergeCell ref="E719:T719"/>
    <mergeCell ref="E748:T748"/>
    <mergeCell ref="E765:T765"/>
    <mergeCell ref="E827:T827"/>
    <mergeCell ref="G746:G747"/>
    <mergeCell ref="D749:D764"/>
    <mergeCell ref="E749:E764"/>
    <mergeCell ref="E720:E747"/>
    <mergeCell ref="F767:F788"/>
    <mergeCell ref="G767:G788"/>
    <mergeCell ref="F750:F761"/>
    <mergeCell ref="G750:G761"/>
    <mergeCell ref="F733:F744"/>
    <mergeCell ref="G733:G744"/>
    <mergeCell ref="G749:Q749"/>
    <mergeCell ref="G762:Q762"/>
    <mergeCell ref="G766:Q766"/>
    <mergeCell ref="G789:Q789"/>
    <mergeCell ref="G799:Q799"/>
    <mergeCell ref="G814:Q814"/>
    <mergeCell ref="F800:F813"/>
    <mergeCell ref="F815:F822"/>
    <mergeCell ref="G815:G822"/>
    <mergeCell ref="D828:D852"/>
    <mergeCell ref="G829:G836"/>
    <mergeCell ref="G859:Q859"/>
    <mergeCell ref="D519:D718"/>
    <mergeCell ref="F622:F712"/>
    <mergeCell ref="G622:G712"/>
    <mergeCell ref="B4:B1288"/>
    <mergeCell ref="C4:C1288"/>
    <mergeCell ref="E1204:T1204"/>
    <mergeCell ref="D1205:D1288"/>
    <mergeCell ref="E1205:E1288"/>
    <mergeCell ref="F1206:F1234"/>
    <mergeCell ref="G1206:G1234"/>
    <mergeCell ref="F1284:F1288"/>
    <mergeCell ref="G1284:G1288"/>
    <mergeCell ref="D511:D517"/>
    <mergeCell ref="G512:G513"/>
    <mergeCell ref="F515:F517"/>
    <mergeCell ref="D766:D826"/>
    <mergeCell ref="E766:E826"/>
    <mergeCell ref="G515:G517"/>
    <mergeCell ref="F717:F718"/>
    <mergeCell ref="D854:D872"/>
    <mergeCell ref="F871:F872"/>
  </mergeCells>
  <phoneticPr fontId="22" type="noConversion"/>
  <pageMargins left="0.27559055118110232" right="0.27559055118110232" top="1.0629921259842521" bottom="1.1811023622047243" header="0.4724409448818897" footer="0.19685039370078738"/>
  <pageSetup scale="52" orientation="landscape" horizontalDpi="1200" verticalDpi="1200" r:id="rId1"/>
  <headerFooter>
    <oddHeader>&amp;R&amp;G&amp;L&amp;G</oddHeader>
    <oddFooter>&amp;L_x000D_Contract Document and Drawing List_x000D_&amp;F_x000D__x000D_&amp;C_x000D__x000D_© 2021 GENERAL ELECTRIC COMPANY AND/OR ITS AFFILIATES. All rights reserved._x000D_&amp;RCLASS II (GE INTERNAL NON-CRITICAL)_x000D_V0P01C01_x000D_Rev002_x000D_2021-09-30_x000D_Page &amp;P / &amp;N</oddFooter>
  </headerFooter>
  <ignoredErrors>
    <ignoredError sqref="I118 I240 I228 I253 I265 I274 I303 I315 I328 I340 I349 I402 I390 I412 I422 K800 K803 K722:K724 K727:K730 K752:K760 K501:K505 K513 K517 I816:I817 I820:I821 K123:K129 K733:K737 K855:K857 K875:K878 K20 I285 I360 I432 K1002 K895 I294 I369 P369 K369:N369 I57 I47 I68 I74 I80 I86 I91 I94 I97 I103 I106 I112 I296 I371:M371 P371 I440 I24 I27 I30 I33 I35:I37 I44 I40:I41 I22 K453:K476 K478:K499 K50:K53 K6:K17 K838:K848 K860:K868 K880:K886 K1206:K1227 K1236:K1279 K22:K48 K829:K835 K57:K120 K522:K619 K622:K634 K671:K673 K695:K701 K687:K693 K679:K685 K674:K677 K703:K710 K678 K711 K686 K694 K702 K662:K669 K654:K660 K644:K652 K635:K642 K643 K653 K661 K670" numberStoredAsText="1"/>
  </ignoredError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E444A-F5DB-48BA-A1A1-C027DC795437}">
  <sheetPr codeName="Sheet7"/>
  <dimension ref="A2:D10"/>
  <sheetViews>
    <sheetView view="pageLayout" zoomScaleNormal="100" workbookViewId="0">
      <selection activeCell="B14" sqref="B14"/>
    </sheetView>
  </sheetViews>
  <sheetFormatPr baseColWidth="10" defaultColWidth="9" defaultRowHeight="13"/>
  <cols>
    <col min="1" max="1" width="9.59765625" style="48" customWidth="1"/>
    <col min="2" max="2" width="12.59765625" customWidth="1"/>
    <col min="3" max="3" width="25.59765625" customWidth="1"/>
    <col min="4" max="4" width="53.59765625" style="47" customWidth="1"/>
  </cols>
  <sheetData>
    <row r="2" spans="1:4" ht="17">
      <c r="A2" s="49" t="s">
        <v>189</v>
      </c>
    </row>
    <row r="4" spans="1:4" ht="28">
      <c r="A4" s="1" t="s">
        <v>15</v>
      </c>
      <c r="B4" s="9" t="s">
        <v>190</v>
      </c>
      <c r="C4" s="9" t="s">
        <v>191</v>
      </c>
      <c r="D4" s="9" t="s">
        <v>192</v>
      </c>
    </row>
    <row r="5" spans="1:4" ht="14">
      <c r="A5" s="16" t="s">
        <v>3</v>
      </c>
      <c r="B5" s="27">
        <v>44175</v>
      </c>
      <c r="C5" s="14" t="s">
        <v>1</v>
      </c>
      <c r="D5" s="15" t="s">
        <v>6</v>
      </c>
    </row>
    <row r="6" spans="1:4" ht="14">
      <c r="A6" s="16" t="s">
        <v>512</v>
      </c>
      <c r="B6" s="93">
        <v>44266</v>
      </c>
      <c r="C6" s="14" t="s">
        <v>1</v>
      </c>
      <c r="D6" s="51" t="s">
        <v>1240</v>
      </c>
    </row>
    <row r="7" spans="1:4" ht="14">
      <c r="A7" s="16" t="s">
        <v>654</v>
      </c>
      <c r="B7" s="93">
        <v>44469</v>
      </c>
      <c r="C7" s="14" t="s">
        <v>1</v>
      </c>
      <c r="D7" s="51" t="s">
        <v>1240</v>
      </c>
    </row>
    <row r="8" spans="1:4">
      <c r="A8" s="50"/>
      <c r="B8" s="33"/>
      <c r="C8" s="33"/>
      <c r="D8" s="51"/>
    </row>
    <row r="9" spans="1:4">
      <c r="A9" s="50"/>
      <c r="B9" s="33"/>
      <c r="C9" s="33"/>
      <c r="D9" s="51"/>
    </row>
    <row r="10" spans="1:4">
      <c r="A10" s="50"/>
      <c r="B10" s="33"/>
      <c r="C10" s="33"/>
      <c r="D10" s="51"/>
    </row>
  </sheetData>
  <sheetProtection insertRows="0" deleteRows="0" selectLockedCells="1"/>
  <dataConsolidate link="1"/>
  <phoneticPr fontId="22" type="noConversion"/>
  <pageMargins left="0.27559055118110232" right="0.27559055118110232" top="1.0629921259842521" bottom="1.1811023622047243" header="0.4724409448818897" footer="0.19685039370078738"/>
  <pageSetup orientation="landscape" r:id="rId1"/>
  <headerFooter alignWithMargins="0">
    <oddHeader>&amp;R&amp;G&amp;L&amp;G</oddHeader>
    <oddFooter>&amp;L_x000D_Contract Document and Drawing List_x000D_&amp;F_x000D__x000D_&amp;C_x000D__x000D_© 2021 GENERAL ELECTRIC COMPANY AND/OR ITS AFFILIATES. All rights reserved._x000D_&amp;RCLASS II (GE INTERNAL NON-CRITICAL)_x000D_V0P01C01_x000D_Rev002_x000D_2021-09-30_x000D_Page &amp;P / &amp;N</oddFooter>
  </headerFooter>
  <ignoredErrors>
    <ignoredError sqref="A5:A7" numberStoredAsText="1"/>
  </ignoredErrors>
  <legacyDrawingHF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FrontPage</vt:lpstr>
      <vt:lpstr>DFN Log</vt:lpstr>
      <vt:lpstr>Document Map</vt:lpstr>
      <vt:lpstr>(SV1) Drawing List</vt:lpstr>
      <vt:lpstr>ModRecord</vt:lpstr>
      <vt:lpstr>FrontPage!BkTitlesTable</vt:lpstr>
      <vt:lpstr>'(SV1) Drawing List'!Print_Area</vt:lpstr>
      <vt:lpstr>'DFN Log'!Print_Area</vt:lpstr>
      <vt:lpstr>'Document Map'!Print_Area</vt:lpstr>
      <vt:lpstr>'(SV1) Drawing List'!Print_Titles</vt:lpstr>
      <vt:lpstr>'DFN Log'!Print_Titles</vt:lpstr>
      <vt:lpstr>'Document Map'!Print_Titles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Contract Document and Drawing List</dc:title>
  <dc:subject/>
  <dc:creator>Halitsky, Craig</dc:creator>
  <cp:keywords/>
  <dc:description/>
  <cp:lastModifiedBy>William Haynes</cp:lastModifiedBy>
  <cp:revision/>
  <cp:lastPrinted>2021-09-30T19:33:52Z</cp:lastPrinted>
  <dcterms:created xsi:type="dcterms:W3CDTF">1999-09-23T13:29:35Z</dcterms:created>
  <dcterms:modified xsi:type="dcterms:W3CDTF">2025-03-20T11:31:21Z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Name">
    <vt:lpwstr>DSEC</vt:lpwstr>
  </property>
  <property fmtid="{D5CDD505-2E9C-101B-9397-08002B2CF9AE}" pid="3" name="FinCustName">
    <vt:lpwstr/>
  </property>
  <property fmtid="{D5CDD505-2E9C-101B-9397-08002B2CF9AE}" pid="4" name="DirCustName">
    <vt:lpwstr/>
  </property>
  <property fmtid="{D5CDD505-2E9C-101B-9397-08002B2CF9AE}" pid="5" name="ProjName">
    <vt:lpwstr>National Security Multi-Mission Vessel</vt:lpwstr>
  </property>
  <property fmtid="{D5CDD505-2E9C-101B-9397-08002B2CF9AE}" pid="6" name="Ref">
    <vt:lpwstr>V0P01C01</vt:lpwstr>
  </property>
  <property fmtid="{D5CDD505-2E9C-101B-9397-08002B2CF9AE}" pid="7" name="CustRev">
    <vt:lpwstr/>
  </property>
  <property fmtid="{D5CDD505-2E9C-101B-9397-08002B2CF9AE}" pid="8" name="CustRef">
    <vt:lpwstr/>
  </property>
  <property fmtid="{D5CDD505-2E9C-101B-9397-08002B2CF9AE}" pid="9" name="ContNo">
    <vt:lpwstr>USCO-002500</vt:lpwstr>
  </property>
  <property fmtid="{D5CDD505-2E9C-101B-9397-08002B2CF9AE}" pid="10" name="CustNo">
    <vt:lpwstr/>
  </property>
  <property fmtid="{D5CDD505-2E9C-101B-9397-08002B2CF9AE}" pid="11" name="PSDesc1">
    <vt:lpwstr/>
  </property>
  <property fmtid="{D5CDD505-2E9C-101B-9397-08002B2CF9AE}" pid="12" name="PSVal1">
    <vt:lpwstr/>
  </property>
  <property fmtid="{D5CDD505-2E9C-101B-9397-08002B2CF9AE}" pid="13" name="PSDesc2">
    <vt:lpwstr/>
  </property>
  <property fmtid="{D5CDD505-2E9C-101B-9397-08002B2CF9AE}" pid="14" name="PSVal2">
    <vt:lpwstr/>
  </property>
  <property fmtid="{D5CDD505-2E9C-101B-9397-08002B2CF9AE}" pid="15" name="PSDesc3">
    <vt:lpwstr/>
  </property>
  <property fmtid="{D5CDD505-2E9C-101B-9397-08002B2CF9AE}" pid="16" name="PSVal3">
    <vt:lpwstr/>
  </property>
  <property fmtid="{D5CDD505-2E9C-101B-9397-08002B2CF9AE}" pid="17" name="PSDesc4">
    <vt:lpwstr/>
  </property>
  <property fmtid="{D5CDD505-2E9C-101B-9397-08002B2CF9AE}" pid="18" name="PSVal4">
    <vt:lpwstr/>
  </property>
  <property fmtid="{D5CDD505-2E9C-101B-9397-08002B2CF9AE}" pid="19" name="TendNo">
    <vt:lpwstr/>
  </property>
  <property fmtid="{D5CDD505-2E9C-101B-9397-08002B2CF9AE}" pid="20" name="AddNo">
    <vt:lpwstr/>
  </property>
  <property fmtid="{D5CDD505-2E9C-101B-9397-08002B2CF9AE}" pid="21" name="SwMajor">
    <vt:lpwstr/>
  </property>
  <property fmtid="{D5CDD505-2E9C-101B-9397-08002B2CF9AE}" pid="22" name="SwMinor">
    <vt:lpwstr/>
  </property>
  <property fmtid="{D5CDD505-2E9C-101B-9397-08002B2CF9AE}" pid="23" name="SwBuild">
    <vt:lpwstr/>
  </property>
  <property fmtid="{D5CDD505-2E9C-101B-9397-08002B2CF9AE}" pid="24" name="SwRev">
    <vt:lpwstr/>
  </property>
  <property fmtid="{D5CDD505-2E9C-101B-9397-08002B2CF9AE}" pid="25" name="OptSubTit1">
    <vt:lpwstr/>
  </property>
  <property fmtid="{D5CDD505-2E9C-101B-9397-08002B2CF9AE}" pid="26" name="OptSubTit2">
    <vt:lpwstr/>
  </property>
  <property fmtid="{D5CDD505-2E9C-101B-9397-08002B2CF9AE}" pid="27" name="Version">
    <vt:lpwstr>002</vt:lpwstr>
  </property>
  <property fmtid="{D5CDD505-2E9C-101B-9397-08002B2CF9AE}" pid="28" name="ReasonForIssue">
    <vt:lpwstr>Initial Issue</vt:lpwstr>
  </property>
  <property fmtid="{D5CDD505-2E9C-101B-9397-08002B2CF9AE}" pid="29" name="DocCreateYear">
    <vt:lpwstr>2021</vt:lpwstr>
  </property>
  <property fmtid="{D5CDD505-2E9C-101B-9397-08002B2CF9AE}" pid="30" name="ProtectiveMarking">
    <vt:lpwstr>CLASS II (GE INTERNAL NON-CRITICAL)</vt:lpwstr>
  </property>
  <property fmtid="{D5CDD505-2E9C-101B-9397-08002B2CF9AE}" pid="31" name="OurOfficeLocation">
    <vt:lpwstr/>
  </property>
  <property fmtid="{D5CDD505-2E9C-101B-9397-08002B2CF9AE}" pid="32" name="DesignOffice">
    <vt:lpwstr/>
  </property>
  <property fmtid="{D5CDD505-2E9C-101B-9397-08002B2CF9AE}" pid="33" name="GovProtMark">
    <vt:lpwstr/>
  </property>
  <property fmtid="{D5CDD505-2E9C-101B-9397-08002B2CF9AE}" pid="34" name="TemplateVersion">
    <vt:lpwstr>GE</vt:lpwstr>
  </property>
  <property fmtid="{D5CDD505-2E9C-101B-9397-08002B2CF9AE}" pid="35" name="DefPageSize">
    <vt:lpwstr/>
  </property>
  <property fmtid="{D5CDD505-2E9C-101B-9397-08002B2CF9AE}" pid="36" name="PaperSetUp">
    <vt:lpwstr/>
  </property>
  <property fmtid="{D5CDD505-2E9C-101B-9397-08002B2CF9AE}" pid="37" name="BDT">
    <vt:lpwstr>Project Spec</vt:lpwstr>
  </property>
  <property fmtid="{D5CDD505-2E9C-101B-9397-08002B2CF9AE}" pid="38" name="DocLang">
    <vt:lpwstr/>
  </property>
  <property fmtid="{D5CDD505-2E9C-101B-9397-08002B2CF9AE}" pid="39" name="TCDocId">
    <vt:lpwstr/>
  </property>
  <property fmtid="{D5CDD505-2E9C-101B-9397-08002B2CF9AE}" pid="40" name="ChangeNumber">
    <vt:lpwstr/>
  </property>
  <property fmtid="{D5CDD505-2E9C-101B-9397-08002B2CF9AE}" pid="41" name="PlanRevDate">
    <vt:lpwstr>1999-12-31</vt:lpwstr>
  </property>
  <property fmtid="{D5CDD505-2E9C-101B-9397-08002B2CF9AE}" pid="42" name="LocalCopyOf">
    <vt:lpwstr/>
  </property>
  <property fmtid="{D5CDD505-2E9C-101B-9397-08002B2CF9AE}" pid="43" name="PageSize">
    <vt:lpwstr>Letter</vt:lpwstr>
  </property>
  <property fmtid="{D5CDD505-2E9C-101B-9397-08002B2CF9AE}" pid="44" name="Orientation">
    <vt:lpwstr>Landscape</vt:lpwstr>
  </property>
  <property fmtid="{D5CDD505-2E9C-101B-9397-08002B2CF9AE}" pid="45" name="DocIssuedDate">
    <vt:lpwstr>2021-09-30</vt:lpwstr>
  </property>
  <property fmtid="{D5CDD505-2E9C-101B-9397-08002B2CF9AE}" pid="46" name="OrigTechSource">
    <vt:lpwstr/>
  </property>
  <property fmtid="{D5CDD505-2E9C-101B-9397-08002B2CF9AE}" pid="47" name="Tag1">
    <vt:lpwstr>Not Tagged</vt:lpwstr>
  </property>
  <property fmtid="{D5CDD505-2E9C-101B-9397-08002B2CF9AE}" pid="48" name="Tag2">
    <vt:lpwstr/>
  </property>
  <property fmtid="{D5CDD505-2E9C-101B-9397-08002B2CF9AE}" pid="49" name="Tag3">
    <vt:lpwstr/>
  </property>
  <property fmtid="{D5CDD505-2E9C-101B-9397-08002B2CF9AE}" pid="50" name="OptSubTit3">
    <vt:lpwstr/>
  </property>
  <property fmtid="{D5CDD505-2E9C-101B-9397-08002B2CF9AE}" pid="51" name="Location">
    <vt:lpwstr/>
  </property>
</Properties>
</file>